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drawings/charts/chart3.xml" ContentType="application/vnd.openxmlformats-officedocument.drawingml.chart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drawings/charts/chart4.xml" ContentType="application/vnd.openxmlformats-officedocument.drawingml.chart+xml"/>
  <Override PartName="/xl/drawings/charts/chart5.xml" ContentType="application/vnd.openxmlformats-officedocument.drawingml.chart+xml"/>
  <Override PartName="/xl/worksheets/sheet6.xml" ContentType="application/vnd.openxmlformats-officedocument.spreadsheetml.worksheet+xml"/>
  <Override PartName="/xl/drawings/drawing4.xml" ContentType="application/vnd.openxmlformats-officedocument.drawing+xml"/>
  <Override PartName="/xl/drawings/charts/chart6.xml" ContentType="application/vnd.openxmlformats-officedocument.drawingml.char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1.xml" ContentType="application/vnd.openxmlformats-officedocument.spreadsheetml.comments+xml"/>
  <Override PartName="/xl/threadedcomments/threadedcomment.xml" ContentType="application/vnd.ms-excel.threadedcomments+xml"/>
  <Override PartName="/xl/worksheets/sheet9.xml" ContentType="application/vnd.openxmlformats-officedocument.spreadsheetml.worksheet+xml"/>
  <Override PartName="/xl/tables/table1.xml" ContentType="application/vnd.openxmlformats-officedocument.spreadsheetml.table+xml"/>
  <Override PartName="/xl/worksheets/sheet10.xml" ContentType="application/vnd.openxmlformats-officedocument.spreadsheetml.worksheet+xml"/>
  <Override PartName="/xl/tables/table2.xml" ContentType="application/vnd.openxmlformats-officedocument.spreadsheetml.table+xml"/>
  <Override PartName="/xl/worksheets/sheet11.xml" ContentType="application/vnd.openxmlformats-officedocument.spreadsheetml.worksheet+xml"/>
  <Override PartName="/xl/tables/table3.xml" ContentType="application/vnd.openxmlformats-officedocument.spreadsheetml.table+xml"/>
  <Override PartName="/xl/worksheets/sheet12.xml" ContentType="application/vnd.openxmlformats-officedocument.spreadsheetml.worksheet+xml"/>
  <Override PartName="/xl/tables/table4.xml" ContentType="application/vnd.openxmlformats-officedocument.spreadsheetml.table+xml"/>
  <Override PartName="/xl/worksheets/sheet13.xml" ContentType="application/vnd.openxmlformats-officedocument.spreadsheetml.worksheet+xml"/>
  <Override PartName="/xl/tables/table5.xml" ContentType="application/vnd.openxmlformats-officedocument.spreadsheetml.table+xml"/>
  <Override PartName="/xl/worksheets/sheet14.xml" ContentType="application/vnd.openxmlformats-officedocument.spreadsheetml.worksheet+xml"/>
  <Override PartName="/xl/tables/table6.xml" ContentType="application/vnd.openxmlformats-officedocument.spreadsheetml.table+xml"/>
  <Override PartName="/xl/worksheets/sheet15.xml" ContentType="application/vnd.openxmlformats-officedocument.spreadsheetml.worksheet+xml"/>
  <Override PartName="/xl/tables/table7.xml" ContentType="application/vnd.openxmlformats-officedocument.spreadsheetml.table+xml"/>
  <Override PartName="/xl/worksheets/sheet16.xml" ContentType="application/vnd.openxmlformats-officedocument.spreadsheetml.worksheet+xml"/>
  <Override PartName="/xl/tables/table8.xml" ContentType="application/vnd.openxmlformats-officedocument.spreadsheetml.table+xml"/>
  <Override PartName="/xl/worksheets/sheet17.xml" ContentType="application/vnd.openxmlformats-officedocument.spreadsheetml.worksheet+xml"/>
  <Override PartName="/xl/tables/table9.xml" ContentType="application/vnd.openxmlformats-officedocument.spreadsheetml.table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3fdc6564288491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aa1718f20f204ac1"/>
    <x:sheet xmlns:r="http://schemas.openxmlformats.org/officeDocument/2006/relationships" name="Variance Analysis" sheetId="2" r:id="Rc809a65b72d94e86"/>
    <x:sheet xmlns:r="http://schemas.openxmlformats.org/officeDocument/2006/relationships" name="Monthly P&amp;L" sheetId="3" r:id="Rf5d95e0b2f6d4dc9"/>
    <x:sheet xmlns:r="http://schemas.openxmlformats.org/officeDocument/2006/relationships" name="Revenue &amp; ARR" sheetId="4" r:id="R5912a04a97f34630"/>
    <x:sheet xmlns:r="http://schemas.openxmlformats.org/officeDocument/2006/relationships" name="Headcount &amp; Util" sheetId="5" r:id="Rd76eb75c978d426e"/>
    <x:sheet xmlns:r="http://schemas.openxmlformats.org/officeDocument/2006/relationships" name="AR Aging" sheetId="6" r:id="R8b584bac4f9e4a58"/>
    <x:sheet xmlns:r="http://schemas.openxmlformats.org/officeDocument/2006/relationships" name="Checks" sheetId="7" r:id="Rf3d56d48df074c9f"/>
    <x:sheet xmlns:r="http://schemas.openxmlformats.org/officeDocument/2006/relationships" name="Sources" sheetId="8" r:id="R5f787d89f832423c"/>
    <x:sheet xmlns:r="http://schemas.openxmlformats.org/officeDocument/2006/relationships" name="Data_P&amp;L" sheetId="9" r:id="R657dbb92eec84844"/>
    <x:sheet xmlns:r="http://schemas.openxmlformats.org/officeDocument/2006/relationships" name="Data_Line" sheetId="10" r:id="R6b849c1b8dde4bd9"/>
    <x:sheet xmlns:r="http://schemas.openxmlformats.org/officeDocument/2006/relationships" name="Data_KPI" sheetId="11" r:id="R8c5a84bc9c0b4420"/>
    <x:sheet xmlns:r="http://schemas.openxmlformats.org/officeDocument/2006/relationships" name="Data_ARR" sheetId="12" r:id="R16f0f160451444e5"/>
    <x:sheet xmlns:r="http://schemas.openxmlformats.org/officeDocument/2006/relationships" name="Data_HC" sheetId="13" r:id="Ra7e22caeb9694a84"/>
    <x:sheet xmlns:r="http://schemas.openxmlformats.org/officeDocument/2006/relationships" name="Data_Project" sheetId="14" r:id="R487347230c954d8f"/>
    <x:sheet xmlns:r="http://schemas.openxmlformats.org/officeDocument/2006/relationships" name="Data_AR" sheetId="15" r:id="Rab80b8c6333a4a75"/>
    <x:sheet xmlns:r="http://schemas.openxmlformats.org/officeDocument/2006/relationships" name="Data_Customer" sheetId="16" r:id="Re69dfad6587c4b9c"/>
    <x:sheet xmlns:r="http://schemas.openxmlformats.org/officeDocument/2006/relationships" name="Data_Checks" sheetId="17" r:id="R826e8a6b47b44df3"/>
  </x:sheets>
</x:workbook>
</file>

<file path=xl/comments1.xml><?xml version="1.0" encoding="utf-8"?>
<x:comments xmlns:x="http://schemas.openxmlformats.org/spreadsheetml/2006/main">
  <x:authors>
    <x:author>tc={5E32F6EC-B800-051D-F8D5-2E2022CE599C}</x:author>
    <x:author>tc={FEBFD440-FFEF-FD67-4910-D7716E6F1D76}</x:author>
    <x:author>tc={E363CB39-B073-3191-E906-4EC0107ED9E1}</x:author>
    <x:author>tc={9A0D9225-2649-6908-6627-CCA14040D15A}</x:author>
    <x:author>tc={2CF18D71-D7CC-3B71-8369-FB82F6592212}</x:author>
  </x:authors>
  <x:commentList>
    <x:comment ref="B7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https://www.sec.gov/Archives/edgar/data/1327811/000132781125000056/wday-20250131.htm | Accessed: 2026-07-25 | Use: Subscription and services revenue model; revenue recognition; retention and cost taxonomy</x:t>
        </x:r>
      </x:text>
    </x:comment>
    <x:comment ref="B8" authorId="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https://www.sec.gov/Archives/edgar/data/1557860/000162828025009110/glob-20241231.htm | Accessed: 2026-07-25 | Use: Professional services gross-margin calibration and project revenue recognition</x:t>
        </x:r>
      </x:text>
    </x:comment>
    <x:comment ref="B9" authorId="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https://www.saas-capital.com/research/private-saas-company-growth-rate-benchmarks/ | Accessed: 2026-07-25 | Use: Growth-rate range and relationship between retention and growth</x:t>
        </x:r>
      </x:text>
    </x:comment>
    <x:comment ref="B10" authorId="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https://www.bls.gov/news.release/archives/ecec_09122025.htm | Accessed: 2026-07-25 | Use: Direction for salary loading and benefits</x:t>
        </x:r>
      </x:text>
    </x:comment>
    <x:comment ref="B11" authorId="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https://www.bls.gov/oes/2024/may/oes_ind.htm | Accessed: 2026-07-25 | Use: Relative salary bands by job family and industry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1">
    <x:numFmt numFmtId="200" formatCode="yyyy-mm-dd"/>
    <x:numFmt numFmtId="201" formatCode="$#,##0.00;[Red]($#,##0.00);-"/>
    <x:numFmt numFmtId="202" formatCode="0.0%"/>
    <x:numFmt numFmtId="203" formatCode="#,##0"/>
    <x:numFmt numFmtId="204" formatCode="#,##0.0"/>
    <x:numFmt numFmtId="205" formatCode="$0.0"/>
    <x:numFmt numFmtId="206" formatCode="0.0"/>
    <x:numFmt numFmtId="207" formatCode="$0.0;[Red]($0.0);-"/>
    <x:numFmt numFmtId="208" formatCode="0.0%;[Red](0.0%);-"/>
    <x:numFmt numFmtId="209" formatCode="mmm"/>
    <x:numFmt numFmtId="210" formatCode="0.00;[Red](0.00);-"/>
  </x:numFmts>
  <x:fonts count="16">
    <x:font>
      <x:sz val="11"/>
      <x:name val="Carlito"/>
    </x:font>
    <x:font>
      <x:b/>
      <x:sz val="9"/>
      <x:color rgb="FFFFFFFF"/>
      <x:name val="Carlito"/>
    </x:font>
    <x:font>
      <x:sz val="9"/>
      <x:color rgb="FF20262E"/>
      <x:name val="Aptos"/>
    </x:font>
    <x:font>
      <x:sz val="10"/>
      <x:color rgb="FF20262E"/>
      <x:name val="Aptos"/>
    </x:font>
    <x:font>
      <x:b/>
      <x:sz val="20"/>
      <x:color rgb="FFFFFFFF"/>
      <x:name val="Aptos Display"/>
    </x:font>
    <x:font>
      <x:sz val="10"/>
      <x:color rgb="FF4B5563"/>
      <x:name val="Aptos"/>
    </x:font>
    <x:font>
      <x:sz val="9"/>
      <x:color rgb="FF4B5563"/>
      <x:name val="Aptos"/>
    </x:font>
    <x:font>
      <x:b/>
      <x:sz val="9"/>
      <x:color rgb="FF20262E"/>
      <x:name val="Aptos"/>
    </x:font>
    <x:font>
      <x:b/>
      <x:sz val="9"/>
      <x:color rgb="FF2E7D32"/>
      <x:name val="Aptos"/>
    </x:font>
    <x:font>
      <x:b/>
      <x:sz val="9"/>
      <x:color rgb="FF4B5563"/>
      <x:name val="Aptos"/>
    </x:font>
    <x:font>
      <x:b/>
      <x:sz val="17"/>
      <x:color rgb="FF20262E"/>
      <x:name val="Aptos"/>
    </x:font>
    <x:font>
      <x:b/>
      <x:sz val="11"/>
      <x:color rgb="FFFFFFFF"/>
      <x:name val="Aptos"/>
    </x:font>
    <x:font>
      <x:sz val="10"/>
      <x:color rgb="FF008000"/>
      <x:name val="Aptos"/>
    </x:font>
    <x:font>
      <x:b/>
      <x:sz val="10"/>
      <x:color rgb="FF20262E"/>
      <x:name val="Aptos"/>
    </x:font>
    <x:font>
      <x:b/>
      <x:sz val="12"/>
      <x:color rgb="FFFFFFFF"/>
      <x:name val="Aptos"/>
    </x:font>
    <x:font>
      <x:sz val="10"/>
      <x:color rgb="FF0000FF"/>
      <x:name val="Aptos"/>
    </x:font>
  </x:fonts>
  <x:fills count="10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F4F6F8"/>
      </x:patternFill>
    </x:fill>
    <x:fill>
      <x:patternFill patternType="solid">
        <x:fgColor rgb="FFEAF2F8"/>
      </x:patternFill>
    </x:fill>
    <x:fill>
      <x:patternFill patternType="solid">
        <x:fgColor rgb="FFFDECEC"/>
      </x:patternFill>
    </x:fill>
    <x:fill>
      <x:patternFill patternType="solid">
        <x:fgColor rgb="FFFFF4D6"/>
      </x:patternFill>
    </x:fill>
    <x:fill>
      <x:patternFill patternType="solid">
        <x:fgColor rgb="FF234A68"/>
      </x:patternFill>
    </x:fill>
    <x:fill>
      <x:patternFill patternType="solid">
        <x:fgColor rgb="FFFFFFFF"/>
      </x:patternFill>
    </x:fill>
    <x:fill>
      <x:patternFill patternType="solid">
        <x:fgColor rgb="FFE8ECF0"/>
      </x:patternFill>
    </x:fill>
  </x:fills>
  <x:borders count="11">
    <x:border/>
    <x:border>
      <x:left style="thin">
        <x:color rgb="FFD8DEE5"/>
      </x:left>
    </x:border>
    <x:border>
      <x:right style="thin">
        <x:color rgb="FFD8DEE5"/>
      </x:right>
    </x:border>
    <x:border>
      <x:left style="thin">
        <x:color rgb="FFD8DEE5"/>
      </x:left>
      <x:bottom style="thin">
        <x:color rgb="FFD8DEE5"/>
      </x:bottom>
    </x:border>
    <x:border>
      <x:bottom style="thin">
        <x:color rgb="FFD8DEE5"/>
      </x:bottom>
    </x:border>
    <x:border>
      <x:right style="thin">
        <x:color rgb="FFD8DEE5"/>
      </x:right>
      <x:bottom style="thin">
        <x:color rgb="FFD8DEE5"/>
      </x:bottom>
    </x:border>
    <x:border>
      <x:left style="thin">
        <x:color rgb="FFD8DEE5"/>
      </x:left>
      <x:top style="thin">
        <x:color rgb="FFD8DEE5"/>
      </x:top>
    </x:border>
    <x:border>
      <x:top style="thin">
        <x:color rgb="FFD8DEE5"/>
      </x:top>
    </x:border>
    <x:border>
      <x:right style="thin">
        <x:color rgb="FFD8DEE5"/>
      </x:right>
      <x:top style="thin">
        <x:color rgb="FFD8DEE5"/>
      </x:top>
    </x:border>
    <x:border>
      <x:bottom style="thin">
        <x:color rgb="FF7B8794"/>
      </x:bottom>
    </x:border>
    <x:border>
      <x:top style="thin">
        <x:color rgb="FF7B8794"/>
      </x:top>
    </x:border>
  </x:borders>
  <x:cellStyleXfs count="1">
    <x:xf numFmtId="0" fontId="0" fillId="0" borderId="0"/>
  </x:cellStyleXfs>
  <x:cellXfs count="17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/>
    <x:xf numFmtId="200" fontId="2" fillId="0" borderId="0" xfId="0" applyNumberFormat="1" applyFont="1" applyFill="1" applyBorder="1"/>
    <x:xf numFmtId="201" fontId="2" fillId="0" borderId="0" xfId="0" applyNumberFormat="1" applyFont="1" applyFill="1" applyBorder="1"/>
    <x:xf numFmtId="202" fontId="2" fillId="0" borderId="0" xfId="0" applyNumberFormat="1" applyFont="1" applyFill="1" applyBorder="1"/>
    <x:xf numFmtId="203" fontId="2" fillId="0" borderId="0" xfId="0" applyNumberFormat="1" applyFont="1" applyFill="1" applyBorder="1"/>
    <x:xf numFmtId="204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3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/>
    <x:xf numFmtId="0" fontId="5" fillId="3" borderId="0" xfId="0" applyNumberFormat="1" applyFont="1" applyFill="1" applyBorder="1"/>
    <x:xf numFmtId="0" fontId="5" fillId="3" borderId="0" xfId="0" applyNumberFormat="1" applyFont="1" applyFill="1" applyBorder="1" applyAlignment="1">
      <x:alignment vertical="center"/>
    </x:xf>
    <x:xf numFmtId="0" fontId="6" fillId="3" borderId="0" xfId="0" applyNumberFormat="1" applyFont="1" applyFill="1" applyBorder="1"/>
    <x:xf numFmtId="0" fontId="6" fillId="3" borderId="0" xfId="0" applyNumberFormat="1" applyFont="1" applyFill="1" applyBorder="1" applyAlignment="1">
      <x:alignment vertical="center"/>
    </x:xf>
    <x:xf numFmtId="0" fontId="7" fillId="3" borderId="0" xfId="0" applyNumberFormat="1" applyFont="1" applyFill="1" applyBorder="1" applyAlignment="1">
      <x:alignment vertical="center"/>
    </x:xf>
    <x:xf numFmtId="200" fontId="6" fillId="3" borderId="0" xfId="0" applyNumberFormat="1" applyFont="1" applyFill="1" applyBorder="1" applyAlignment="1">
      <x:alignment vertical="center"/>
    </x:xf>
    <x:xf numFmtId="0" fontId="8" fillId="3" borderId="0" xfId="0" applyNumberFormat="1" applyFont="1" applyFill="1" applyBorder="1" applyAlignment="1">
      <x:alignment vertical="center"/>
    </x:xf>
    <x:xf numFmtId="0" fontId="3" fillId="4" borderId="0" xfId="0" applyNumberFormat="1" applyFont="1" applyFill="1" applyBorder="1"/>
    <x:xf numFmtId="0" fontId="9" fillId="4" borderId="0" xfId="0" applyNumberFormat="1" applyFont="1" applyFill="1" applyBorder="1"/>
    <x:xf numFmtId="0" fontId="9" fillId="4" borderId="0" xfId="0" applyNumberFormat="1" applyFont="1" applyFill="1" applyBorder="1" applyAlignment="1">
      <x:alignment vertical="center"/>
    </x:xf>
    <x:xf numFmtId="0" fontId="10" fillId="4" borderId="0" xfId="0" applyNumberFormat="1" applyFont="1" applyFill="1" applyBorder="1"/>
    <x:xf numFmtId="0" fontId="10" fillId="4" borderId="1" xfId="0" applyNumberFormat="1" applyFont="1" applyFill="1" applyBorder="1"/>
    <x:xf numFmtId="0" fontId="10" fillId="4" borderId="2" xfId="0" applyNumberFormat="1" applyFont="1" applyFill="1" applyBorder="1"/>
    <x:xf numFmtId="0" fontId="10" fillId="4" borderId="3" xfId="0" applyNumberFormat="1" applyFont="1" applyFill="1" applyBorder="1"/>
    <x:xf numFmtId="0" fontId="10" fillId="4" borderId="4" xfId="0" applyNumberFormat="1" applyFont="1" applyFill="1" applyBorder="1"/>
    <x:xf numFmtId="0" fontId="10" fillId="4" borderId="5" xfId="0" applyNumberFormat="1" applyFont="1" applyFill="1" applyBorder="1"/>
    <x:xf numFmtId="205" fontId="10" fillId="4" borderId="1" xfId="0" applyNumberFormat="1" applyFont="1" applyFill="1" applyBorder="1"/>
    <x:xf numFmtId="205" fontId="10" fillId="4" borderId="0" xfId="0" applyNumberFormat="1" applyFont="1" applyFill="1" applyBorder="1"/>
    <x:xf numFmtId="205" fontId="10" fillId="4" borderId="2" xfId="0" applyNumberFormat="1" applyFont="1" applyFill="1" applyBorder="1"/>
    <x:xf numFmtId="205" fontId="10" fillId="4" borderId="3" xfId="0" applyNumberFormat="1" applyFont="1" applyFill="1" applyBorder="1"/>
    <x:xf numFmtId="205" fontId="10" fillId="4" borderId="4" xfId="0" applyNumberFormat="1" applyFont="1" applyFill="1" applyBorder="1"/>
    <x:xf numFmtId="205" fontId="10" fillId="4" borderId="5" xfId="0" applyNumberFormat="1" applyFont="1" applyFill="1" applyBorder="1"/>
    <x:xf numFmtId="205" fontId="10" fillId="4" borderId="1" xfId="0" applyNumberFormat="1" applyFont="1" applyFill="1" applyBorder="1" applyAlignment="1">
      <x:alignment vertical="center"/>
    </x:xf>
    <x:xf numFmtId="205" fontId="10" fillId="4" borderId="0" xfId="0" applyNumberFormat="1" applyFont="1" applyFill="1" applyBorder="1" applyAlignment="1">
      <x:alignment vertical="center"/>
    </x:xf>
    <x:xf numFmtId="205" fontId="10" fillId="4" borderId="2" xfId="0" applyNumberFormat="1" applyFont="1" applyFill="1" applyBorder="1" applyAlignment="1">
      <x:alignment vertical="center"/>
    </x:xf>
    <x:xf numFmtId="205" fontId="10" fillId="4" borderId="3" xfId="0" applyNumberFormat="1" applyFont="1" applyFill="1" applyBorder="1" applyAlignment="1">
      <x:alignment vertical="center"/>
    </x:xf>
    <x:xf numFmtId="205" fontId="10" fillId="4" borderId="4" xfId="0" applyNumberFormat="1" applyFont="1" applyFill="1" applyBorder="1" applyAlignment="1">
      <x:alignment vertical="center"/>
    </x:xf>
    <x:xf numFmtId="205" fontId="10" fillId="4" borderId="5" xfId="0" applyNumberFormat="1" applyFont="1" applyFill="1" applyBorder="1" applyAlignment="1">
      <x:alignment vertical="center"/>
    </x:xf>
    <x:xf numFmtId="0" fontId="3" fillId="5" borderId="0" xfId="0" applyNumberFormat="1" applyFont="1" applyFill="1" applyBorder="1"/>
    <x:xf numFmtId="0" fontId="9" fillId="5" borderId="0" xfId="0" applyNumberFormat="1" applyFont="1" applyFill="1" applyBorder="1"/>
    <x:xf numFmtId="0" fontId="9" fillId="5" borderId="0" xfId="0" applyNumberFormat="1" applyFont="1" applyFill="1" applyBorder="1" applyAlignment="1">
      <x:alignment vertical="center"/>
    </x:xf>
    <x:xf numFmtId="0" fontId="10" fillId="5" borderId="0" xfId="0" applyNumberFormat="1" applyFont="1" applyFill="1" applyBorder="1"/>
    <x:xf numFmtId="0" fontId="10" fillId="5" borderId="1" xfId="0" applyNumberFormat="1" applyFont="1" applyFill="1" applyBorder="1"/>
    <x:xf numFmtId="0" fontId="10" fillId="5" borderId="2" xfId="0" applyNumberFormat="1" applyFont="1" applyFill="1" applyBorder="1"/>
    <x:xf numFmtId="0" fontId="10" fillId="5" borderId="3" xfId="0" applyNumberFormat="1" applyFont="1" applyFill="1" applyBorder="1"/>
    <x:xf numFmtId="0" fontId="10" fillId="5" borderId="4" xfId="0" applyNumberFormat="1" applyFont="1" applyFill="1" applyBorder="1"/>
    <x:xf numFmtId="0" fontId="10" fillId="5" borderId="5" xfId="0" applyNumberFormat="1" applyFont="1" applyFill="1" applyBorder="1"/>
    <x:xf numFmtId="202" fontId="10" fillId="5" borderId="1" xfId="0" applyNumberFormat="1" applyFont="1" applyFill="1" applyBorder="1"/>
    <x:xf numFmtId="202" fontId="10" fillId="5" borderId="0" xfId="0" applyNumberFormat="1" applyFont="1" applyFill="1" applyBorder="1"/>
    <x:xf numFmtId="202" fontId="10" fillId="5" borderId="2" xfId="0" applyNumberFormat="1" applyFont="1" applyFill="1" applyBorder="1"/>
    <x:xf numFmtId="202" fontId="10" fillId="5" borderId="3" xfId="0" applyNumberFormat="1" applyFont="1" applyFill="1" applyBorder="1"/>
    <x:xf numFmtId="202" fontId="10" fillId="5" borderId="4" xfId="0" applyNumberFormat="1" applyFont="1" applyFill="1" applyBorder="1"/>
    <x:xf numFmtId="202" fontId="10" fillId="5" borderId="5" xfId="0" applyNumberFormat="1" applyFont="1" applyFill="1" applyBorder="1"/>
    <x:xf numFmtId="202" fontId="10" fillId="5" borderId="1" xfId="0" applyNumberFormat="1" applyFont="1" applyFill="1" applyBorder="1" applyAlignment="1">
      <x:alignment vertical="center"/>
    </x:xf>
    <x:xf numFmtId="202" fontId="10" fillId="5" borderId="0" xfId="0" applyNumberFormat="1" applyFont="1" applyFill="1" applyBorder="1" applyAlignment="1">
      <x:alignment vertical="center"/>
    </x:xf>
    <x:xf numFmtId="202" fontId="10" fillId="5" borderId="2" xfId="0" applyNumberFormat="1" applyFont="1" applyFill="1" applyBorder="1" applyAlignment="1">
      <x:alignment vertical="center"/>
    </x:xf>
    <x:xf numFmtId="202" fontId="10" fillId="5" borderId="3" xfId="0" applyNumberFormat="1" applyFont="1" applyFill="1" applyBorder="1" applyAlignment="1">
      <x:alignment vertical="center"/>
    </x:xf>
    <x:xf numFmtId="202" fontId="10" fillId="5" borderId="4" xfId="0" applyNumberFormat="1" applyFont="1" applyFill="1" applyBorder="1" applyAlignment="1">
      <x:alignment vertical="center"/>
    </x:xf>
    <x:xf numFmtId="202" fontId="10" fillId="5" borderId="5" xfId="0" applyNumberFormat="1" applyFont="1" applyFill="1" applyBorder="1" applyAlignment="1">
      <x:alignment vertical="center"/>
    </x:xf>
    <x:xf numFmtId="202" fontId="10" fillId="4" borderId="1" xfId="0" applyNumberFormat="1" applyFont="1" applyFill="1" applyBorder="1"/>
    <x:xf numFmtId="202" fontId="10" fillId="4" borderId="0" xfId="0" applyNumberFormat="1" applyFont="1" applyFill="1" applyBorder="1"/>
    <x:xf numFmtId="202" fontId="10" fillId="4" borderId="2" xfId="0" applyNumberFormat="1" applyFont="1" applyFill="1" applyBorder="1"/>
    <x:xf numFmtId="202" fontId="10" fillId="4" borderId="3" xfId="0" applyNumberFormat="1" applyFont="1" applyFill="1" applyBorder="1"/>
    <x:xf numFmtId="202" fontId="10" fillId="4" borderId="4" xfId="0" applyNumberFormat="1" applyFont="1" applyFill="1" applyBorder="1"/>
    <x:xf numFmtId="202" fontId="10" fillId="4" borderId="5" xfId="0" applyNumberFormat="1" applyFont="1" applyFill="1" applyBorder="1"/>
    <x:xf numFmtId="202" fontId="10" fillId="4" borderId="1" xfId="0" applyNumberFormat="1" applyFont="1" applyFill="1" applyBorder="1" applyAlignment="1">
      <x:alignment vertical="center"/>
    </x:xf>
    <x:xf numFmtId="202" fontId="10" fillId="4" borderId="0" xfId="0" applyNumberFormat="1" applyFont="1" applyFill="1" applyBorder="1" applyAlignment="1">
      <x:alignment vertical="center"/>
    </x:xf>
    <x:xf numFmtId="202" fontId="10" fillId="4" borderId="2" xfId="0" applyNumberFormat="1" applyFont="1" applyFill="1" applyBorder="1" applyAlignment="1">
      <x:alignment vertical="center"/>
    </x:xf>
    <x:xf numFmtId="202" fontId="10" fillId="4" borderId="3" xfId="0" applyNumberFormat="1" applyFont="1" applyFill="1" applyBorder="1" applyAlignment="1">
      <x:alignment vertical="center"/>
    </x:xf>
    <x:xf numFmtId="202" fontId="10" fillId="4" borderId="4" xfId="0" applyNumberFormat="1" applyFont="1" applyFill="1" applyBorder="1" applyAlignment="1">
      <x:alignment vertical="center"/>
    </x:xf>
    <x:xf numFmtId="202" fontId="10" fillId="4" borderId="5" xfId="0" applyNumberFormat="1" applyFont="1" applyFill="1" applyBorder="1" applyAlignment="1">
      <x:alignment vertical="center"/>
    </x:xf>
    <x:xf numFmtId="0" fontId="3" fillId="6" borderId="0" xfId="0" applyNumberFormat="1" applyFont="1" applyFill="1" applyBorder="1"/>
    <x:xf numFmtId="0" fontId="9" fillId="6" borderId="0" xfId="0" applyNumberFormat="1" applyFont="1" applyFill="1" applyBorder="1"/>
    <x:xf numFmtId="0" fontId="9" fillId="6" borderId="0" xfId="0" applyNumberFormat="1" applyFont="1" applyFill="1" applyBorder="1" applyAlignment="1">
      <x:alignment vertical="center"/>
    </x:xf>
    <x:xf numFmtId="0" fontId="10" fillId="6" borderId="0" xfId="0" applyNumberFormat="1" applyFont="1" applyFill="1" applyBorder="1"/>
    <x:xf numFmtId="0" fontId="10" fillId="6" borderId="1" xfId="0" applyNumberFormat="1" applyFont="1" applyFill="1" applyBorder="1"/>
    <x:xf numFmtId="0" fontId="10" fillId="6" borderId="2" xfId="0" applyNumberFormat="1" applyFont="1" applyFill="1" applyBorder="1"/>
    <x:xf numFmtId="0" fontId="10" fillId="6" borderId="3" xfId="0" applyNumberFormat="1" applyFont="1" applyFill="1" applyBorder="1"/>
    <x:xf numFmtId="0" fontId="10" fillId="6" borderId="4" xfId="0" applyNumberFormat="1" applyFont="1" applyFill="1" applyBorder="1"/>
    <x:xf numFmtId="0" fontId="10" fillId="6" borderId="5" xfId="0" applyNumberFormat="1" applyFont="1" applyFill="1" applyBorder="1"/>
    <x:xf numFmtId="205" fontId="10" fillId="6" borderId="1" xfId="0" applyNumberFormat="1" applyFont="1" applyFill="1" applyBorder="1"/>
    <x:xf numFmtId="205" fontId="10" fillId="6" borderId="0" xfId="0" applyNumberFormat="1" applyFont="1" applyFill="1" applyBorder="1"/>
    <x:xf numFmtId="205" fontId="10" fillId="6" borderId="2" xfId="0" applyNumberFormat="1" applyFont="1" applyFill="1" applyBorder="1"/>
    <x:xf numFmtId="205" fontId="10" fillId="6" borderId="3" xfId="0" applyNumberFormat="1" applyFont="1" applyFill="1" applyBorder="1"/>
    <x:xf numFmtId="205" fontId="10" fillId="6" borderId="4" xfId="0" applyNumberFormat="1" applyFont="1" applyFill="1" applyBorder="1"/>
    <x:xf numFmtId="205" fontId="10" fillId="6" borderId="5" xfId="0" applyNumberFormat="1" applyFont="1" applyFill="1" applyBorder="1"/>
    <x:xf numFmtId="205" fontId="10" fillId="6" borderId="1" xfId="0" applyNumberFormat="1" applyFont="1" applyFill="1" applyBorder="1" applyAlignment="1">
      <x:alignment vertical="center"/>
    </x:xf>
    <x:xf numFmtId="205" fontId="10" fillId="6" borderId="0" xfId="0" applyNumberFormat="1" applyFont="1" applyFill="1" applyBorder="1" applyAlignment="1">
      <x:alignment vertical="center"/>
    </x:xf>
    <x:xf numFmtId="205" fontId="10" fillId="6" borderId="2" xfId="0" applyNumberFormat="1" applyFont="1" applyFill="1" applyBorder="1" applyAlignment="1">
      <x:alignment vertical="center"/>
    </x:xf>
    <x:xf numFmtId="205" fontId="10" fillId="6" borderId="3" xfId="0" applyNumberFormat="1" applyFont="1" applyFill="1" applyBorder="1" applyAlignment="1">
      <x:alignment vertical="center"/>
    </x:xf>
    <x:xf numFmtId="205" fontId="10" fillId="6" borderId="4" xfId="0" applyNumberFormat="1" applyFont="1" applyFill="1" applyBorder="1" applyAlignment="1">
      <x:alignment vertical="center"/>
    </x:xf>
    <x:xf numFmtId="205" fontId="10" fillId="6" borderId="5" xfId="0" applyNumberFormat="1" applyFont="1" applyFill="1" applyBorder="1" applyAlignment="1">
      <x:alignment vertical="center"/>
    </x:xf>
    <x:xf numFmtId="206" fontId="10" fillId="4" borderId="1" xfId="0" applyNumberFormat="1" applyFont="1" applyFill="1" applyBorder="1"/>
    <x:xf numFmtId="206" fontId="10" fillId="4" borderId="0" xfId="0" applyNumberFormat="1" applyFont="1" applyFill="1" applyBorder="1"/>
    <x:xf numFmtId="206" fontId="10" fillId="4" borderId="2" xfId="0" applyNumberFormat="1" applyFont="1" applyFill="1" applyBorder="1"/>
    <x:xf numFmtId="206" fontId="10" fillId="4" borderId="3" xfId="0" applyNumberFormat="1" applyFont="1" applyFill="1" applyBorder="1"/>
    <x:xf numFmtId="206" fontId="10" fillId="4" borderId="4" xfId="0" applyNumberFormat="1" applyFont="1" applyFill="1" applyBorder="1"/>
    <x:xf numFmtId="206" fontId="10" fillId="4" borderId="5" xfId="0" applyNumberFormat="1" applyFont="1" applyFill="1" applyBorder="1"/>
    <x:xf numFmtId="206" fontId="10" fillId="4" borderId="1" xfId="0" applyNumberFormat="1" applyFont="1" applyFill="1" applyBorder="1" applyAlignment="1">
      <x:alignment vertical="center"/>
    </x:xf>
    <x:xf numFmtId="206" fontId="10" fillId="4" borderId="0" xfId="0" applyNumberFormat="1" applyFont="1" applyFill="1" applyBorder="1" applyAlignment="1">
      <x:alignment vertical="center"/>
    </x:xf>
    <x:xf numFmtId="206" fontId="10" fillId="4" borderId="2" xfId="0" applyNumberFormat="1" applyFont="1" applyFill="1" applyBorder="1" applyAlignment="1">
      <x:alignment vertical="center"/>
    </x:xf>
    <x:xf numFmtId="206" fontId="10" fillId="4" borderId="3" xfId="0" applyNumberFormat="1" applyFont="1" applyFill="1" applyBorder="1" applyAlignment="1">
      <x:alignment vertical="center"/>
    </x:xf>
    <x:xf numFmtId="206" fontId="10" fillId="4" borderId="4" xfId="0" applyNumberFormat="1" applyFont="1" applyFill="1" applyBorder="1" applyAlignment="1">
      <x:alignment vertical="center"/>
    </x:xf>
    <x:xf numFmtId="206" fontId="10" fillId="4" borderId="5" xfId="0" applyNumberFormat="1" applyFont="1" applyFill="1" applyBorder="1" applyAlignment="1">
      <x:alignment vertical="center"/>
    </x:xf>
    <x:xf numFmtId="0" fontId="3" fillId="7" borderId="0" xfId="0" applyNumberFormat="1" applyFont="1" applyFill="1" applyBorder="1"/>
    <x:xf numFmtId="0" fontId="11" fillId="7" borderId="0" xfId="0" applyNumberFormat="1" applyFont="1" applyFill="1" applyBorder="1"/>
    <x:xf numFmtId="0" fontId="11" fillId="7" borderId="0" xfId="0" applyNumberFormat="1" applyFont="1" applyFill="1" applyBorder="1" applyAlignment="1">
      <x:alignment vertical="center"/>
    </x:xf>
    <x:xf numFmtId="0" fontId="3" fillId="8" borderId="0" xfId="0" applyNumberFormat="1" applyFont="1" applyFill="1" applyBorder="1"/>
    <x:xf numFmtId="0" fontId="3" fillId="8" borderId="6" xfId="0" applyNumberFormat="1" applyFont="1" applyFill="1" applyBorder="1"/>
    <x:xf numFmtId="0" fontId="3" fillId="8" borderId="7" xfId="0" applyNumberFormat="1" applyFont="1" applyFill="1" applyBorder="1"/>
    <x:xf numFmtId="0" fontId="3" fillId="8" borderId="8" xfId="0" applyNumberFormat="1" applyFont="1" applyFill="1" applyBorder="1"/>
    <x:xf numFmtId="0" fontId="3" fillId="8" borderId="1" xfId="0" applyNumberFormat="1" applyFont="1" applyFill="1" applyBorder="1"/>
    <x:xf numFmtId="0" fontId="3" fillId="8" borderId="2" xfId="0" applyNumberFormat="1" applyFont="1" applyFill="1" applyBorder="1"/>
    <x:xf numFmtId="0" fontId="3" fillId="8" borderId="3" xfId="0" applyNumberFormat="1" applyFont="1" applyFill="1" applyBorder="1"/>
    <x:xf numFmtId="0" fontId="3" fillId="8" borderId="4" xfId="0" applyNumberFormat="1" applyFont="1" applyFill="1" applyBorder="1"/>
    <x:xf numFmtId="0" fontId="3" fillId="8" borderId="5" xfId="0" applyNumberFormat="1" applyFont="1" applyFill="1" applyBorder="1"/>
    <x:xf numFmtId="0" fontId="3" fillId="8" borderId="6" xfId="0" applyNumberFormat="1" applyFont="1" applyFill="1" applyBorder="1" applyAlignment="1">
      <x:alignment wrapText="1"/>
    </x:xf>
    <x:xf numFmtId="0" fontId="3" fillId="8" borderId="7" xfId="0" applyNumberFormat="1" applyFont="1" applyFill="1" applyBorder="1" applyAlignment="1">
      <x:alignment wrapText="1"/>
    </x:xf>
    <x:xf numFmtId="0" fontId="3" fillId="8" borderId="8" xfId="0" applyNumberFormat="1" applyFont="1" applyFill="1" applyBorder="1" applyAlignment="1">
      <x:alignment wrapText="1"/>
    </x:xf>
    <x:xf numFmtId="0" fontId="3" fillId="8" borderId="1" xfId="0" applyNumberFormat="1" applyFont="1" applyFill="1" applyBorder="1" applyAlignment="1">
      <x:alignment wrapText="1"/>
    </x:xf>
    <x:xf numFmtId="0" fontId="3" fillId="8" borderId="0" xfId="0" applyNumberFormat="1" applyFont="1" applyFill="1" applyBorder="1" applyAlignment="1">
      <x:alignment wrapText="1"/>
    </x:xf>
    <x:xf numFmtId="0" fontId="3" fillId="8" borderId="2" xfId="0" applyNumberFormat="1" applyFont="1" applyFill="1" applyBorder="1" applyAlignment="1">
      <x:alignment wrapText="1"/>
    </x:xf>
    <x:xf numFmtId="0" fontId="3" fillId="8" borderId="3" xfId="0" applyNumberFormat="1" applyFont="1" applyFill="1" applyBorder="1" applyAlignment="1">
      <x:alignment wrapText="1"/>
    </x:xf>
    <x:xf numFmtId="0" fontId="3" fillId="8" borderId="4" xfId="0" applyNumberFormat="1" applyFont="1" applyFill="1" applyBorder="1" applyAlignment="1">
      <x:alignment wrapText="1"/>
    </x:xf>
    <x:xf numFmtId="0" fontId="3" fillId="8" borderId="5" xfId="0" applyNumberFormat="1" applyFont="1" applyFill="1" applyBorder="1" applyAlignment="1">
      <x:alignment wrapText="1"/>
    </x:xf>
    <x:xf numFmtId="0" fontId="3" fillId="8" borderId="6" xfId="0" applyNumberFormat="1" applyFont="1" applyFill="1" applyBorder="1" applyAlignment="1">
      <x:alignment vertical="top" wrapText="1"/>
    </x:xf>
    <x:xf numFmtId="0" fontId="3" fillId="8" borderId="7" xfId="0" applyNumberFormat="1" applyFont="1" applyFill="1" applyBorder="1" applyAlignment="1">
      <x:alignment vertical="top" wrapText="1"/>
    </x:xf>
    <x:xf numFmtId="0" fontId="3" fillId="8" borderId="8" xfId="0" applyNumberFormat="1" applyFont="1" applyFill="1" applyBorder="1" applyAlignment="1">
      <x:alignment vertical="top" wrapText="1"/>
    </x:xf>
    <x:xf numFmtId="0" fontId="3" fillId="8" borderId="1" xfId="0" applyNumberFormat="1" applyFont="1" applyFill="1" applyBorder="1" applyAlignment="1">
      <x:alignment vertical="top" wrapText="1"/>
    </x:xf>
    <x:xf numFmtId="0" fontId="3" fillId="8" borderId="0" xfId="0" applyNumberFormat="1" applyFont="1" applyFill="1" applyBorder="1" applyAlignment="1">
      <x:alignment vertical="top" wrapText="1"/>
    </x:xf>
    <x:xf numFmtId="0" fontId="3" fillId="8" borderId="2" xfId="0" applyNumberFormat="1" applyFont="1" applyFill="1" applyBorder="1" applyAlignment="1">
      <x:alignment vertical="top" wrapText="1"/>
    </x:xf>
    <x:xf numFmtId="0" fontId="3" fillId="8" borderId="3" xfId="0" applyNumberFormat="1" applyFont="1" applyFill="1" applyBorder="1" applyAlignment="1">
      <x:alignment vertical="top" wrapText="1"/>
    </x:xf>
    <x:xf numFmtId="0" fontId="3" fillId="8" borderId="4" xfId="0" applyNumberFormat="1" applyFont="1" applyFill="1" applyBorder="1" applyAlignment="1">
      <x:alignment vertical="top" wrapText="1"/>
    </x:xf>
    <x:xf numFmtId="0" fontId="3" fillId="8" borderId="5" xfId="0" applyNumberFormat="1" applyFont="1" applyFill="1" applyBorder="1" applyAlignment="1">
      <x:alignment vertical="top" wrapText="1"/>
    </x:xf>
    <x:xf numFmtId="0" fontId="3" fillId="9" borderId="0" xfId="0" applyNumberFormat="1" applyFont="1" applyFill="1" applyBorder="1"/>
    <x:xf numFmtId="0" fontId="7" fillId="9" borderId="0" xfId="0" applyNumberFormat="1" applyFont="1" applyFill="1" applyBorder="1"/>
    <x:xf numFmtId="0" fontId="7" fillId="9" borderId="9" xfId="0" applyNumberFormat="1" applyFont="1" applyFill="1" applyBorder="1"/>
    <x:xf numFmtId="0" fontId="7" fillId="9" borderId="9" xfId="0" applyNumberFormat="1" applyFont="1" applyFill="1" applyBorder="1" applyAlignment="1">
      <x:alignment wrapText="1"/>
    </x:xf>
    <x:xf numFmtId="0" fontId="7" fillId="9" borderId="9" xfId="0" applyNumberFormat="1" applyFont="1" applyFill="1" applyBorder="1" applyAlignment="1">
      <x:alignment vertical="center" wrapText="1"/>
    </x:xf>
    <x:xf numFmtId="207" fontId="3" fillId="0" borderId="0" xfId="0" applyNumberFormat="1" applyFont="1" applyFill="1" applyBorder="1"/>
    <x:xf numFmtId="207" fontId="3" fillId="0" borderId="0" xfId="0" applyNumberFormat="1" applyFont="1" applyFill="1" applyBorder="1" applyAlignment="1">
      <x:alignment horizontal="right"/>
    </x:xf>
    <x:xf numFmtId="0" fontId="12" fillId="0" borderId="0" xfId="0" applyNumberFormat="1" applyFont="1" applyFill="1" applyBorder="1"/>
    <x:xf numFmtId="207" fontId="12" fillId="0" borderId="0" xfId="0" applyNumberFormat="1" applyFont="1" applyFill="1" applyBorder="1"/>
    <x:xf numFmtId="207" fontId="12" fillId="0" borderId="0" xfId="0" applyNumberFormat="1" applyFont="1" applyFill="1" applyBorder="1" applyAlignment="1">
      <x:alignment horizontal="right"/>
    </x:xf>
    <x:xf numFmtId="208" fontId="3" fillId="0" borderId="0" xfId="0" applyNumberFormat="1" applyFont="1" applyFill="1" applyBorder="1"/>
    <x:xf numFmtId="208" fontId="3" fillId="0" borderId="0" xfId="0" applyNumberFormat="1" applyFont="1" applyFill="1" applyBorder="1" applyAlignment="1">
      <x:alignment horizontal="right"/>
    </x:xf>
    <x:xf numFmtId="207" fontId="3" fillId="3" borderId="0" xfId="0" applyNumberFormat="1" applyFont="1" applyFill="1" applyBorder="1" applyAlignment="1">
      <x:alignment horizontal="right"/>
    </x:xf>
    <x:xf numFmtId="208" fontId="3" fillId="3" borderId="0" xfId="0" applyNumberFormat="1" applyFont="1" applyFill="1" applyBorder="1" applyAlignment="1">
      <x:alignment horizontal="right"/>
    </x:xf>
    <x:xf numFmtId="0" fontId="13" fillId="3" borderId="0" xfId="0" applyNumberFormat="1" applyFont="1" applyFill="1" applyBorder="1"/>
    <x:xf numFmtId="207" fontId="13" fillId="3" borderId="0" xfId="0" applyNumberFormat="1" applyFont="1" applyFill="1" applyBorder="1" applyAlignment="1">
      <x:alignment horizontal="right"/>
    </x:xf>
    <x:xf numFmtId="208" fontId="13" fillId="3" borderId="0" xfId="0" applyNumberFormat="1" applyFont="1" applyFill="1" applyBorder="1" applyAlignment="1">
      <x:alignment horizontal="right"/>
    </x:xf>
    <x:xf numFmtId="0" fontId="13" fillId="3" borderId="10" xfId="0" applyNumberFormat="1" applyFont="1" applyFill="1" applyBorder="1"/>
    <x:xf numFmtId="207" fontId="13" fillId="3" borderId="10" xfId="0" applyNumberFormat="1" applyFont="1" applyFill="1" applyBorder="1" applyAlignment="1">
      <x:alignment horizontal="right"/>
    </x:xf>
    <x:xf numFmtId="208" fontId="13" fillId="3" borderId="10" xfId="0" applyNumberFormat="1" applyFont="1" applyFill="1" applyBorder="1" applyAlignment="1">
      <x:alignment horizontal="right"/>
    </x:xf>
    <x:xf numFmtId="209" fontId="7" fillId="9" borderId="9" xfId="0" applyNumberFormat="1" applyFont="1" applyFill="1" applyBorder="1" applyAlignment="1">
      <x:alignment vertical="center" wrapText="1"/>
    </x:xf>
    <x:xf numFmtId="203" fontId="3" fillId="0" borderId="0" xfId="0" applyNumberFormat="1" applyFont="1" applyFill="1" applyBorder="1"/>
    <x:xf numFmtId="202" fontId="3" fillId="0" borderId="0" xfId="0" applyNumberFormat="1" applyFont="1" applyFill="1" applyBorder="1"/>
    <x:xf numFmtId="204" fontId="3" fillId="0" borderId="0" xfId="0" applyNumberFormat="1" applyFont="1" applyFill="1" applyBorder="1"/>
    <x:xf numFmtId="200" fontId="3" fillId="0" borderId="0" xfId="0" applyNumberFormat="1" applyFont="1" applyFill="1" applyBorder="1"/>
    <x:xf numFmtId="210" fontId="3" fillId="0" borderId="0" xfId="0" applyNumberFormat="1" applyFont="1" applyFill="1" applyBorder="1"/>
    <x:xf numFmtId="0" fontId="14" fillId="2" borderId="0" xfId="0" applyNumberFormat="1" applyFont="1" applyFill="1" applyBorder="1"/>
    <x:xf numFmtId="0" fontId="15" fillId="0" borderId="0" xfId="0" applyNumberFormat="1" applyFont="1" applyFill="1" applyBorder="1"/>
    <x:xf numFmtId="0" fontId="11" fillId="7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wrapText="1"/>
    </x:xf>
    <x:xf numFmtId="200" fontId="3" fillId="0" borderId="0" xfId="0" applyNumberFormat="1" applyFont="1" applyFill="1" applyBorder="1" applyAlignment="1">
      <x:alignment wrapText="1"/>
    </x:xf>
    <x:xf numFmtId="0" fontId="15" fillId="0" borderId="0" xfId="0" applyNumberFormat="1" applyFont="1" applyFill="1" applyBorder="1" applyAlignment="1">
      <x:alignment wrapText="1"/>
    </x:xf>
  </x:cellXfs>
  <x:cellStyles count="1">
    <x:cellStyle name="Normal" xfId="0"/>
  </x:cellStyles>
  <x:dxfs count="10">
    <x:dxf>
      <x:font>
        <x:color rgb="FF2E7D32"/>
      </x:font>
      <x:fill>
        <x:patternFill patternType="solid">
          <x:bgColor rgb="FFE8F5E9"/>
        </x:patternFill>
      </x:fill>
    </x:dxf>
    <x:dxf>
      <x:font>
        <x:color rgb="FFC62828"/>
      </x:font>
      <x:fill>
        <x:patternFill patternType="solid">
          <x:bgColor rgb="FFFDECEC"/>
        </x:patternFill>
      </x:fill>
    </x:dxf>
    <x:dxf>
      <x:font>
        <x:color rgb="FF2E7D32"/>
      </x:font>
      <x:fill>
        <x:patternFill patternType="solid">
          <x:bgColor rgb="FFE8F5E9"/>
        </x:patternFill>
      </x:fill>
    </x:dxf>
    <x:dxf>
      <x:font>
        <x:color rgb="FFC62828"/>
      </x:font>
      <x:fill>
        <x:patternFill patternType="solid">
          <x:bgColor rgb="FFFDECEC"/>
        </x:patternFill>
      </x:fill>
    </x:dxf>
    <x:dxf>
      <x:font>
        <x:color rgb="FF2E7D32"/>
      </x:font>
      <x:fill>
        <x:patternFill patternType="solid">
          <x:bgColor rgb="FFE8F5E9"/>
        </x:patternFill>
      </x:fill>
    </x:dxf>
    <x:dxf>
      <x:font>
        <x:color rgb="FFC62828"/>
      </x:font>
      <x:fill>
        <x:patternFill patternType="solid">
          <x:bgColor rgb="FFFDECEC"/>
        </x:patternFill>
      </x:fill>
    </x:dxf>
    <x:dxf>
      <x:font>
        <x:color rgb="FF2E7D32"/>
      </x:font>
      <x:fill>
        <x:patternFill patternType="solid">
          <x:bgColor rgb="FFE8F5E9"/>
        </x:patternFill>
      </x:fill>
    </x:dxf>
    <x:dxf>
      <x:font>
        <x:color rgb="FFC62828"/>
      </x:font>
      <x:fill>
        <x:patternFill patternType="solid">
          <x:bgColor rgb="FFFDECEC"/>
        </x:patternFill>
      </x:fill>
    </x:dxf>
    <x:dxf>
      <x:font>
        <x:b/>
        <x:color rgb="FF2E7D32"/>
      </x:font>
      <x:fill>
        <x:patternFill patternType="solid">
          <x:bgColor rgb="FFE8F5E9"/>
        </x:patternFill>
      </x:fill>
    </x:dxf>
    <x:dxf>
      <x:font>
        <x:b/>
        <x:color rgb="FFC62828"/>
      </x:font>
      <x:fill>
        <x:patternFill patternType="solid">
          <x:bgColor rgb="FFFDECE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f219dc5956e42f6" /><Relationship Type="http://schemas.openxmlformats.org/officeDocument/2006/relationships/theme" Target="/xl/theme/theme1.xml" Id="R5016b7216daa4d80" /><Relationship Type="http://schemas.openxmlformats.org/officeDocument/2006/relationships/sharedStrings" Target="/xl/sharedStrings.xml" Id="Rb3e654f5c8fd489c" /><Relationship Type="http://schemas.openxmlformats.org/officeDocument/2006/relationships/worksheet" Target="/xl/worksheets/sheet1.xml" Id="Raa1718f20f204ac1" /><Relationship Type="http://schemas.openxmlformats.org/officeDocument/2006/relationships/worksheet" Target="/xl/worksheets/sheet2.xml" Id="Rc809a65b72d94e86" /><Relationship Type="http://schemas.openxmlformats.org/officeDocument/2006/relationships/worksheet" Target="/xl/worksheets/sheet3.xml" Id="Rf5d95e0b2f6d4dc9" /><Relationship Type="http://schemas.openxmlformats.org/officeDocument/2006/relationships/worksheet" Target="/xl/worksheets/sheet4.xml" Id="R5912a04a97f34630" /><Relationship Type="http://schemas.openxmlformats.org/officeDocument/2006/relationships/worksheet" Target="/xl/worksheets/sheet5.xml" Id="Rd76eb75c978d426e" /><Relationship Type="http://schemas.openxmlformats.org/officeDocument/2006/relationships/worksheet" Target="/xl/worksheets/sheet6.xml" Id="R8b584bac4f9e4a58" /><Relationship Type="http://schemas.openxmlformats.org/officeDocument/2006/relationships/worksheet" Target="/xl/worksheets/sheet7.xml" Id="Rf3d56d48df074c9f" /><Relationship Type="http://schemas.openxmlformats.org/officeDocument/2006/relationships/worksheet" Target="/xl/worksheets/sheet8.xml" Id="R5f787d89f832423c" /><Relationship Type="http://schemas.openxmlformats.org/officeDocument/2006/relationships/worksheet" Target="/xl/worksheets/sheet9.xml" Id="R657dbb92eec84844" /><Relationship Type="http://schemas.openxmlformats.org/officeDocument/2006/relationships/worksheet" Target="/xl/worksheets/sheet10.xml" Id="R6b849c1b8dde4bd9" /><Relationship Type="http://schemas.openxmlformats.org/officeDocument/2006/relationships/worksheet" Target="/xl/worksheets/sheet11.xml" Id="R8c5a84bc9c0b4420" /><Relationship Type="http://schemas.openxmlformats.org/officeDocument/2006/relationships/worksheet" Target="/xl/worksheets/sheet12.xml" Id="R16f0f160451444e5" /><Relationship Type="http://schemas.openxmlformats.org/officeDocument/2006/relationships/worksheet" Target="/xl/worksheets/sheet13.xml" Id="Ra7e22caeb9694a84" /><Relationship Type="http://schemas.openxmlformats.org/officeDocument/2006/relationships/worksheet" Target="/xl/worksheets/sheet14.xml" Id="R487347230c954d8f" /><Relationship Type="http://schemas.openxmlformats.org/officeDocument/2006/relationships/worksheet" Target="/xl/worksheets/sheet15.xml" Id="Rab80b8c6333a4a75" /><Relationship Type="http://schemas.openxmlformats.org/officeDocument/2006/relationships/worksheet" Target="/xl/worksheets/sheet16.xml" Id="Re69dfad6587c4b9c" /><Relationship Type="http://schemas.openxmlformats.org/officeDocument/2006/relationships/worksheet" Target="/xl/worksheets/sheet17.xml" Id="R826e8a6b47b44df3" /><Relationship Type="http://schemas.microsoft.com/office/2017/10/relationships/person" Target="/xl/persons/person.xml" Id="Rc1457204a16c4da3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68e81d6b06a942c6" /><Relationship Type="http://schemas.openxmlformats.org/officeDocument/2006/relationships/chart" Target="/xl/drawings/charts/chart2.xml" Id="R42624a17d86d4c92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3.xml" Id="R3c1cad7b1e624814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chart" Target="/xl/drawings/charts/chart4.xml" Id="R5dde5c7910034ccb" /><Relationship Type="http://schemas.openxmlformats.org/officeDocument/2006/relationships/chart" Target="/xl/drawings/charts/chart5.xml" Id="Rb87962e0412342c2" /></Relationships>
</file>

<file path=xl/drawings/_rels/drawing4.xml.rels>&#65279;<?xml version="1.0" encoding="utf-8"?><Relationships xmlns="http://schemas.openxmlformats.org/package/2006/relationships"><Relationship Type="http://schemas.openxmlformats.org/officeDocument/2006/relationships/chart" Target="/xl/drawings/charts/chart6.xml" Id="R2f53da4c7bd84094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Revenue trend ($m)</a:t>
            </a:r>
          </a:p>
        </c:rich>
      </c:tx>
    </c:title>
    <c:plotArea>
      <c:lineChart>
        <c:grouping val="standard"/>
        <c:ser>
          <c:idx val="0"/>
          <c:order val="0"/>
          <c:tx>
            <c:v>Actual</c:v>
          </c:tx>
          <c:marker>
            <c:symbol val="none"/>
          </c:marker>
          <c:cat>
            <c:strRef>
              <c:f>'Summary'!$A$22:$A$27</c:f>
              <c:strCache>
                <c:ptCount val="0"/>
              </c:strCache>
            </c:strRef>
          </c:cat>
          <c:val>
            <c:numRef>
              <c:f>'Summary'!$B$22:$B$27</c:f>
              <c:numCache>
                <c:formatCode>$0.0;[Red]($0.0);-</c:formatCode>
                <c:ptCount val="0"/>
              </c:numCache>
            </c:numRef>
          </c:val>
        </c:ser>
        <c:ser>
          <c:idx val="1"/>
          <c:order val="1"/>
          <c:tx>
            <c:v>Budget</c:v>
          </c:tx>
          <c:marker>
            <c:symbol val="none"/>
          </c:marker>
          <c:cat>
            <c:strRef>
              <c:f>'Summary'!$A$22:$A$27</c:f>
              <c:strCache>
                <c:ptCount val="0"/>
              </c:strCache>
            </c:strRef>
          </c:cat>
          <c:val>
            <c:numRef>
              <c:f>'Summary'!$C$22:$C$27</c:f>
              <c:numCache>
                <c:formatCode>$0.0;[Red]($0.0);-</c:formatCode>
                <c:ptCount val="0"/>
              </c:numCache>
            </c:numRef>
          </c:val>
        </c:ser>
        <c:ser>
          <c:idx val="2"/>
          <c:order val="2"/>
          <c:tx>
            <c:v>Prior Year</c:v>
          </c:tx>
          <c:marker>
            <c:symbol val="none"/>
          </c:marker>
          <c:cat>
            <c:strRef>
              <c:f>'Summary'!$A$22:$A$27</c:f>
              <c:strCache>
                <c:ptCount val="0"/>
              </c:strCache>
            </c:strRef>
          </c:cat>
          <c:val>
            <c:numRef>
              <c:f>'Summary'!$D$22:$D$27</c:f>
              <c:numCache>
                <c:formatCode>$0.0;[Red]($0.0);-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$0.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Favorable variance by P&amp;L line ($m)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Fav. Var ($m)</c:v>
          </c:tx>
          <c:cat>
            <c:strRef>
              <c:f>'Summary'!$A$32:$A$38</c:f>
              <c:strCache>
                <c:ptCount val="0"/>
              </c:strCache>
            </c:strRef>
          </c:cat>
          <c:val>
            <c:numRef>
              <c:f>'Summary'!$B$32:$B$38</c:f>
              <c:numCache>
                <c:formatCode>$0.0;[Red]($0.0);-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$0.0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Ending ARR trend ($m)</a:t>
            </a:r>
          </a:p>
        </c:rich>
      </c:tx>
    </c:title>
    <c:plotArea>
      <c:lineChart>
        <c:grouping val="standard"/>
        <c:ser>
          <c:idx val="0"/>
          <c:order val="0"/>
          <c:tx>
            <c:v>Ending ARR</c:v>
          </c:tx>
          <c:marker>
            <c:symbol val="none"/>
          </c:marker>
          <c:cat>
            <c:strRef>
              <c:f>'Revenue &amp; ARR'!$A$12:$A$17</c:f>
              <c:strCache>
                <c:ptCount val="0"/>
              </c:strCache>
            </c:strRef>
          </c:cat>
          <c:val>
            <c:numRef>
              <c:f>'Revenue &amp; ARR'!$G$12:$G$17</c:f>
              <c:numCache>
                <c:formatCode>$0.0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$0.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4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Headcount trend (FTE)</a:t>
            </a:r>
          </a:p>
        </c:rich>
      </c:tx>
    </c:title>
    <c:plotArea>
      <c:lineChart>
        <c:grouping val="standard"/>
        <c:ser>
          <c:idx val="0"/>
          <c:order val="0"/>
          <c:tx>
            <c:v>FTE</c:v>
          </c:tx>
          <c:marker>
            <c:symbol val="none"/>
          </c:marker>
          <c:cat>
            <c:strRef>
              <c:f>'Headcount &amp; Util'!$A$12:$A$17</c:f>
              <c:strCache>
                <c:ptCount val="0"/>
              </c:strCache>
            </c:strRef>
          </c:cat>
          <c:val>
            <c:numRef>
              <c:f>'Headcount &amp; Util'!$B$12:$B$17</c:f>
              <c:numCache>
                <c:formatCode>#,##0.0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5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June FTE by function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FTE</c:v>
          </c:tx>
          <c:cat>
            <c:strRef>
              <c:f>'Headcount &amp; Util'!$F$12:$F$15</c:f>
              <c:strCache>
                <c:ptCount val="0"/>
              </c:strCache>
            </c:strRef>
          </c:cat>
          <c:val>
            <c:numRef>
              <c:f>'Headcount &amp; Util'!$G$12:$G$15</c:f>
              <c:numCache>
                <c:formatCode>#,##0.0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6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Open AR by aging bucket ($m)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Open AR ($m)</c:v>
          </c:tx>
          <c:cat>
            <c:strRef>
              <c:f>'AR Aging'!$A$12:$A$16</c:f>
              <c:strCache>
                <c:ptCount val="0"/>
              </c:strCache>
            </c:strRef>
          </c:cat>
          <c:val>
            <c:numRef>
              <c:f>'AR Aging'!$B$12:$B$16</c:f>
              <c:numCache>
                <c:formatCode>$0.0;[Red]($0.0);-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$0.0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5</xdr:col>
      <xdr:colOff>0</xdr:colOff>
      <xdr:row>19</xdr:row>
      <xdr:rowOff>0</xdr:rowOff>
    </xdr:from>
    <xdr:to>
      <xdr:col>14</xdr:col>
      <xdr:colOff>0</xdr:colOff>
      <xdr:row>32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8e81d6b06a942c6"/>
        </a:graphicData>
      </a:graphic>
    </xdr:graphicFrame>
    <xdr:clientData/>
  </xdr:twoCellAnchor>
  <xdr:twoCellAnchor>
    <xdr:from>
      <xdr:col>5</xdr:col>
      <xdr:colOff>0</xdr:colOff>
      <xdr:row>33</xdr:row>
      <xdr:rowOff>0</xdr:rowOff>
    </xdr:from>
    <xdr:to>
      <xdr:col>14</xdr:col>
      <xdr:colOff>0</xdr:colOff>
      <xdr:row>48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2624a17d86d4c9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0</xdr:col>
      <xdr:colOff>0</xdr:colOff>
      <xdr:row>19</xdr:row>
      <xdr:rowOff>0</xdr:rowOff>
    </xdr:from>
    <xdr:to>
      <xdr:col>8</xdr:col>
      <xdr:colOff>0</xdr:colOff>
      <xdr:row>33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c1cad7b1e62481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>
  <xdr:twoCellAnchor>
    <xdr:from>
      <xdr:col>0</xdr:col>
      <xdr:colOff>0</xdr:colOff>
      <xdr:row>19</xdr:row>
      <xdr:rowOff>0</xdr:rowOff>
    </xdr:from>
    <xdr:to>
      <xdr:col>6</xdr:col>
      <xdr:colOff>0</xdr:colOff>
      <xdr:row>33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dde5c7910034ccb"/>
        </a:graphicData>
      </a:graphic>
    </xdr:graphicFrame>
    <xdr:clientData/>
  </xdr:twoCellAnchor>
  <xdr:twoCellAnchor>
    <xdr:from>
      <xdr:col>7</xdr:col>
      <xdr:colOff>0</xdr:colOff>
      <xdr:row>19</xdr:row>
      <xdr:rowOff>0</xdr:rowOff>
    </xdr:from>
    <xdr:to>
      <xdr:col>14</xdr:col>
      <xdr:colOff>0</xdr:colOff>
      <xdr:row>33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87962e0412342c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>
  <xdr:twoCellAnchor>
    <xdr:from>
      <xdr:col>0</xdr:col>
      <xdr:colOff>0</xdr:colOff>
      <xdr:row>18</xdr:row>
      <xdr:rowOff>0</xdr:rowOff>
    </xdr:from>
    <xdr:to>
      <xdr:col>6</xdr:col>
      <xdr:colOff>0</xdr:colOff>
      <xdr:row>32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f53da4c7bd84094"/>
        </a:graphicData>
      </a:graphic>
    </xdr:graphicFrame>
    <xdr:clientData/>
  </xdr:twoCellAnchor>
</xdr:wsDr>
</file>

<file path=xl/persons/person.xml><?xml version="1.0" encoding="utf-8"?>
<xltc:personList xmlns:xltc="http://schemas.microsoft.com/office/spreadsheetml/2018/threadedcomments">
  <xltc:person displayName="User" id="{6AF8DF0A-8258-44ED-98A2-24B4A03131A2}"/>
</xltc:personList>
</file>

<file path=xl/tables/table1.xml><?xml version="1.0" encoding="utf-8"?>
<x:table xmlns:x="http://schemas.openxmlformats.org/spreadsheetml/2006/main" id="1" name="DataPnlTable" displayName="DataPnlTable" ref="A1:P67" headerRowCount="1" totalsRowCount="0" totalsRowShown="0">
  <x:autoFilter ref="A1:P67"/>
  <x:tableColumns count="16">
    <x:tableColumn id="1" name="month_start"/>
    <x:tableColumn id="2" name="scenario"/>
    <x:tableColumn id="3" name="subscription_revenue_usd"/>
    <x:tableColumn id="4" name="services_revenue_usd"/>
    <x:tableColumn id="5" name="total_revenue_usd"/>
    <x:tableColumn id="6" name="cost_of_subscription_usd"/>
    <x:tableColumn id="7" name="cost_of_services_usd"/>
    <x:tableColumn id="8" name="gross_profit_usd"/>
    <x:tableColumn id="9" name="gross_margin_pct"/>
    <x:tableColumn id="10" name="sales_marketing_usd"/>
    <x:tableColumn id="11" name="research_development_usd"/>
    <x:tableColumn id="12" name="general_administrative_usd"/>
    <x:tableColumn id="13" name="adjusted_ebitda_usd"/>
    <x:tableColumn id="14" name="adjusted_ebitda_margin_pct"/>
    <x:tableColumn id="15" name="depreciation_amortization_usd"/>
    <x:tableColumn id="16" name="operating_income_usd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DataLineTable" displayName="DataLineTable" ref="A1:F529" headerRowCount="1" totalsRowCount="0" totalsRowShown="0">
  <x:autoFilter ref="A1:F529"/>
  <x:tableColumns count="6">
    <x:tableColumn id="1" name="month_start"/>
    <x:tableColumn id="2" name="scenario"/>
    <x:tableColumn id="3" name="pnl_line"/>
    <x:tableColumn id="4" name="statement_section"/>
    <x:tableColumn id="5" name="sort_order"/>
    <x:tableColumn id="6" name="amount_usd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DataKpiTable" displayName="DataKpiTable" ref="A1:I43" headerRowCount="1" totalsRowCount="0" totalsRowShown="0">
  <x:autoFilter ref="A1:I43"/>
  <x:tableColumns count="9">
    <x:tableColumn id="1" name="month_start"/>
    <x:tableColumn id="2" name="total_revenue_usd"/>
    <x:tableColumn id="3" name="gross_margin_pct"/>
    <x:tableColumn id="4" name="adjusted_ebitda_usd"/>
    <x:tableColumn id="5" name="adjusted_ebitda_margin_pct"/>
    <x:tableColumn id="6" name="ending_arr_usd"/>
    <x:tableColumn id="7" name="active_customers"/>
    <x:tableColumn id="8" name="total_fte"/>
    <x:tableColumn id="9" name="services_utilization_pct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DataArrTable" displayName="DataArrTable" ref="A1:H43" headerRowCount="1" totalsRowCount="0" totalsRowShown="0">
  <x:autoFilter ref="A1:H43"/>
  <x:tableColumns count="8">
    <x:tableColumn id="1" name="month_start"/>
    <x:tableColumn id="2" name="opening_arr_usd"/>
    <x:tableColumn id="3" name="new_arr_usd"/>
    <x:tableColumn id="4" name="expansion_arr_usd"/>
    <x:tableColumn id="5" name="contraction_arr_usd"/>
    <x:tableColumn id="6" name="churn_arr_usd"/>
    <x:tableColumn id="7" name="ending_arr_usd"/>
    <x:tableColumn id="8" name="active_customer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DataHcTable" displayName="DataHcTable" ref="A1:G1732" headerRowCount="1" totalsRowCount="0" totalsRowShown="0">
  <x:autoFilter ref="A1:G1732"/>
  <x:tableColumns count="7">
    <x:tableColumn id="1" name="month_start"/>
    <x:tableColumn id="2" name="department_name"/>
    <x:tableColumn id="3" name="function_group"/>
    <x:tableColumn id="4" name="region_name"/>
    <x:tableColumn id="5" name="fte"/>
    <x:tableColumn id="6" name="personnel_cost_usd"/>
    <x:tableColumn id="7" name="services_utilization_pct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DataProjectTable" displayName="DataProjectTable" ref="A1:P212" headerRowCount="1" totalsRowCount="0" totalsRowShown="0">
  <x:autoFilter ref="A1:P212"/>
  <x:tableColumns count="16">
    <x:tableColumn id="1" name="project_id"/>
    <x:tableColumn id="2" name="customer_name"/>
    <x:tableColumn id="3" name="segment"/>
    <x:tableColumn id="4" name="region_name"/>
    <x:tableColumn id="5" name="project_type"/>
    <x:tableColumn id="6" name="contract_type"/>
    <x:tableColumn id="7" name="start_month"/>
    <x:tableColumn id="8" name="planned_end_month"/>
    <x:tableColumn id="9" name="status"/>
    <x:tableColumn id="10" name="revenue_to_date_usd"/>
    <x:tableColumn id="11" name="direct_labor_cost_usd"/>
    <x:tableColumn id="12" name="subcontractor_cost_usd"/>
    <x:tableColumn id="13" name="travel_cost_usd"/>
    <x:tableColumn id="14" name="gross_profit_usd"/>
    <x:tableColumn id="15" name="gross_margin_pct"/>
    <x:tableColumn id="16" name="realized_bill_rate_us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DataArTable" displayName="DataArTable" ref="A1:P92" headerRowCount="1" totalsRowCount="0" totalsRowShown="0">
  <x:autoFilter ref="A1:P92"/>
  <x:tableColumns count="16">
    <x:tableColumn id="1" name="invoice_id"/>
    <x:tableColumn id="2" name="customer_id"/>
    <x:tableColumn id="3" name="customer_name"/>
    <x:tableColumn id="4" name="segment"/>
    <x:tableColumn id="5" name="region_name"/>
    <x:tableColumn id="6" name="project_id"/>
    <x:tableColumn id="7" name="invoice_type"/>
    <x:tableColumn id="8" name="issue_date"/>
    <x:tableColumn id="9" name="due_date"/>
    <x:tableColumn id="10" name="invoice_amount_usd"/>
    <x:tableColumn id="11" name="amount_paid_usd"/>
    <x:tableColumn id="12" name="outstanding_usd"/>
    <x:tableColumn id="13" name="invoice_status"/>
    <x:tableColumn id="14" name="days_past_due"/>
    <x:tableColumn id="15" name="aging_bucket"/>
    <x:tableColumn id="16" name="as_of_date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DataCustomerTable" displayName="DataCustomerTable" ref="A1:J285" headerRowCount="1" totalsRowCount="0" totalsRowShown="0">
  <x:autoFilter ref="A1:J285"/>
  <x:tableColumns count="10">
    <x:tableColumn id="1" name="revenue_rank"/>
    <x:tableColumn id="2" name="customer_id"/>
    <x:tableColumn id="3" name="customer_name"/>
    <x:tableColumn id="4" name="segment"/>
    <x:tableColumn id="5" name="industry"/>
    <x:tableColumn id="6" name="region_name"/>
    <x:tableColumn id="7" name="subscription_revenue_usd"/>
    <x:tableColumn id="8" name="services_revenue_usd"/>
    <x:tableColumn id="9" name="total_revenue_usd"/>
    <x:tableColumn id="10" name="revenue_share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DataChecksTable" displayName="DataChecksTable" ref="A1:F10" headerRowCount="1" totalsRowCount="0" totalsRowShown="0">
  <x:autoFilter ref="A1:F10"/>
  <x:tableColumns count="6">
    <x:tableColumn id="1" name="check_order"/>
    <x:tableColumn id="2" name="check_name"/>
    <x:tableColumn id="3" name="difference"/>
    <x:tableColumn id="4" name="tolerance"/>
    <x:tableColumn id="5" name="status"/>
    <x:tableColumn id="6" name="fix_locat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.xml><?xml version="1.0" encoding="utf-8"?>
<xltc:ThreadedComments xmlns:xltc="http://schemas.microsoft.com/office/spreadsheetml/2018/threadedcomments">
  <xltc:threadedComment ref="B7" dT="2026-07-26T00:12:17.578" personId="{6AF8DF0A-8258-44ED-98A2-24B4A03131A2}" id="{5E32F6EC-B800-051D-F8D5-2E2022CE599C}">
    <xltc:text>Source: https://www.sec.gov/Archives/edgar/data/1327811/000132781125000056/wday-20250131.htm | Accessed: 2026-07-25 | Use: Subscription and services revenue model; revenue recognition; retention and cost taxonomy</xltc:text>
  </xltc:threadedComment>
  <xltc:threadedComment ref="B8" dT="2026-07-26T00:12:17.579" personId="{6AF8DF0A-8258-44ED-98A2-24B4A03131A2}" id="{FEBFD440-FFEF-FD67-4910-D7716E6F1D76}">
    <xltc:text>Source: https://www.sec.gov/Archives/edgar/data/1557860/000162828025009110/glob-20241231.htm | Accessed: 2026-07-25 | Use: Professional services gross-margin calibration and project revenue recognition</xltc:text>
  </xltc:threadedComment>
  <xltc:threadedComment ref="B9" dT="2026-07-26T00:12:17.579" personId="{6AF8DF0A-8258-44ED-98A2-24B4A03131A2}" id="{E363CB39-B073-3191-E906-4EC0107ED9E1}">
    <xltc:text>Source: https://www.saas-capital.com/research/private-saas-company-growth-rate-benchmarks/ | Accessed: 2026-07-25 | Use: Growth-rate range and relationship between retention and growth</xltc:text>
  </xltc:threadedComment>
  <xltc:threadedComment ref="B10" dT="2026-07-26T00:12:17.579" personId="{6AF8DF0A-8258-44ED-98A2-24B4A03131A2}" id="{9A0D9225-2649-6908-6627-CCA14040D15A}">
    <xltc:text>Source: https://www.bls.gov/news.release/archives/ecec_09122025.htm | Accessed: 2026-07-25 | Use: Direction for salary loading and benefits</xltc:text>
  </xltc:threadedComment>
  <xltc:threadedComment ref="B11" dT="2026-07-26T00:12:17.579" personId="{6AF8DF0A-8258-44ED-98A2-24B4A03131A2}" id="{2CF18D71-D7CC-3B71-8369-FB82F6592212}">
    <xltc:text>Source: https://www.bls.gov/oes/2024/may/oes_ind.htm | Accessed: 2026-07-25 | Use: Relative salary bands by job family and industry</xltc:text>
  </xltc:threadedComment>
</xltc:ThreadedComments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20004e7c6e68463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2.xml" Id="R2537c5343da848a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drawing" Target="/xl/drawings/drawing3.xml" Id="Rd6f6f23406334fd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drawing" Target="/xl/drawings/drawing4.xml" Id="R5c7e1997e4c242c9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comments" Target="/xl/comments1.xml" Id="R9033b92ccdfd42c8" /><Relationship Type="http://schemas.openxmlformats.org/officeDocument/2006/relationships/vmlDrawing" Target="/xl/drawings/vmldrawing.vml" Id="Rf16ed8c5d0194649" /><Relationship Type="http://schemas.microsoft.com/office/2017/10/relationships/threadedComment" Target="/xl/threadedcomments/threadedcomment.xml" Id="Rfbdbf585b9ce4baa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1.xml" Id="Re123a58d4a4b4561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2.xml" Id="R5cca633d896a4c9e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3.xml" Id="Rc210f370a0d647ae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4.xml" Id="R29fdf501bf96498c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5.xml" Id="R6507abeef9a94126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6.xml" Id="R977db4a19a334d48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7.xml" Id="Rb696eb3c982a4835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8.xml" Id="Rb77b836262114820" /></Relationships>
</file>

<file path=xl/worksheets/_rels/sheet17.xml.rels>&#65279;<?xml version="1.0" encoding="utf-8"?><Relationships xmlns="http://schemas.openxmlformats.org/package/2006/relationships"><Relationship Type="http://schemas.openxmlformats.org/officeDocument/2006/relationships/table" Target="/xl/tables/table9.xml" Id="Rc58329ba7f0941b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1" hidden="0" customWidth="1"/>
    <x:col min="3" max="3" width="11" hidden="0" customWidth="1"/>
    <x:col min="4" max="4" width="11" hidden="0" customWidth="1"/>
    <x:col min="5" max="5" width="11" hidden="0" customWidth="1"/>
    <x:col min="6" max="6" width="11" hidden="0" customWidth="1"/>
    <x:col min="7" max="7" width="11" hidden="0" customWidth="1"/>
    <x:col min="8" max="8" width="11" hidden="0" customWidth="1"/>
    <x:col min="9" max="9" width="11" hidden="0" customWidth="1"/>
    <x:col min="10" max="10" width="11" hidden="0" customWidth="1"/>
    <x:col min="11" max="11" width="11" hidden="0" customWidth="1"/>
    <x:col min="12" max="12" width="11" hidden="0" customWidth="1"/>
    <x:col min="13" max="13" width="11" hidden="0" customWidth="1"/>
    <x:col min="14" max="14" width="11" hidden="0" customWidth="1"/>
  </x:cols>
  <x:sheetData>
    <x:row r="1" ht="30" customHeight="1">
      <x:c r="A1" s="14" t="str">
        <x:v>AsterCloud Monthly FP&amp;A Reporting</x:v>
      </x:c>
      <x:c r="B1" s="14" t="str">
        <x:v>AsterCloud Monthly FP&amp;A Reporting</x:v>
      </x:c>
      <x:c r="C1" s="14" t="str">
        <x:v>AsterCloud Monthly FP&amp;A Reporting</x:v>
      </x:c>
      <x:c r="D1" s="14" t="str">
        <x:v>AsterCloud Monthly FP&amp;A Reporting</x:v>
      </x:c>
      <x:c r="E1" s="14" t="str">
        <x:v>AsterCloud Monthly FP&amp;A Reporting</x:v>
      </x:c>
      <x:c r="F1" s="14" t="str">
        <x:v>AsterCloud Monthly FP&amp;A Reporting</x:v>
      </x:c>
      <x:c r="G1" s="14" t="str">
        <x:v>AsterCloud Monthly FP&amp;A Reporting</x:v>
      </x:c>
      <x:c r="H1" s="14" t="str">
        <x:v>AsterCloud Monthly FP&amp;A Reporting</x:v>
      </x:c>
      <x:c r="I1" s="14" t="str">
        <x:v>AsterCloud Monthly FP&amp;A Reporting</x:v>
      </x:c>
      <x:c r="J1" s="14" t="str">
        <x:v>AsterCloud Monthly FP&amp;A Reporting</x:v>
      </x:c>
      <x:c r="K1" s="14" t="str">
        <x:v>AsterCloud Monthly FP&amp;A Reporting</x:v>
      </x:c>
      <x:c r="L1" s="14" t="str">
        <x:v>AsterCloud Monthly FP&amp;A Reporting</x:v>
      </x:c>
      <x:c r="M1" s="14" t="str">
        <x:v>AsterCloud Monthly FP&amp;A Reporting</x:v>
      </x:c>
      <x:c r="N1" s="14" t="str">
        <x:v>AsterCloud Monthly FP&amp;A Reporting</x:v>
      </x:c>
    </x:row>
    <x:row r="2" ht="30" customHeight="1">
      <x:c r="A2" s="14" t="str">
        <x:v>AsterCloud Monthly FP&amp;A Reporting</x:v>
      </x:c>
      <x:c r="B2" s="14" t="str">
        <x:v>AsterCloud Monthly FP&amp;A Reporting</x:v>
      </x:c>
      <x:c r="C2" s="14" t="str">
        <x:v>AsterCloud Monthly FP&amp;A Reporting</x:v>
      </x:c>
      <x:c r="D2" s="14" t="str">
        <x:v>AsterCloud Monthly FP&amp;A Reporting</x:v>
      </x:c>
      <x:c r="E2" s="14" t="str">
        <x:v>AsterCloud Monthly FP&amp;A Reporting</x:v>
      </x:c>
      <x:c r="F2" s="14" t="str">
        <x:v>AsterCloud Monthly FP&amp;A Reporting</x:v>
      </x:c>
      <x:c r="G2" s="14" t="str">
        <x:v>AsterCloud Monthly FP&amp;A Reporting</x:v>
      </x:c>
      <x:c r="H2" s="14" t="str">
        <x:v>AsterCloud Monthly FP&amp;A Reporting</x:v>
      </x:c>
      <x:c r="I2" s="14" t="str">
        <x:v>AsterCloud Monthly FP&amp;A Reporting</x:v>
      </x:c>
      <x:c r="J2" s="14" t="str">
        <x:v>AsterCloud Monthly FP&amp;A Reporting</x:v>
      </x:c>
      <x:c r="K2" s="14" t="str">
        <x:v>AsterCloud Monthly FP&amp;A Reporting</x:v>
      </x:c>
      <x:c r="L2" s="14" t="str">
        <x:v>AsterCloud Monthly FP&amp;A Reporting</x:v>
      </x:c>
      <x:c r="M2" s="14" t="str">
        <x:v>AsterCloud Monthly FP&amp;A Reporting</x:v>
      </x:c>
      <x:c r="N2" s="14" t="str">
        <x:v>AsterCloud Monthly FP&amp;A Reporting</x:v>
      </x:c>
    </x:row>
    <x:row r="3" ht="19" customHeight="1">
      <x:c r="A3" s="17" t="str">
        <x:v>Executive management package | June 2026 close | USD millions unless noted</x:v>
      </x:c>
      <x:c r="B3" s="17" t="str">
        <x:v>Executive management package | June 2026 close | USD millions unless noted</x:v>
      </x:c>
      <x:c r="C3" s="17" t="str">
        <x:v>Executive management package | June 2026 close | USD millions unless noted</x:v>
      </x:c>
      <x:c r="D3" s="17" t="str">
        <x:v>Executive management package | June 2026 close | USD millions unless noted</x:v>
      </x:c>
      <x:c r="E3" s="17" t="str">
        <x:v>Executive management package | June 2026 close | USD millions unless noted</x:v>
      </x:c>
      <x:c r="F3" s="17" t="str">
        <x:v>Executive management package | June 2026 close | USD millions unless noted</x:v>
      </x:c>
      <x:c r="G3" s="17" t="str">
        <x:v>Executive management package | June 2026 close | USD millions unless noted</x:v>
      </x:c>
      <x:c r="H3" s="17" t="str">
        <x:v>Executive management package | June 2026 close | USD millions unless noted</x:v>
      </x:c>
      <x:c r="I3" s="17" t="str">
        <x:v>Executive management package | June 2026 close | USD millions unless noted</x:v>
      </x:c>
      <x:c r="J3" s="17" t="str">
        <x:v>Executive management package | June 2026 close | USD millions unless noted</x:v>
      </x:c>
      <x:c r="K3" s="17" t="str">
        <x:v>Executive management package | June 2026 close | USD millions unless noted</x:v>
      </x:c>
      <x:c r="L3" s="17" t="str">
        <x:v>Executive management package | June 2026 close | USD millions unless noted</x:v>
      </x:c>
      <x:c r="M3" s="17" t="str">
        <x:v>Executive management package | June 2026 close | USD millions unless noted</x:v>
      </x:c>
      <x:c r="N3" s="17" t="str">
        <x:v>Executive management package | June 2026 close | USD millions unless noted</x:v>
      </x:c>
    </x:row>
    <x:row r="4" ht="19" customHeight="1">
      <x:c r="A4" s="20" t="str">
        <x:v>As of</x:v>
      </x:c>
      <x:c r="B4" s="21" t="n">
        <x:v>46203</x:v>
      </x:c>
      <x:c r="C4" s="19" t="str"/>
      <x:c r="D4" s="20" t="str">
        <x:v>Forecast</x:v>
      </x:c>
      <x:c r="E4" s="19" t="str">
        <x:v>2026 Q2 6+6</x:v>
      </x:c>
      <x:c r="F4" s="19" t="str"/>
      <x:c r="G4" s="20" t="str">
        <x:v>Currency</x:v>
      </x:c>
      <x:c r="H4" s="19" t="str">
        <x:v>USD</x:v>
      </x:c>
      <x:c r="I4" s="19" t="str"/>
      <x:c r="J4" s="20" t="str">
        <x:v>Model status</x:v>
      </x:c>
      <x:c r="K4" s="22" t="str">
        <x:f>IF(COUNTIF('Data_Checks'!$E$2:$E$10,"FAIL")=0,"PASS","FAIL")</x:f>
        <x:v>PASS</x:v>
      </x:c>
      <x:c r="L4" s="11"/>
      <x:c r="M4" s="11"/>
      <x:c r="N4" s="11"/>
    </x:row>
    <x:row r="5" ht="19" customHeight="1">
      <x:c r="A5" s="11"/>
      <x:c r="B5" s="11"/>
      <x:c r="C5" s="11"/>
      <x:c r="D5" s="11"/>
      <x:c r="E5" s="11"/>
      <x:c r="F5" s="11"/>
      <x:c r="G5" s="11"/>
      <x:c r="H5" s="11"/>
      <x:c r="I5" s="11"/>
      <x:c r="J5" s="11"/>
      <x:c r="K5" s="11"/>
      <x:c r="L5" s="11"/>
      <x:c r="M5" s="11"/>
      <x:c r="N5" s="11"/>
    </x:row>
    <x:row r="6" ht="19" customHeight="1">
      <x:c r="A6" s="25" t="str">
        <x:v>H1 Revenue</x:v>
      </x:c>
      <x:c r="B6" s="25" t="str">
        <x:v>H1 Revenue</x:v>
      </x:c>
      <x:c r="C6" s="25" t="str">
        <x:v>H1 Revenue</x:v>
      </x:c>
      <x:c r="D6" s="46" t="str">
        <x:v>Revenue vs Budget</x:v>
      </x:c>
      <x:c r="E6" s="46" t="str">
        <x:v>Revenue vs Budget</x:v>
      </x:c>
      <x:c r="F6" s="46" t="str">
        <x:v>Revenue vs Budget</x:v>
      </x:c>
      <x:c r="G6" s="25" t="str">
        <x:v>H1 Gross Margin</x:v>
      </x:c>
      <x:c r="H6" s="25" t="str">
        <x:v>H1 Gross Margin</x:v>
      </x:c>
      <x:c r="I6" s="25" t="str">
        <x:v>H1 Gross Margin</x:v>
      </x:c>
      <x:c r="J6" s="25" t="str">
        <x:v>H1 Adjusted EBITDA</x:v>
      </x:c>
      <x:c r="K6" s="25" t="str">
        <x:v>H1 Adjusted EBITDA</x:v>
      </x:c>
      <x:c r="L6" s="25" t="str">
        <x:v>H1 Adjusted EBITDA</x:v>
      </x:c>
      <x:c r="M6" s="11"/>
      <x:c r="N6" s="11"/>
    </x:row>
    <x:row r="7" ht="19" customHeight="1">
      <x:c r="A7" s="38" t="n">
        <x:f>SUMIFS('Data_P&amp;L'!$E$2:$E$67,'Data_P&amp;L'!$B$2:$B$67,"Actual",'Data_P&amp;L'!$A$2:$A$67,"&gt;="&amp;DATE(2026,1,1),'Data_P&amp;L'!$A$2:$A$67,"&lt;="&amp;DATE(2026,6,1))/1000000</x:f>
        <x:v>69.56602720000001</x:v>
      </x:c>
      <x:c r="B7" s="39"/>
      <x:c r="C7" s="40"/>
      <x:c r="D7" s="59" t="n">
        <x:f>(SUMIFS('Data_P&amp;L'!$E$2:$E$67,'Data_P&amp;L'!$B$2:$B$67,"Actual",'Data_P&amp;L'!$A$2:$A$67,"&gt;="&amp;DATE(2026,1,1),'Data_P&amp;L'!$A$2:$A$67,"&lt;="&amp;DATE(2026,6,1))-SUMIFS('Data_P&amp;L'!$E$2:$E$67,'Data_P&amp;L'!$B$2:$B$67,"Budget",'Data_P&amp;L'!$A$2:$A$67,"&gt;="&amp;DATE(2026,1,1),'Data_P&amp;L'!$A$2:$A$67,"&lt;="&amp;DATE(2026,6,1)))/SUMIFS('Data_P&amp;L'!$E$2:$E$67,'Data_P&amp;L'!$B$2:$B$67,"Budget",'Data_P&amp;L'!$A$2:$A$67,"&gt;="&amp;DATE(2026,1,1),'Data_P&amp;L'!$A$2:$A$67,"&lt;="&amp;DATE(2026,6,1))</x:f>
        <x:v>-0.05520774041259601</x:v>
      </x:c>
      <x:c r="E7" s="60"/>
      <x:c r="F7" s="61"/>
      <x:c r="G7" s="71" t="n">
        <x:f>SUMIFS('Data_P&amp;L'!$H$2:$H$67,'Data_P&amp;L'!$B$2:$B$67,"Actual",'Data_P&amp;L'!$A$2:$A$67,"&gt;="&amp;DATE(2026,1,1),'Data_P&amp;L'!$A$2:$A$67,"&lt;="&amp;DATE(2026,6,1))/SUMIFS('Data_P&amp;L'!$E$2:$E$67,'Data_P&amp;L'!$B$2:$B$67,"Actual",'Data_P&amp;L'!$A$2:$A$67,"&gt;="&amp;DATE(2026,1,1),'Data_P&amp;L'!$A$2:$A$67,"&lt;="&amp;DATE(2026,6,1))</x:f>
        <x:v>0.6998256824417307</x:v>
      </x:c>
      <x:c r="H7" s="72"/>
      <x:c r="I7" s="73"/>
      <x:c r="J7" s="38" t="n">
        <x:f>SUMIFS('Data_P&amp;L'!$M$2:$M$67,'Data_P&amp;L'!$B$2:$B$67,"Actual",'Data_P&amp;L'!$A$2:$A$67,"&gt;="&amp;DATE(2026,1,1),'Data_P&amp;L'!$A$2:$A$67,"&lt;="&amp;DATE(2026,6,1))/1000000</x:f>
        <x:v>7.2062206</x:v>
      </x:c>
      <x:c r="K7" s="39"/>
      <x:c r="L7" s="40"/>
      <x:c r="M7" s="11"/>
      <x:c r="N7" s="11"/>
    </x:row>
    <x:row r="8" ht="19" customHeight="1">
      <x:c r="A8" s="41"/>
      <x:c r="B8" s="42"/>
      <x:c r="C8" s="43"/>
      <x:c r="D8" s="62"/>
      <x:c r="E8" s="63"/>
      <x:c r="F8" s="64"/>
      <x:c r="G8" s="74"/>
      <x:c r="H8" s="75"/>
      <x:c r="I8" s="76"/>
      <x:c r="J8" s="41"/>
      <x:c r="K8" s="42"/>
      <x:c r="L8" s="43"/>
      <x:c r="M8" s="11"/>
      <x:c r="N8" s="11"/>
    </x:row>
    <x:row r="9" ht="19" customHeight="1">
      <x:c r="A9" s="11"/>
      <x:c r="B9" s="11"/>
      <x:c r="C9" s="11"/>
      <x:c r="D9" s="11"/>
      <x:c r="E9" s="11"/>
      <x:c r="F9" s="11"/>
      <x:c r="G9" s="11"/>
      <x:c r="H9" s="11"/>
      <x:c r="I9" s="11"/>
      <x:c r="J9" s="11"/>
      <x:c r="K9" s="11"/>
      <x:c r="L9" s="11"/>
      <x:c r="M9" s="11"/>
      <x:c r="N9" s="11"/>
    </x:row>
    <x:row r="10" ht="19" customHeight="1">
      <x:c r="A10" s="79" t="str">
        <x:v>FY26 Q2 Forecast Revenue</x:v>
      </x:c>
      <x:c r="B10" s="79" t="str">
        <x:v>FY26 Q2 Forecast Revenue</x:v>
      </x:c>
      <x:c r="C10" s="79" t="str">
        <x:v>FY26 Q2 Forecast Revenue</x:v>
      </x:c>
      <x:c r="D10" s="46" t="str">
        <x:v>Forecast vs Budget</x:v>
      </x:c>
      <x:c r="E10" s="46" t="str">
        <x:v>Forecast vs Budget</x:v>
      </x:c>
      <x:c r="F10" s="46" t="str">
        <x:v>Forecast vs Budget</x:v>
      </x:c>
      <x:c r="G10" s="25" t="str">
        <x:v>Ending ARR</x:v>
      </x:c>
      <x:c r="H10" s="25" t="str">
        <x:v>Ending ARR</x:v>
      </x:c>
      <x:c r="I10" s="25" t="str">
        <x:v>Ending ARR</x:v>
      </x:c>
      <x:c r="J10" s="25" t="str">
        <x:v>Headcount / Utilization</x:v>
      </x:c>
      <x:c r="K10" s="25" t="str">
        <x:v>Headcount / Utilization</x:v>
      </x:c>
      <x:c r="L10" s="25" t="str">
        <x:v>Headcount / Utilization</x:v>
      </x:c>
      <x:c r="M10" s="24" t="str">
        <x:v>Services Util.</x:v>
      </x:c>
      <x:c r="N10" s="24" t="str">
        <x:v>Services Util.</x:v>
      </x:c>
    </x:row>
    <x:row r="11" ht="19" customHeight="1">
      <x:c r="A11" s="92" t="n">
        <x:f>SUMIFS('Data_P&amp;L'!$E$2:$E$67,'Data_P&amp;L'!$B$2:$B$67,"Q2 Forecast",'Data_P&amp;L'!$A$2:$A$67,"&gt;="&amp;DATE(2026,1,1),'Data_P&amp;L'!$A$2:$A$67,"&lt;="&amp;DATE(2026,12,1))/1000000</x:f>
        <x:v>145.01892398</x:v>
      </x:c>
      <x:c r="B11" s="93"/>
      <x:c r="C11" s="94"/>
      <x:c r="D11" s="59" t="n">
        <x:f>(SUMIFS('Data_P&amp;L'!$E$2:$E$67,'Data_P&amp;L'!$B$2:$B$67,"Q2 Forecast")-SUMIFS('Data_P&amp;L'!$E$2:$E$67,'Data_P&amp;L'!$B$2:$B$67,"Budget"))/SUMIFS('Data_P&amp;L'!$E$2:$E$67,'Data_P&amp;L'!$B$2:$B$67,"Budget")</x:f>
        <x:v>-0.05276034166051168</x:v>
      </x:c>
      <x:c r="E11" s="60"/>
      <x:c r="F11" s="61"/>
      <x:c r="G11" s="38" t="n">
        <x:f>SUMIFS('Data_KPI'!$F$2:$F$43,'Data_KPI'!$A$2:$A$43,DATE(2026,6,1))/1000000</x:f>
        <x:v>117.76191048</x:v>
      </x:c>
      <x:c r="H11" s="39"/>
      <x:c r="I11" s="40"/>
      <x:c r="J11" s="104" t="n">
        <x:f>SUMIFS('Data_KPI'!$H$2:$H$43,'Data_KPI'!$A$2:$A$43,DATE(2026,6,1))</x:f>
        <x:v>422.6</x:v>
      </x:c>
      <x:c r="K11" s="105"/>
      <x:c r="L11" s="106"/>
      <x:c r="M11" s="72" t="n">
        <x:f>SUMIFS('Data_KPI'!$I$2:$I$43,'Data_KPI'!$A$2:$A$43,DATE(2026,6,1))</x:f>
        <x:v>0.7728</x:v>
      </x:c>
      <x:c r="N11" s="72"/>
    </x:row>
    <x:row r="12" ht="19" customHeight="1">
      <x:c r="A12" s="95"/>
      <x:c r="B12" s="96"/>
      <x:c r="C12" s="97"/>
      <x:c r="D12" s="62"/>
      <x:c r="E12" s="63"/>
      <x:c r="F12" s="64"/>
      <x:c r="G12" s="41"/>
      <x:c r="H12" s="42"/>
      <x:c r="I12" s="43"/>
      <x:c r="J12" s="107"/>
      <x:c r="K12" s="108"/>
      <x:c r="L12" s="109"/>
      <x:c r="M12" s="72"/>
      <x:c r="N12" s="72"/>
    </x:row>
    <x:row r="13" ht="19" customHeight="1">
      <x:c r="A13" s="11"/>
      <x:c r="B13" s="11"/>
      <x:c r="C13" s="11"/>
      <x:c r="D13" s="11"/>
      <x:c r="E13" s="11"/>
      <x:c r="F13" s="11"/>
      <x:c r="G13" s="11"/>
      <x:c r="H13" s="11"/>
      <x:c r="I13" s="11"/>
      <x:c r="J13" s="11"/>
      <x:c r="K13" s="11"/>
      <x:c r="L13" s="11"/>
      <x:c r="M13" s="11"/>
      <x:c r="N13" s="11"/>
    </x:row>
    <x:row r="14" ht="19" customHeight="1">
      <x:c r="A14" s="112" t="str">
        <x:v>Management Takeaways</x:v>
      </x:c>
      <x:c r="B14" s="112" t="str">
        <x:v>Management Takeaways</x:v>
      </x:c>
      <x:c r="C14" s="112" t="str">
        <x:v>Management Takeaways</x:v>
      </x:c>
      <x:c r="D14" s="112" t="str">
        <x:v>Management Takeaways</x:v>
      </x:c>
      <x:c r="E14" s="112" t="str">
        <x:v>Management Takeaways</x:v>
      </x:c>
      <x:c r="F14" s="112" t="str">
        <x:v>Management Takeaways</x:v>
      </x:c>
      <x:c r="G14" s="112" t="str">
        <x:v>Management Takeaways</x:v>
      </x:c>
      <x:c r="H14" s="112" t="str">
        <x:v>Management Takeaways</x:v>
      </x:c>
      <x:c r="I14" s="112" t="str">
        <x:v>Management Takeaways</x:v>
      </x:c>
      <x:c r="J14" s="112" t="str">
        <x:v>Management Takeaways</x:v>
      </x:c>
      <x:c r="K14" s="112" t="str">
        <x:v>Management Takeaways</x:v>
      </x:c>
      <x:c r="L14" s="112" t="str">
        <x:v>Management Takeaways</x:v>
      </x:c>
      <x:c r="M14" s="112" t="str">
        <x:v>Management Takeaways</x:v>
      </x:c>
      <x:c r="N14" s="112" t="str">
        <x:v>Management Takeaways</x:v>
      </x:c>
    </x:row>
    <x:row r="15" ht="26" customHeight="1">
      <x:c r="A15" s="131" t="str">
        <x:v>Revenue: H1 actual revenue is $69.6m, $4.1m below budget. Subscription is $2.5m below plan and services is $1.6m below plan.
Forecast: Q2 full-year revenue is $145.0m versus $153.1m budget; adjusted EBITDA is $18.8m versus $22.6m budget.
Drivers: two enterprise renewal losses reduced ARR in April and June; services starts lagged plan. Hiring delays offset part of the profit gap.
Margin: May cloud commitment savings improve hosting unit cost; H1 gross margin is 0.8 points below budget.</x:v>
      </x:c>
      <x:c r="B15" s="132" t="str">
        <x:v>Revenue: H1 actual revenue is $69.6m, $4.1m below budget. Subscription is $2.5m below plan and services is $1.6m below plan.
Forecast: Q2 full-year revenue is $145.0m versus $153.1m budget; adjusted EBITDA is $18.8m versus $22.6m budget.
Drivers: two enterprise renewal losses reduced ARR in April and June; services starts lagged plan. Hiring delays offset part of the profit gap.
Margin: May cloud commitment savings improve hosting unit cost; H1 gross margin is 0.8 points below budget.</x:v>
      </x:c>
      <x:c r="C15" s="132" t="str">
        <x:v>Revenue: H1 actual revenue is $69.6m, $4.1m below budget. Subscription is $2.5m below plan and services is $1.6m below plan.
Forecast: Q2 full-year revenue is $145.0m versus $153.1m budget; adjusted EBITDA is $18.8m versus $22.6m budget.
Drivers: two enterprise renewal losses reduced ARR in April and June; services starts lagged plan. Hiring delays offset part of the profit gap.
Margin: May cloud commitment savings improve hosting unit cost; H1 gross margin is 0.8 points below budget.</x:v>
      </x:c>
      <x:c r="D15" s="132" t="str">
        <x:v>Revenue: H1 actual revenue is $69.6m, $4.1m below budget. Subscription is $2.5m below plan and services is $1.6m below plan.
Forecast: Q2 full-year revenue is $145.0m versus $153.1m budget; adjusted EBITDA is $18.8m versus $22.6m budget.
Drivers: two enterprise renewal losses reduced ARR in April and June; services starts lagged plan. Hiring delays offset part of the profit gap.
Margin: May cloud commitment savings improve hosting unit cost; H1 gross margin is 0.8 points below budget.</x:v>
      </x:c>
      <x:c r="E15" s="132" t="str">
        <x:v>Revenue: H1 actual revenue is $69.6m, $4.1m below budget. Subscription is $2.5m below plan and services is $1.6m below plan.
Forecast: Q2 full-year revenue is $145.0m versus $153.1m budget; adjusted EBITDA is $18.8m versus $22.6m budget.
Drivers: two enterprise renewal losses reduced ARR in April and June; services starts lagged plan. Hiring delays offset part of the profit gap.
Margin: May cloud commitment savings improve hosting unit cost; H1 gross margin is 0.8 points below budget.</x:v>
      </x:c>
      <x:c r="F15" s="132" t="str">
        <x:v>Revenue: H1 actual revenue is $69.6m, $4.1m below budget. Subscription is $2.5m below plan and services is $1.6m below plan.
Forecast: Q2 full-year revenue is $145.0m versus $153.1m budget; adjusted EBITDA is $18.8m versus $22.6m budget.
Drivers: two enterprise renewal losses reduced ARR in April and June; services starts lagged plan. Hiring delays offset part of the profit gap.
Margin: May cloud commitment savings improve hosting unit cost; H1 gross margin is 0.8 points below budget.</x:v>
      </x:c>
      <x:c r="G15" s="132" t="str">
        <x:v>Revenue: H1 actual revenue is $69.6m, $4.1m below budget. Subscription is $2.5m below plan and services is $1.6m below plan.
Forecast: Q2 full-year revenue is $145.0m versus $153.1m budget; adjusted EBITDA is $18.8m versus $22.6m budget.
Drivers: two enterprise renewal losses reduced ARR in April and June; services starts lagged plan. Hiring delays offset part of the profit gap.
Margin: May cloud commitment savings improve hosting unit cost; H1 gross margin is 0.8 points below budget.</x:v>
      </x:c>
      <x:c r="H15" s="132" t="str">
        <x:v>Revenue: H1 actual revenue is $69.6m, $4.1m below budget. Subscription is $2.5m below plan and services is $1.6m below plan.
Forecast: Q2 full-year revenue is $145.0m versus $153.1m budget; adjusted EBITDA is $18.8m versus $22.6m budget.
Drivers: two enterprise renewal losses reduced ARR in April and June; services starts lagged plan. Hiring delays offset part of the profit gap.
Margin: May cloud commitment savings improve hosting unit cost; H1 gross margin is 0.8 points below budget.</x:v>
      </x:c>
      <x:c r="I15" s="132" t="str">
        <x:v>Revenue: H1 actual revenue is $69.6m, $4.1m below budget. Subscription is $2.5m below plan and services is $1.6m below plan.
Forecast: Q2 full-year revenue is $145.0m versus $153.1m budget; adjusted EBITDA is $18.8m versus $22.6m budget.
Drivers: two enterprise renewal losses reduced ARR in April and June; services starts lagged plan. Hiring delays offset part of the profit gap.
Margin: May cloud commitment savings improve hosting unit cost; H1 gross margin is 0.8 points below budget.</x:v>
      </x:c>
      <x:c r="J15" s="132" t="str">
        <x:v>Revenue: H1 actual revenue is $69.6m, $4.1m below budget. Subscription is $2.5m below plan and services is $1.6m below plan.
Forecast: Q2 full-year revenue is $145.0m versus $153.1m budget; adjusted EBITDA is $18.8m versus $22.6m budget.
Drivers: two enterprise renewal losses reduced ARR in April and June; services starts lagged plan. Hiring delays offset part of the profit gap.
Margin: May cloud commitment savings improve hosting unit cost; H1 gross margin is 0.8 points below budget.</x:v>
      </x:c>
      <x:c r="K15" s="132" t="str">
        <x:v>Revenue: H1 actual revenue is $69.6m, $4.1m below budget. Subscription is $2.5m below plan and services is $1.6m below plan.
Forecast: Q2 full-year revenue is $145.0m versus $153.1m budget; adjusted EBITDA is $18.8m versus $22.6m budget.
Drivers: two enterprise renewal losses reduced ARR in April and June; services starts lagged plan. Hiring delays offset part of the profit gap.
Margin: May cloud commitment savings improve hosting unit cost; H1 gross margin is 0.8 points below budget.</x:v>
      </x:c>
      <x:c r="L15" s="132" t="str">
        <x:v>Revenue: H1 actual revenue is $69.6m, $4.1m below budget. Subscription is $2.5m below plan and services is $1.6m below plan.
Forecast: Q2 full-year revenue is $145.0m versus $153.1m budget; adjusted EBITDA is $18.8m versus $22.6m budget.
Drivers: two enterprise renewal losses reduced ARR in April and June; services starts lagged plan. Hiring delays offset part of the profit gap.
Margin: May cloud commitment savings improve hosting unit cost; H1 gross margin is 0.8 points below budget.</x:v>
      </x:c>
      <x:c r="M15" s="132" t="str">
        <x:v>Revenue: H1 actual revenue is $69.6m, $4.1m below budget. Subscription is $2.5m below plan and services is $1.6m below plan.
Forecast: Q2 full-year revenue is $145.0m versus $153.1m budget; adjusted EBITDA is $18.8m versus $22.6m budget.
Drivers: two enterprise renewal losses reduced ARR in April and June; services starts lagged plan. Hiring delays offset part of the profit gap.
Margin: May cloud commitment savings improve hosting unit cost; H1 gross margin is 0.8 points below budget.</x:v>
      </x:c>
      <x:c r="N15" s="133" t="str">
        <x:v>Revenue: H1 actual revenue is $69.6m, $4.1m below budget. Subscription is $2.5m below plan and services is $1.6m below plan.
Forecast: Q2 full-year revenue is $145.0m versus $153.1m budget; adjusted EBITDA is $18.8m versus $22.6m budget.
Drivers: two enterprise renewal losses reduced ARR in April and June; services starts lagged plan. Hiring delays offset part of the profit gap.
Margin: May cloud commitment savings improve hosting unit cost; H1 gross margin is 0.8 points below budget.</x:v>
      </x:c>
    </x:row>
    <x:row r="16" ht="26" customHeight="1">
      <x:c r="A16" s="134" t="str">
        <x:v>Revenue: H1 actual revenue is $69.6m, $4.1m below budget. Subscription is $2.5m below plan and services is $1.6m below plan.
Forecast: Q2 full-year revenue is $145.0m versus $153.1m budget; adjusted EBITDA is $18.8m versus $22.6m budget.
Drivers: two enterprise renewal losses reduced ARR in April and June; services starts lagged plan. Hiring delays offset part of the profit gap.
Margin: May cloud commitment savings improve hosting unit cost; H1 gross margin is 0.8 points below budget.</x:v>
      </x:c>
      <x:c r="B16" s="135" t="str">
        <x:v>Revenue: H1 actual revenue is $69.6m, $4.1m below budget. Subscription is $2.5m below plan and services is $1.6m below plan.
Forecast: Q2 full-year revenue is $145.0m versus $153.1m budget; adjusted EBITDA is $18.8m versus $22.6m budget.
Drivers: two enterprise renewal losses reduced ARR in April and June; services starts lagged plan. Hiring delays offset part of the profit gap.
Margin: May cloud commitment savings improve hosting unit cost; H1 gross margin is 0.8 points below budget.</x:v>
      </x:c>
      <x:c r="C16" s="135" t="str">
        <x:v>Revenue: H1 actual revenue is $69.6m, $4.1m below budget. Subscription is $2.5m below plan and services is $1.6m below plan.
Forecast: Q2 full-year revenue is $145.0m versus $153.1m budget; adjusted EBITDA is $18.8m versus $22.6m budget.
Drivers: two enterprise renewal losses reduced ARR in April and June; services starts lagged plan. Hiring delays offset part of the profit gap.
Margin: May cloud commitment savings improve hosting unit cost; H1 gross margin is 0.8 points below budget.</x:v>
      </x:c>
      <x:c r="D16" s="135" t="str">
        <x:v>Revenue: H1 actual revenue is $69.6m, $4.1m below budget. Subscription is $2.5m below plan and services is $1.6m below plan.
Forecast: Q2 full-year revenue is $145.0m versus $153.1m budget; adjusted EBITDA is $18.8m versus $22.6m budget.
Drivers: two enterprise renewal losses reduced ARR in April and June; services starts lagged plan. Hiring delays offset part of the profit gap.
Margin: May cloud commitment savings improve hosting unit cost; H1 gross margin is 0.8 points below budget.</x:v>
      </x:c>
      <x:c r="E16" s="135" t="str">
        <x:v>Revenue: H1 actual revenue is $69.6m, $4.1m below budget. Subscription is $2.5m below plan and services is $1.6m below plan.
Forecast: Q2 full-year revenue is $145.0m versus $153.1m budget; adjusted EBITDA is $18.8m versus $22.6m budget.
Drivers: two enterprise renewal losses reduced ARR in April and June; services starts lagged plan. Hiring delays offset part of the profit gap.
Margin: May cloud commitment savings improve hosting unit cost; H1 gross margin is 0.8 points below budget.</x:v>
      </x:c>
      <x:c r="F16" s="135" t="str">
        <x:v>Revenue: H1 actual revenue is $69.6m, $4.1m below budget. Subscription is $2.5m below plan and services is $1.6m below plan.
Forecast: Q2 full-year revenue is $145.0m versus $153.1m budget; adjusted EBITDA is $18.8m versus $22.6m budget.
Drivers: two enterprise renewal losses reduced ARR in April and June; services starts lagged plan. Hiring delays offset part of the profit gap.
Margin: May cloud commitment savings improve hosting unit cost; H1 gross margin is 0.8 points below budget.</x:v>
      </x:c>
      <x:c r="G16" s="135" t="str">
        <x:v>Revenue: H1 actual revenue is $69.6m, $4.1m below budget. Subscription is $2.5m below plan and services is $1.6m below plan.
Forecast: Q2 full-year revenue is $145.0m versus $153.1m budget; adjusted EBITDA is $18.8m versus $22.6m budget.
Drivers: two enterprise renewal losses reduced ARR in April and June; services starts lagged plan. Hiring delays offset part of the profit gap.
Margin: May cloud commitment savings improve hosting unit cost; H1 gross margin is 0.8 points below budget.</x:v>
      </x:c>
      <x:c r="H16" s="135" t="str">
        <x:v>Revenue: H1 actual revenue is $69.6m, $4.1m below budget. Subscription is $2.5m below plan and services is $1.6m below plan.
Forecast: Q2 full-year revenue is $145.0m versus $153.1m budget; adjusted EBITDA is $18.8m versus $22.6m budget.
Drivers: two enterprise renewal losses reduced ARR in April and June; services starts lagged plan. Hiring delays offset part of the profit gap.
Margin: May cloud commitment savings improve hosting unit cost; H1 gross margin is 0.8 points below budget.</x:v>
      </x:c>
      <x:c r="I16" s="135" t="str">
        <x:v>Revenue: H1 actual revenue is $69.6m, $4.1m below budget. Subscription is $2.5m below plan and services is $1.6m below plan.
Forecast: Q2 full-year revenue is $145.0m versus $153.1m budget; adjusted EBITDA is $18.8m versus $22.6m budget.
Drivers: two enterprise renewal losses reduced ARR in April and June; services starts lagged plan. Hiring delays offset part of the profit gap.
Margin: May cloud commitment savings improve hosting unit cost; H1 gross margin is 0.8 points below budget.</x:v>
      </x:c>
      <x:c r="J16" s="135" t="str">
        <x:v>Revenue: H1 actual revenue is $69.6m, $4.1m below budget. Subscription is $2.5m below plan and services is $1.6m below plan.
Forecast: Q2 full-year revenue is $145.0m versus $153.1m budget; adjusted EBITDA is $18.8m versus $22.6m budget.
Drivers: two enterprise renewal losses reduced ARR in April and June; services starts lagged plan. Hiring delays offset part of the profit gap.
Margin: May cloud commitment savings improve hosting unit cost; H1 gross margin is 0.8 points below budget.</x:v>
      </x:c>
      <x:c r="K16" s="135" t="str">
        <x:v>Revenue: H1 actual revenue is $69.6m, $4.1m below budget. Subscription is $2.5m below plan and services is $1.6m below plan.
Forecast: Q2 full-year revenue is $145.0m versus $153.1m budget; adjusted EBITDA is $18.8m versus $22.6m budget.
Drivers: two enterprise renewal losses reduced ARR in April and June; services starts lagged plan. Hiring delays offset part of the profit gap.
Margin: May cloud commitment savings improve hosting unit cost; H1 gross margin is 0.8 points below budget.</x:v>
      </x:c>
      <x:c r="L16" s="135" t="str">
        <x:v>Revenue: H1 actual revenue is $69.6m, $4.1m below budget. Subscription is $2.5m below plan and services is $1.6m below plan.
Forecast: Q2 full-year revenue is $145.0m versus $153.1m budget; adjusted EBITDA is $18.8m versus $22.6m budget.
Drivers: two enterprise renewal losses reduced ARR in April and June; services starts lagged plan. Hiring delays offset part of the profit gap.
Margin: May cloud commitment savings improve hosting unit cost; H1 gross margin is 0.8 points below budget.</x:v>
      </x:c>
      <x:c r="M16" s="135" t="str">
        <x:v>Revenue: H1 actual revenue is $69.6m, $4.1m below budget. Subscription is $2.5m below plan and services is $1.6m below plan.
Forecast: Q2 full-year revenue is $145.0m versus $153.1m budget; adjusted EBITDA is $18.8m versus $22.6m budget.
Drivers: two enterprise renewal losses reduced ARR in April and June; services starts lagged plan. Hiring delays offset part of the profit gap.
Margin: May cloud commitment savings improve hosting unit cost; H1 gross margin is 0.8 points below budget.</x:v>
      </x:c>
      <x:c r="N16" s="136" t="str">
        <x:v>Revenue: H1 actual revenue is $69.6m, $4.1m below budget. Subscription is $2.5m below plan and services is $1.6m below plan.
Forecast: Q2 full-year revenue is $145.0m versus $153.1m budget; adjusted EBITDA is $18.8m versus $22.6m budget.
Drivers: two enterprise renewal losses reduced ARR in April and June; services starts lagged plan. Hiring delays offset part of the profit gap.
Margin: May cloud commitment savings improve hosting unit cost; H1 gross margin is 0.8 points below budget.</x:v>
      </x:c>
    </x:row>
    <x:row r="17" ht="26" customHeight="1">
      <x:c r="A17" s="134" t="str">
        <x:v>Revenue: H1 actual revenue is $69.6m, $4.1m below budget. Subscription is $2.5m below plan and services is $1.6m below plan.
Forecast: Q2 full-year revenue is $145.0m versus $153.1m budget; adjusted EBITDA is $18.8m versus $22.6m budget.
Drivers: two enterprise renewal losses reduced ARR in April and June; services starts lagged plan. Hiring delays offset part of the profit gap.
Margin: May cloud commitment savings improve hosting unit cost; H1 gross margin is 0.8 points below budget.</x:v>
      </x:c>
      <x:c r="B17" s="135" t="str">
        <x:v>Revenue: H1 actual revenue is $69.6m, $4.1m below budget. Subscription is $2.5m below plan and services is $1.6m below plan.
Forecast: Q2 full-year revenue is $145.0m versus $153.1m budget; adjusted EBITDA is $18.8m versus $22.6m budget.
Drivers: two enterprise renewal losses reduced ARR in April and June; services starts lagged plan. Hiring delays offset part of the profit gap.
Margin: May cloud commitment savings improve hosting unit cost; H1 gross margin is 0.8 points below budget.</x:v>
      </x:c>
      <x:c r="C17" s="135" t="str">
        <x:v>Revenue: H1 actual revenue is $69.6m, $4.1m below budget. Subscription is $2.5m below plan and services is $1.6m below plan.
Forecast: Q2 full-year revenue is $145.0m versus $153.1m budget; adjusted EBITDA is $18.8m versus $22.6m budget.
Drivers: two enterprise renewal losses reduced ARR in April and June; services starts lagged plan. Hiring delays offset part of the profit gap.
Margin: May cloud commitment savings improve hosting unit cost; H1 gross margin is 0.8 points below budget.</x:v>
      </x:c>
      <x:c r="D17" s="135" t="str">
        <x:v>Revenue: H1 actual revenue is $69.6m, $4.1m below budget. Subscription is $2.5m below plan and services is $1.6m below plan.
Forecast: Q2 full-year revenue is $145.0m versus $153.1m budget; adjusted EBITDA is $18.8m versus $22.6m budget.
Drivers: two enterprise renewal losses reduced ARR in April and June; services starts lagged plan. Hiring delays offset part of the profit gap.
Margin: May cloud commitment savings improve hosting unit cost; H1 gross margin is 0.8 points below budget.</x:v>
      </x:c>
      <x:c r="E17" s="135" t="str">
        <x:v>Revenue: H1 actual revenue is $69.6m, $4.1m below budget. Subscription is $2.5m below plan and services is $1.6m below plan.
Forecast: Q2 full-year revenue is $145.0m versus $153.1m budget; adjusted EBITDA is $18.8m versus $22.6m budget.
Drivers: two enterprise renewal losses reduced ARR in April and June; services starts lagged plan. Hiring delays offset part of the profit gap.
Margin: May cloud commitment savings improve hosting unit cost; H1 gross margin is 0.8 points below budget.</x:v>
      </x:c>
      <x:c r="F17" s="135" t="str">
        <x:v>Revenue: H1 actual revenue is $69.6m, $4.1m below budget. Subscription is $2.5m below plan and services is $1.6m below plan.
Forecast: Q2 full-year revenue is $145.0m versus $153.1m budget; adjusted EBITDA is $18.8m versus $22.6m budget.
Drivers: two enterprise renewal losses reduced ARR in April and June; services starts lagged plan. Hiring delays offset part of the profit gap.
Margin: May cloud commitment savings improve hosting unit cost; H1 gross margin is 0.8 points below budget.</x:v>
      </x:c>
      <x:c r="G17" s="135" t="str">
        <x:v>Revenue: H1 actual revenue is $69.6m, $4.1m below budget. Subscription is $2.5m below plan and services is $1.6m below plan.
Forecast: Q2 full-year revenue is $145.0m versus $153.1m budget; adjusted EBITDA is $18.8m versus $22.6m budget.
Drivers: two enterprise renewal losses reduced ARR in April and June; services starts lagged plan. Hiring delays offset part of the profit gap.
Margin: May cloud commitment savings improve hosting unit cost; H1 gross margin is 0.8 points below budget.</x:v>
      </x:c>
      <x:c r="H17" s="135" t="str">
        <x:v>Revenue: H1 actual revenue is $69.6m, $4.1m below budget. Subscription is $2.5m below plan and services is $1.6m below plan.
Forecast: Q2 full-year revenue is $145.0m versus $153.1m budget; adjusted EBITDA is $18.8m versus $22.6m budget.
Drivers: two enterprise renewal losses reduced ARR in April and June; services starts lagged plan. Hiring delays offset part of the profit gap.
Margin: May cloud commitment savings improve hosting unit cost; H1 gross margin is 0.8 points below budget.</x:v>
      </x:c>
      <x:c r="I17" s="135" t="str">
        <x:v>Revenue: H1 actual revenue is $69.6m, $4.1m below budget. Subscription is $2.5m below plan and services is $1.6m below plan.
Forecast: Q2 full-year revenue is $145.0m versus $153.1m budget; adjusted EBITDA is $18.8m versus $22.6m budget.
Drivers: two enterprise renewal losses reduced ARR in April and June; services starts lagged plan. Hiring delays offset part of the profit gap.
Margin: May cloud commitment savings improve hosting unit cost; H1 gross margin is 0.8 points below budget.</x:v>
      </x:c>
      <x:c r="J17" s="135" t="str">
        <x:v>Revenue: H1 actual revenue is $69.6m, $4.1m below budget. Subscription is $2.5m below plan and services is $1.6m below plan.
Forecast: Q2 full-year revenue is $145.0m versus $153.1m budget; adjusted EBITDA is $18.8m versus $22.6m budget.
Drivers: two enterprise renewal losses reduced ARR in April and June; services starts lagged plan. Hiring delays offset part of the profit gap.
Margin: May cloud commitment savings improve hosting unit cost; H1 gross margin is 0.8 points below budget.</x:v>
      </x:c>
      <x:c r="K17" s="135" t="str">
        <x:v>Revenue: H1 actual revenue is $69.6m, $4.1m below budget. Subscription is $2.5m below plan and services is $1.6m below plan.
Forecast: Q2 full-year revenue is $145.0m versus $153.1m budget; adjusted EBITDA is $18.8m versus $22.6m budget.
Drivers: two enterprise renewal losses reduced ARR in April and June; services starts lagged plan. Hiring delays offset part of the profit gap.
Margin: May cloud commitment savings improve hosting unit cost; H1 gross margin is 0.8 points below budget.</x:v>
      </x:c>
      <x:c r="L17" s="135" t="str">
        <x:v>Revenue: H1 actual revenue is $69.6m, $4.1m below budget. Subscription is $2.5m below plan and services is $1.6m below plan.
Forecast: Q2 full-year revenue is $145.0m versus $153.1m budget; adjusted EBITDA is $18.8m versus $22.6m budget.
Drivers: two enterprise renewal losses reduced ARR in April and June; services starts lagged plan. Hiring delays offset part of the profit gap.
Margin: May cloud commitment savings improve hosting unit cost; H1 gross margin is 0.8 points below budget.</x:v>
      </x:c>
      <x:c r="M17" s="135" t="str">
        <x:v>Revenue: H1 actual revenue is $69.6m, $4.1m below budget. Subscription is $2.5m below plan and services is $1.6m below plan.
Forecast: Q2 full-year revenue is $145.0m versus $153.1m budget; adjusted EBITDA is $18.8m versus $22.6m budget.
Drivers: two enterprise renewal losses reduced ARR in April and June; services starts lagged plan. Hiring delays offset part of the profit gap.
Margin: May cloud commitment savings improve hosting unit cost; H1 gross margin is 0.8 points below budget.</x:v>
      </x:c>
      <x:c r="N17" s="136" t="str">
        <x:v>Revenue: H1 actual revenue is $69.6m, $4.1m below budget. Subscription is $2.5m below plan and services is $1.6m below plan.
Forecast: Q2 full-year revenue is $145.0m versus $153.1m budget; adjusted EBITDA is $18.8m versus $22.6m budget.
Drivers: two enterprise renewal losses reduced ARR in April and June; services starts lagged plan. Hiring delays offset part of the profit gap.
Margin: May cloud commitment savings improve hosting unit cost; H1 gross margin is 0.8 points below budget.</x:v>
      </x:c>
    </x:row>
    <x:row r="18" ht="26" customHeight="1">
      <x:c r="A18" s="137" t="str">
        <x:v>Revenue: H1 actual revenue is $69.6m, $4.1m below budget. Subscription is $2.5m below plan and services is $1.6m below plan.
Forecast: Q2 full-year revenue is $145.0m versus $153.1m budget; adjusted EBITDA is $18.8m versus $22.6m budget.
Drivers: two enterprise renewal losses reduced ARR in April and June; services starts lagged plan. Hiring delays offset part of the profit gap.
Margin: May cloud commitment savings improve hosting unit cost; H1 gross margin is 0.8 points below budget.</x:v>
      </x:c>
      <x:c r="B18" s="138" t="str">
        <x:v>Revenue: H1 actual revenue is $69.6m, $4.1m below budget. Subscription is $2.5m below plan and services is $1.6m below plan.
Forecast: Q2 full-year revenue is $145.0m versus $153.1m budget; adjusted EBITDA is $18.8m versus $22.6m budget.
Drivers: two enterprise renewal losses reduced ARR in April and June; services starts lagged plan. Hiring delays offset part of the profit gap.
Margin: May cloud commitment savings improve hosting unit cost; H1 gross margin is 0.8 points below budget.</x:v>
      </x:c>
      <x:c r="C18" s="138" t="str">
        <x:v>Revenue: H1 actual revenue is $69.6m, $4.1m below budget. Subscription is $2.5m below plan and services is $1.6m below plan.
Forecast: Q2 full-year revenue is $145.0m versus $153.1m budget; adjusted EBITDA is $18.8m versus $22.6m budget.
Drivers: two enterprise renewal losses reduced ARR in April and June; services starts lagged plan. Hiring delays offset part of the profit gap.
Margin: May cloud commitment savings improve hosting unit cost; H1 gross margin is 0.8 points below budget.</x:v>
      </x:c>
      <x:c r="D18" s="138" t="str">
        <x:v>Revenue: H1 actual revenue is $69.6m, $4.1m below budget. Subscription is $2.5m below plan and services is $1.6m below plan.
Forecast: Q2 full-year revenue is $145.0m versus $153.1m budget; adjusted EBITDA is $18.8m versus $22.6m budget.
Drivers: two enterprise renewal losses reduced ARR in April and June; services starts lagged plan. Hiring delays offset part of the profit gap.
Margin: May cloud commitment savings improve hosting unit cost; H1 gross margin is 0.8 points below budget.</x:v>
      </x:c>
      <x:c r="E18" s="138" t="str">
        <x:v>Revenue: H1 actual revenue is $69.6m, $4.1m below budget. Subscription is $2.5m below plan and services is $1.6m below plan.
Forecast: Q2 full-year revenue is $145.0m versus $153.1m budget; adjusted EBITDA is $18.8m versus $22.6m budget.
Drivers: two enterprise renewal losses reduced ARR in April and June; services starts lagged plan. Hiring delays offset part of the profit gap.
Margin: May cloud commitment savings improve hosting unit cost; H1 gross margin is 0.8 points below budget.</x:v>
      </x:c>
      <x:c r="F18" s="138" t="str">
        <x:v>Revenue: H1 actual revenue is $69.6m, $4.1m below budget. Subscription is $2.5m below plan and services is $1.6m below plan.
Forecast: Q2 full-year revenue is $145.0m versus $153.1m budget; adjusted EBITDA is $18.8m versus $22.6m budget.
Drivers: two enterprise renewal losses reduced ARR in April and June; services starts lagged plan. Hiring delays offset part of the profit gap.
Margin: May cloud commitment savings improve hosting unit cost; H1 gross margin is 0.8 points below budget.</x:v>
      </x:c>
      <x:c r="G18" s="138" t="str">
        <x:v>Revenue: H1 actual revenue is $69.6m, $4.1m below budget. Subscription is $2.5m below plan and services is $1.6m below plan.
Forecast: Q2 full-year revenue is $145.0m versus $153.1m budget; adjusted EBITDA is $18.8m versus $22.6m budget.
Drivers: two enterprise renewal losses reduced ARR in April and June; services starts lagged plan. Hiring delays offset part of the profit gap.
Margin: May cloud commitment savings improve hosting unit cost; H1 gross margin is 0.8 points below budget.</x:v>
      </x:c>
      <x:c r="H18" s="138" t="str">
        <x:v>Revenue: H1 actual revenue is $69.6m, $4.1m below budget. Subscription is $2.5m below plan and services is $1.6m below plan.
Forecast: Q2 full-year revenue is $145.0m versus $153.1m budget; adjusted EBITDA is $18.8m versus $22.6m budget.
Drivers: two enterprise renewal losses reduced ARR in April and June; services starts lagged plan. Hiring delays offset part of the profit gap.
Margin: May cloud commitment savings improve hosting unit cost; H1 gross margin is 0.8 points below budget.</x:v>
      </x:c>
      <x:c r="I18" s="138" t="str">
        <x:v>Revenue: H1 actual revenue is $69.6m, $4.1m below budget. Subscription is $2.5m below plan and services is $1.6m below plan.
Forecast: Q2 full-year revenue is $145.0m versus $153.1m budget; adjusted EBITDA is $18.8m versus $22.6m budget.
Drivers: two enterprise renewal losses reduced ARR in April and June; services starts lagged plan. Hiring delays offset part of the profit gap.
Margin: May cloud commitment savings improve hosting unit cost; H1 gross margin is 0.8 points below budget.</x:v>
      </x:c>
      <x:c r="J18" s="138" t="str">
        <x:v>Revenue: H1 actual revenue is $69.6m, $4.1m below budget. Subscription is $2.5m below plan and services is $1.6m below plan.
Forecast: Q2 full-year revenue is $145.0m versus $153.1m budget; adjusted EBITDA is $18.8m versus $22.6m budget.
Drivers: two enterprise renewal losses reduced ARR in April and June; services starts lagged plan. Hiring delays offset part of the profit gap.
Margin: May cloud commitment savings improve hosting unit cost; H1 gross margin is 0.8 points below budget.</x:v>
      </x:c>
      <x:c r="K18" s="138" t="str">
        <x:v>Revenue: H1 actual revenue is $69.6m, $4.1m below budget. Subscription is $2.5m below plan and services is $1.6m below plan.
Forecast: Q2 full-year revenue is $145.0m versus $153.1m budget; adjusted EBITDA is $18.8m versus $22.6m budget.
Drivers: two enterprise renewal losses reduced ARR in April and June; services starts lagged plan. Hiring delays offset part of the profit gap.
Margin: May cloud commitment savings improve hosting unit cost; H1 gross margin is 0.8 points below budget.</x:v>
      </x:c>
      <x:c r="L18" s="138" t="str">
        <x:v>Revenue: H1 actual revenue is $69.6m, $4.1m below budget. Subscription is $2.5m below plan and services is $1.6m below plan.
Forecast: Q2 full-year revenue is $145.0m versus $153.1m budget; adjusted EBITDA is $18.8m versus $22.6m budget.
Drivers: two enterprise renewal losses reduced ARR in April and June; services starts lagged plan. Hiring delays offset part of the profit gap.
Margin: May cloud commitment savings improve hosting unit cost; H1 gross margin is 0.8 points below budget.</x:v>
      </x:c>
      <x:c r="M18" s="138" t="str">
        <x:v>Revenue: H1 actual revenue is $69.6m, $4.1m below budget. Subscription is $2.5m below plan and services is $1.6m below plan.
Forecast: Q2 full-year revenue is $145.0m versus $153.1m budget; adjusted EBITDA is $18.8m versus $22.6m budget.
Drivers: two enterprise renewal losses reduced ARR in April and June; services starts lagged plan. Hiring delays offset part of the profit gap.
Margin: May cloud commitment savings improve hosting unit cost; H1 gross margin is 0.8 points below budget.</x:v>
      </x:c>
      <x:c r="N18" s="139" t="str">
        <x:v>Revenue: H1 actual revenue is $69.6m, $4.1m below budget. Subscription is $2.5m below plan and services is $1.6m below plan.
Forecast: Q2 full-year revenue is $145.0m versus $153.1m budget; adjusted EBITDA is $18.8m versus $22.6m budget.
Drivers: two enterprise renewal losses reduced ARR in April and June; services starts lagged plan. Hiring delays offset part of the profit gap.
Margin: May cloud commitment savings improve hosting unit cost; H1 gross margin is 0.8 points below budget.</x:v>
      </x:c>
    </x:row>
    <x:row r="19" ht="19" customHeight="1">
      <x:c r="A19" s="11"/>
      <x:c r="B19" s="11"/>
      <x:c r="C19" s="11"/>
      <x:c r="D19" s="11"/>
      <x:c r="E19" s="11"/>
      <x:c r="F19" s="11"/>
      <x:c r="G19" s="11"/>
      <x:c r="H19" s="11"/>
      <x:c r="I19" s="11"/>
      <x:c r="J19" s="11"/>
      <x:c r="K19" s="11"/>
      <x:c r="L19" s="11"/>
      <x:c r="M19" s="11"/>
      <x:c r="N19" s="11"/>
    </x:row>
    <x:row r="20" ht="19" customHeight="1">
      <x:c r="A20" s="112" t="str">
        <x:v>Monthly Revenue Trend</x:v>
      </x:c>
      <x:c r="B20" s="112" t="str">
        <x:v>Monthly Revenue Trend</x:v>
      </x:c>
      <x:c r="C20" s="112" t="str">
        <x:v>Monthly Revenue Trend</x:v>
      </x:c>
      <x:c r="D20" s="112" t="str">
        <x:v>Monthly Revenue Trend</x:v>
      </x:c>
      <x:c r="E20" s="11"/>
      <x:c r="F20" s="11"/>
      <x:c r="G20" s="11"/>
      <x:c r="H20" s="11"/>
      <x:c r="I20" s="11"/>
      <x:c r="J20" s="11"/>
      <x:c r="K20" s="11"/>
      <x:c r="L20" s="11"/>
      <x:c r="M20" s="11"/>
      <x:c r="N20" s="11"/>
    </x:row>
    <x:row r="21" ht="19" customHeight="1">
      <x:c r="A21" s="144" t="str">
        <x:v>Month</x:v>
      </x:c>
      <x:c r="B21" s="144" t="str">
        <x:v>Actual</x:v>
      </x:c>
      <x:c r="C21" s="144" t="str">
        <x:v>Budget</x:v>
      </x:c>
      <x:c r="D21" s="144" t="str">
        <x:v>Prior Year</x:v>
      </x:c>
      <x:c r="E21" s="11"/>
      <x:c r="F21" s="11"/>
      <x:c r="G21" s="11"/>
      <x:c r="H21" s="11"/>
      <x:c r="I21" s="11"/>
      <x:c r="J21" s="11"/>
      <x:c r="K21" s="11"/>
      <x:c r="L21" s="11"/>
      <x:c r="M21" s="11"/>
      <x:c r="N21" s="11"/>
    </x:row>
    <x:row r="22" ht="19" customHeight="1">
      <x:c r="A22" s="11" t="str">
        <x:v>Jan</x:v>
      </x:c>
      <x:c r="B22" s="146" t="n">
        <x:f>SUMIFS('Data_P&amp;L'!$E$2:$E$67,'Data_P&amp;L'!$A$2:$A$67,DATE(2026,1,1),'Data_P&amp;L'!$B$2:$B$67,"Actual")/1000000</x:f>
        <x:v>11.39219077</x:v>
      </x:c>
      <x:c r="C22" s="146" t="n">
        <x:f>SUMIFS('Data_P&amp;L'!$E$2:$E$67,'Data_P&amp;L'!$A$2:$A$67,DATE(2026,1,1),'Data_P&amp;L'!$B$2:$B$67,"Budget")/1000000</x:f>
        <x:v>12.2545906</x:v>
      </x:c>
      <x:c r="D22" s="146" t="n">
        <x:f>SUMIFS('Data_P&amp;L'!$E$2:$E$67,'Data_P&amp;L'!$A$2:$A$67,DATE(2025,1,1),'Data_P&amp;L'!$B$2:$B$67,"Actual")/1000000</x:f>
        <x:v>10.45332861</x:v>
      </x:c>
      <x:c r="E22" s="11"/>
      <x:c r="F22" s="11"/>
      <x:c r="G22" s="11"/>
      <x:c r="H22" s="11"/>
      <x:c r="I22" s="11"/>
      <x:c r="J22" s="11"/>
      <x:c r="K22" s="11"/>
      <x:c r="L22" s="11"/>
      <x:c r="M22" s="11"/>
      <x:c r="N22" s="11"/>
    </x:row>
    <x:row r="23" ht="19" customHeight="1">
      <x:c r="A23" s="11" t="str">
        <x:v>Feb</x:v>
      </x:c>
      <x:c r="B23" s="146" t="n">
        <x:f>SUMIFS('Data_P&amp;L'!$E$2:$E$67,'Data_P&amp;L'!$A$2:$A$67,DATE(2026,2,1),'Data_P&amp;L'!$B$2:$B$67,"Actual")/1000000</x:f>
        <x:v>11.693406320000001</x:v>
      </x:c>
      <x:c r="C23" s="146" t="n">
        <x:f>SUMIFS('Data_P&amp;L'!$E$2:$E$67,'Data_P&amp;L'!$A$2:$A$67,DATE(2026,2,1),'Data_P&amp;L'!$B$2:$B$67,"Budget")/1000000</x:f>
        <x:v>12.5886727</x:v>
      </x:c>
      <x:c r="D23" s="146" t="n">
        <x:f>SUMIFS('Data_P&amp;L'!$E$2:$E$67,'Data_P&amp;L'!$A$2:$A$67,DATE(2025,2,1),'Data_P&amp;L'!$B$2:$B$67,"Actual")/1000000</x:f>
        <x:v>10.74366309</x:v>
      </x:c>
      <x:c r="E23" s="11"/>
      <x:c r="F23" s="11"/>
      <x:c r="G23" s="11"/>
      <x:c r="H23" s="11"/>
      <x:c r="I23" s="11"/>
      <x:c r="J23" s="11"/>
      <x:c r="K23" s="11"/>
      <x:c r="L23" s="11"/>
      <x:c r="M23" s="11"/>
      <x:c r="N23" s="11"/>
    </x:row>
    <x:row r="24" ht="19" customHeight="1">
      <x:c r="A24" s="11" t="str">
        <x:v>Mar</x:v>
      </x:c>
      <x:c r="B24" s="146" t="n">
        <x:f>SUMIFS('Data_P&amp;L'!$E$2:$E$67,'Data_P&amp;L'!$A$2:$A$67,DATE(2026,3,1),'Data_P&amp;L'!$B$2:$B$67,"Actual")/1000000</x:f>
        <x:v>11.59893194</x:v>
      </x:c>
      <x:c r="C24" s="146" t="n">
        <x:f>SUMIFS('Data_P&amp;L'!$E$2:$E$67,'Data_P&amp;L'!$A$2:$A$67,DATE(2026,3,1),'Data_P&amp;L'!$B$2:$B$67,"Budget")/1000000</x:f>
        <x:v>12.35904938</x:v>
      </x:c>
      <x:c r="D24" s="146" t="n">
        <x:f>SUMIFS('Data_P&amp;L'!$E$2:$E$67,'Data_P&amp;L'!$A$2:$A$67,DATE(2025,3,1),'Data_P&amp;L'!$B$2:$B$67,"Actual")/1000000</x:f>
        <x:v>10.5395483</x:v>
      </x:c>
      <x:c r="E24" s="11"/>
      <x:c r="F24" s="11"/>
      <x:c r="G24" s="11"/>
      <x:c r="H24" s="11"/>
      <x:c r="I24" s="11"/>
      <x:c r="J24" s="11"/>
      <x:c r="K24" s="11"/>
      <x:c r="L24" s="11"/>
      <x:c r="M24" s="11"/>
      <x:c r="N24" s="11"/>
    </x:row>
    <x:row r="25" ht="19" customHeight="1">
      <x:c r="A25" s="11" t="str">
        <x:v>Apr</x:v>
      </x:c>
      <x:c r="B25" s="146" t="n">
        <x:f>SUMIFS('Data_P&amp;L'!$E$2:$E$67,'Data_P&amp;L'!$A$2:$A$67,DATE(2026,4,1),'Data_P&amp;L'!$B$2:$B$67,"Actual")/1000000</x:f>
        <x:v>11.519643460000001</x:v>
      </x:c>
      <x:c r="C25" s="146" t="n">
        <x:f>SUMIFS('Data_P&amp;L'!$E$2:$E$67,'Data_P&amp;L'!$A$2:$A$67,DATE(2026,4,1),'Data_P&amp;L'!$B$2:$B$67,"Budget")/1000000</x:f>
        <x:v>12.04920884</x:v>
      </x:c>
      <x:c r="D25" s="146" t="n">
        <x:f>SUMIFS('Data_P&amp;L'!$E$2:$E$67,'Data_P&amp;L'!$A$2:$A$67,DATE(2025,4,1),'Data_P&amp;L'!$B$2:$B$67,"Actual")/1000000</x:f>
        <x:v>10.26458753</x:v>
      </x:c>
      <x:c r="E25" s="11"/>
      <x:c r="F25" s="11"/>
      <x:c r="G25" s="11"/>
      <x:c r="H25" s="11"/>
      <x:c r="I25" s="11"/>
      <x:c r="J25" s="11"/>
      <x:c r="K25" s="11"/>
      <x:c r="L25" s="11"/>
      <x:c r="M25" s="11"/>
      <x:c r="N25" s="11"/>
    </x:row>
    <x:row r="26" ht="19" customHeight="1">
      <x:c r="A26" s="11" t="str">
        <x:v>May</x:v>
      </x:c>
      <x:c r="B26" s="146" t="n">
        <x:f>SUMIFS('Data_P&amp;L'!$E$2:$E$67,'Data_P&amp;L'!$A$2:$A$67,DATE(2026,5,1),'Data_P&amp;L'!$B$2:$B$67,"Actual")/1000000</x:f>
        <x:v>11.83674131</x:v>
      </x:c>
      <x:c r="C26" s="146" t="n">
        <x:f>SUMIFS('Data_P&amp;L'!$E$2:$E$67,'Data_P&amp;L'!$A$2:$A$67,DATE(2026,5,1),'Data_P&amp;L'!$B$2:$B$67,"Budget")/1000000</x:f>
        <x:v>11.98758953</x:v>
      </x:c>
      <x:c r="D26" s="146" t="n">
        <x:f>SUMIFS('Data_P&amp;L'!$E$2:$E$67,'Data_P&amp;L'!$A$2:$A$67,DATE(2025,5,1),'Data_P&amp;L'!$B$2:$B$67,"Actual")/1000000</x:f>
        <x:v>10.20380472</x:v>
      </x:c>
      <x:c r="E26" s="11"/>
      <x:c r="F26" s="11"/>
      <x:c r="G26" s="11"/>
      <x:c r="H26" s="11"/>
      <x:c r="I26" s="11"/>
      <x:c r="J26" s="11"/>
      <x:c r="K26" s="11"/>
      <x:c r="L26" s="11"/>
      <x:c r="M26" s="11"/>
      <x:c r="N26" s="11"/>
    </x:row>
    <x:row r="27" ht="19" customHeight="1">
      <x:c r="A27" s="11" t="str">
        <x:v>Jun</x:v>
      </x:c>
      <x:c r="B27" s="146" t="n">
        <x:f>SUMIFS('Data_P&amp;L'!$E$2:$E$67,'Data_P&amp;L'!$A$2:$A$67,DATE(2026,6,1),'Data_P&amp;L'!$B$2:$B$67,"Actual")/1000000</x:f>
        <x:v>11.5251134</x:v>
      </x:c>
      <x:c r="C27" s="146" t="n">
        <x:f>SUMIFS('Data_P&amp;L'!$E$2:$E$67,'Data_P&amp;L'!$A$2:$A$67,DATE(2026,6,1),'Data_P&amp;L'!$B$2:$B$67,"Budget")/1000000</x:f>
        <x:v>12.39191894</x:v>
      </x:c>
      <x:c r="D27" s="146" t="n">
        <x:f>SUMIFS('Data_P&amp;L'!$E$2:$E$67,'Data_P&amp;L'!$A$2:$A$67,DATE(2025,6,1),'Data_P&amp;L'!$B$2:$B$67,"Actual")/1000000</x:f>
        <x:v>10.55004909</x:v>
      </x:c>
      <x:c r="E27" s="11"/>
      <x:c r="F27" s="11"/>
      <x:c r="G27" s="11"/>
      <x:c r="H27" s="11"/>
      <x:c r="I27" s="11"/>
      <x:c r="J27" s="11"/>
      <x:c r="K27" s="11"/>
      <x:c r="L27" s="11"/>
      <x:c r="M27" s="11"/>
      <x:c r="N27" s="11"/>
    </x:row>
    <x:row r="28" ht="19" customHeight="1">
      <x:c r="A28" s="11"/>
      <x:c r="B28" s="11"/>
      <x:c r="C28" s="11"/>
      <x:c r="D28" s="11"/>
      <x:c r="E28" s="11"/>
      <x:c r="F28" s="11"/>
      <x:c r="G28" s="11"/>
      <x:c r="H28" s="11"/>
      <x:c r="I28" s="11"/>
      <x:c r="J28" s="11"/>
      <x:c r="K28" s="11"/>
      <x:c r="L28" s="11"/>
      <x:c r="M28" s="11"/>
      <x:c r="N28" s="11"/>
    </x:row>
    <x:row r="29" ht="19" customHeight="1">
      <x:c r="A29" s="11"/>
      <x:c r="B29" s="11"/>
      <x:c r="C29" s="11"/>
      <x:c r="D29" s="11"/>
      <x:c r="E29" s="11"/>
      <x:c r="F29" s="11"/>
      <x:c r="G29" s="11"/>
      <x:c r="H29" s="11"/>
      <x:c r="I29" s="11"/>
      <x:c r="J29" s="11"/>
      <x:c r="K29" s="11"/>
      <x:c r="L29" s="11"/>
      <x:c r="M29" s="11"/>
      <x:c r="N29" s="11"/>
    </x:row>
    <x:row r="30" ht="19" customHeight="1">
      <x:c r="A30" s="112" t="str">
        <x:v>H1 Favorable Variance</x:v>
      </x:c>
      <x:c r="B30" s="112" t="str">
        <x:v>H1 Favorable Variance</x:v>
      </x:c>
      <x:c r="C30" s="112" t="str">
        <x:v>H1 Favorable Variance</x:v>
      </x:c>
      <x:c r="D30" s="11"/>
      <x:c r="E30" s="11"/>
      <x:c r="F30" s="11"/>
      <x:c r="G30" s="11"/>
      <x:c r="H30" s="11"/>
      <x:c r="I30" s="11"/>
      <x:c r="J30" s="11"/>
      <x:c r="K30" s="11"/>
      <x:c r="L30" s="11"/>
      <x:c r="M30" s="11"/>
      <x:c r="N30" s="11"/>
    </x:row>
    <x:row r="31" ht="19" customHeight="1">
      <x:c r="A31" s="144" t="str">
        <x:v>P&amp;L Line</x:v>
      </x:c>
      <x:c r="B31" s="144" t="str">
        <x:v>Fav. Var ($m)</x:v>
      </x:c>
      <x:c r="C31" s="144" t="str">
        <x:v>Status</x:v>
      </x:c>
      <x:c r="D31" s="11"/>
      <x:c r="E31" s="11"/>
      <x:c r="F31" s="11"/>
      <x:c r="G31" s="11"/>
      <x:c r="H31" s="11"/>
      <x:c r="I31" s="11"/>
      <x:c r="J31" s="11"/>
      <x:c r="K31" s="11"/>
      <x:c r="L31" s="11"/>
      <x:c r="M31" s="11"/>
      <x:c r="N31" s="11"/>
    </x:row>
    <x:row r="32" ht="19" customHeight="1">
      <x:c r="A32" s="11" t="str">
        <x:v>Subscription Rev</x:v>
      </x:c>
      <x:c r="B32" s="146" t="n">
        <x:f>(SUMIFS('Data_Line'!$F$2:$F$529,'Data_Line'!$B$2:$B$529,"Actual",'Data_Line'!$C$2:$C$529,"Subscription Revenue",'Data_Line'!$A$2:$A$529,"&gt;="&amp;DATE(2026,1,1),'Data_Line'!$A$2:$A$529,"&lt;="&amp;DATE(2026,6,1))-SUMIFS('Data_Line'!$F$2:$F$529,'Data_Line'!$B$2:$B$529,"Budget",'Data_Line'!$C$2:$C$529,"Subscription Revenue",'Data_Line'!$A$2:$A$529,"&gt;="&amp;DATE(2026,1,1),'Data_Line'!$A$2:$A$529,"&lt;="&amp;DATE(2026,6,1)))/1000000</x:f>
        <x:v>-2.499334719999984</x:v>
      </x:c>
      <x:c r="C32" s="11" t="str">
        <x:f>IF(B32&gt;=0,"Favorable","Unfavorable")</x:f>
        <x:v>Unfavorable</x:v>
      </x:c>
      <x:c r="D32" s="11"/>
      <x:c r="E32" s="11"/>
      <x:c r="F32" s="11"/>
      <x:c r="G32" s="11"/>
      <x:c r="H32" s="11"/>
      <x:c r="I32" s="11"/>
      <x:c r="J32" s="11"/>
      <x:c r="K32" s="11"/>
      <x:c r="L32" s="11"/>
      <x:c r="M32" s="11"/>
      <x:c r="N32" s="11"/>
    </x:row>
    <x:row r="33" ht="19" customHeight="1">
      <x:c r="A33" s="11" t="str">
        <x:v>Services Rev</x:v>
      </x:c>
      <x:c r="B33" s="146" t="n">
        <x:f>(SUMIFS('Data_Line'!$F$2:$F$529,'Data_Line'!$B$2:$B$529,"Actual",'Data_Line'!$C$2:$C$529,"Professional Services Revenue",'Data_Line'!$A$2:$A$529,"&gt;="&amp;DATE(2026,1,1),'Data_Line'!$A$2:$A$529,"&lt;="&amp;DATE(2026,6,1))-SUMIFS('Data_Line'!$F$2:$F$529,'Data_Line'!$B$2:$B$529,"Budget",'Data_Line'!$C$2:$C$529,"Professional Services Revenue",'Data_Line'!$A$2:$A$529,"&gt;="&amp;DATE(2026,1,1),'Data_Line'!$A$2:$A$529,"&lt;="&amp;DATE(2026,6,1)))/1000000</x:f>
        <x:v>-1.5656680700000003</x:v>
      </x:c>
      <x:c r="C33" s="11" t="str">
        <x:f>IF(B33&gt;=0,"Favorable","Unfavorable")</x:f>
        <x:v>Unfavorable</x:v>
      </x:c>
      <x:c r="D33" s="11"/>
      <x:c r="E33" s="11"/>
      <x:c r="F33" s="11"/>
      <x:c r="G33" s="11"/>
      <x:c r="H33" s="11"/>
      <x:c r="I33" s="11"/>
      <x:c r="J33" s="11"/>
      <x:c r="K33" s="11"/>
      <x:c r="L33" s="11"/>
      <x:c r="M33" s="11"/>
      <x:c r="N33" s="11"/>
    </x:row>
    <x:row r="34" ht="19" customHeight="1">
      <x:c r="A34" s="11" t="str">
        <x:v>Subscription COGS</x:v>
      </x:c>
      <x:c r="B34" s="146" t="n">
        <x:f>(SUMIFS('Data_Line'!$F$2:$F$529,'Data_Line'!$B$2:$B$529,"Budget",'Data_Line'!$C$2:$C$529,"Cost of Subscription",'Data_Line'!$A$2:$A$529,"&gt;="&amp;DATE(2026,1,1),'Data_Line'!$A$2:$A$529,"&lt;="&amp;DATE(2026,6,1))-SUMIFS('Data_Line'!$F$2:$F$529,'Data_Line'!$B$2:$B$529,"Actual",'Data_Line'!$C$2:$C$529,"Cost of Subscription",'Data_Line'!$A$2:$A$529,"&gt;="&amp;DATE(2026,1,1),'Data_Line'!$A$2:$A$529,"&lt;="&amp;DATE(2026,6,1)))/1000000</x:f>
        <x:v>-0.15810994000000134</x:v>
      </x:c>
      <x:c r="C34" s="11" t="str">
        <x:f>IF(B34&gt;=0,"Favorable","Unfavorable")</x:f>
        <x:v>Unfavorable</x:v>
      </x:c>
      <x:c r="D34" s="11"/>
      <x:c r="E34" s="11"/>
      <x:c r="F34" s="11"/>
      <x:c r="G34" s="11"/>
      <x:c r="H34" s="11"/>
      <x:c r="I34" s="11"/>
      <x:c r="J34" s="11"/>
      <x:c r="K34" s="11"/>
      <x:c r="L34" s="11"/>
      <x:c r="M34" s="11"/>
      <x:c r="N34" s="11"/>
    </x:row>
    <x:row r="35" ht="19" customHeight="1">
      <x:c r="A35" s="11" t="str">
        <x:v>Services COGS</x:v>
      </x:c>
      <x:c r="B35" s="146" t="n">
        <x:f>(SUMIFS('Data_Line'!$F$2:$F$529,'Data_Line'!$B$2:$B$529,"Budget",'Data_Line'!$C$2:$C$529,"Cost of Services",'Data_Line'!$A$2:$A$529,"&gt;="&amp;DATE(2026,1,1),'Data_Line'!$A$2:$A$529,"&lt;="&amp;DATE(2026,6,1))-SUMIFS('Data_Line'!$F$2:$F$529,'Data_Line'!$B$2:$B$529,"Actual",'Data_Line'!$C$2:$C$529,"Cost of Services",'Data_Line'!$A$2:$A$529,"&gt;="&amp;DATE(2026,1,1),'Data_Line'!$A$2:$A$529,"&lt;="&amp;DATE(2026,6,1)))/1000000</x:f>
        <x:v>0.7812590000000009</x:v>
      </x:c>
      <x:c r="C35" s="11" t="str">
        <x:f>IF(B35&gt;=0,"Favorable","Unfavorable")</x:f>
        <x:v>Favorable</x:v>
      </x:c>
      <x:c r="D35" s="11"/>
      <x:c r="E35" s="11"/>
      <x:c r="F35" s="11"/>
      <x:c r="G35" s="11"/>
      <x:c r="H35" s="11"/>
      <x:c r="I35" s="11"/>
      <x:c r="J35" s="11"/>
      <x:c r="K35" s="11"/>
      <x:c r="L35" s="11"/>
      <x:c r="M35" s="11"/>
      <x:c r="N35" s="11"/>
    </x:row>
    <x:row r="36" ht="19" customHeight="1">
      <x:c r="A36" s="11" t="str">
        <x:v>Sales &amp; Marketing</x:v>
      </x:c>
      <x:c r="B36" s="146" t="n">
        <x:f>(SUMIFS('Data_Line'!$F$2:$F$529,'Data_Line'!$B$2:$B$529,"Budget",'Data_Line'!$C$2:$C$529,"Sales &amp; Marketing",'Data_Line'!$A$2:$A$529,"&gt;="&amp;DATE(2026,1,1),'Data_Line'!$A$2:$A$529,"&lt;="&amp;DATE(2026,6,1))-SUMIFS('Data_Line'!$F$2:$F$529,'Data_Line'!$B$2:$B$529,"Actual",'Data_Line'!$C$2:$C$529,"Sales &amp; Marketing",'Data_Line'!$A$2:$A$529,"&gt;="&amp;DATE(2026,1,1),'Data_Line'!$A$2:$A$529,"&lt;="&amp;DATE(2026,6,1)))/1000000</x:f>
        <x:v>0.5250517899999991</x:v>
      </x:c>
      <x:c r="C36" s="11" t="str">
        <x:f>IF(B36&gt;=0,"Favorable","Unfavorable")</x:f>
        <x:v>Favorable</x:v>
      </x:c>
      <x:c r="D36" s="11"/>
      <x:c r="E36" s="11"/>
      <x:c r="F36" s="11"/>
      <x:c r="G36" s="11"/>
      <x:c r="H36" s="11"/>
      <x:c r="I36" s="11"/>
      <x:c r="J36" s="11"/>
      <x:c r="K36" s="11"/>
      <x:c r="L36" s="11"/>
      <x:c r="M36" s="11"/>
      <x:c r="N36" s="11"/>
    </x:row>
    <x:row r="37" ht="19" customHeight="1">
      <x:c r="A37" s="11" t="str">
        <x:v>R&amp;D</x:v>
      </x:c>
      <x:c r="B37" s="146" t="n">
        <x:f>(SUMIFS('Data_Line'!$F$2:$F$529,'Data_Line'!$B$2:$B$529,"Budget",'Data_Line'!$C$2:$C$529,"Research &amp; Development",'Data_Line'!$A$2:$A$529,"&gt;="&amp;DATE(2026,1,1),'Data_Line'!$A$2:$A$529,"&lt;="&amp;DATE(2026,6,1))-SUMIFS('Data_Line'!$F$2:$F$529,'Data_Line'!$B$2:$B$529,"Actual",'Data_Line'!$C$2:$C$529,"Research &amp; Development",'Data_Line'!$A$2:$A$529,"&gt;="&amp;DATE(2026,1,1),'Data_Line'!$A$2:$A$529,"&lt;="&amp;DATE(2026,6,1)))/1000000</x:f>
        <x:v>0.3245758699999973</x:v>
      </x:c>
      <x:c r="C37" s="11" t="str">
        <x:f>IF(B37&gt;=0,"Favorable","Unfavorable")</x:f>
        <x:v>Favorable</x:v>
      </x:c>
      <x:c r="D37" s="11"/>
      <x:c r="E37" s="11"/>
      <x:c r="F37" s="11"/>
      <x:c r="G37" s="11"/>
      <x:c r="H37" s="11"/>
      <x:c r="I37" s="11"/>
      <x:c r="J37" s="11"/>
      <x:c r="K37" s="11"/>
      <x:c r="L37" s="11"/>
      <x:c r="M37" s="11"/>
      <x:c r="N37" s="11"/>
    </x:row>
    <x:row r="38" ht="19" customHeight="1">
      <x:c r="A38" s="11" t="str">
        <x:v>G&amp;A</x:v>
      </x:c>
      <x:c r="B38" s="146" t="n">
        <x:f>(SUMIFS('Data_Line'!$F$2:$F$529,'Data_Line'!$B$2:$B$529,"Budget",'Data_Line'!$C$2:$C$529,"General &amp; Administrative",'Data_Line'!$A$2:$A$529,"&gt;="&amp;DATE(2026,1,1),'Data_Line'!$A$2:$A$529,"&lt;="&amp;DATE(2026,6,1))-SUMIFS('Data_Line'!$F$2:$F$529,'Data_Line'!$B$2:$B$529,"Actual",'Data_Line'!$C$2:$C$529,"General &amp; Administrative",'Data_Line'!$A$2:$A$529,"&gt;="&amp;DATE(2026,1,1),'Data_Line'!$A$2:$A$529,"&lt;="&amp;DATE(2026,6,1)))/1000000</x:f>
        <x:v>0.4384776199999992</x:v>
      </x:c>
      <x:c r="C38" s="11" t="str">
        <x:f>IF(B38&gt;=0,"Favorable","Unfavorable")</x:f>
        <x:v>Favorable</x:v>
      </x:c>
      <x:c r="D38" s="11"/>
      <x:c r="E38" s="11"/>
      <x:c r="F38" s="11"/>
      <x:c r="G38" s="11"/>
      <x:c r="H38" s="11"/>
      <x:c r="I38" s="11"/>
      <x:c r="J38" s="11"/>
      <x:c r="K38" s="11"/>
      <x:c r="L38" s="11"/>
      <x:c r="M38" s="11"/>
      <x:c r="N38" s="11"/>
    </x:row>
    <x:row r="39" ht="19" customHeight="1">
      <x:c r="A39" s="11"/>
      <x:c r="B39" s="11"/>
      <x:c r="C39" s="11"/>
      <x:c r="D39" s="11"/>
      <x:c r="E39" s="11"/>
      <x:c r="F39" s="11"/>
      <x:c r="G39" s="11"/>
      <x:c r="H39" s="11"/>
      <x:c r="I39" s="11"/>
      <x:c r="J39" s="11"/>
      <x:c r="K39" s="11"/>
      <x:c r="L39" s="11"/>
      <x:c r="M39" s="11"/>
      <x:c r="N39" s="11"/>
    </x:row>
    <x:row r="40" ht="19" customHeight="1">
      <x:c r="A40" s="11"/>
      <x:c r="B40" s="11"/>
      <x:c r="C40" s="11"/>
      <x:c r="D40" s="11"/>
      <x:c r="E40" s="11"/>
      <x:c r="F40" s="11"/>
      <x:c r="G40" s="11"/>
      <x:c r="H40" s="11"/>
      <x:c r="I40" s="11"/>
      <x:c r="J40" s="11"/>
      <x:c r="K40" s="11"/>
      <x:c r="L40" s="11"/>
      <x:c r="M40" s="11"/>
      <x:c r="N40" s="11"/>
    </x:row>
    <x:row r="41" ht="19" customHeight="1">
      <x:c r="A41" s="11"/>
      <x:c r="B41" s="11"/>
      <x:c r="C41" s="11"/>
      <x:c r="D41" s="11"/>
      <x:c r="E41" s="11"/>
      <x:c r="F41" s="11"/>
      <x:c r="G41" s="11"/>
      <x:c r="H41" s="11"/>
      <x:c r="I41" s="11"/>
      <x:c r="J41" s="11"/>
      <x:c r="K41" s="11"/>
      <x:c r="L41" s="11"/>
      <x:c r="M41" s="11"/>
      <x:c r="N41" s="11"/>
    </x:row>
    <x:row r="42" ht="19" customHeight="1">
      <x:c r="A42" s="11"/>
      <x:c r="B42" s="11"/>
      <x:c r="C42" s="11"/>
      <x:c r="D42" s="11"/>
      <x:c r="E42" s="11"/>
      <x:c r="F42" s="11"/>
      <x:c r="G42" s="11"/>
      <x:c r="H42" s="11"/>
      <x:c r="I42" s="11"/>
      <x:c r="J42" s="11"/>
      <x:c r="K42" s="11"/>
      <x:c r="L42" s="11"/>
      <x:c r="M42" s="11"/>
      <x:c r="N42" s="11"/>
    </x:row>
    <x:row r="43" ht="19" customHeight="1">
      <x:c r="A43" s="11"/>
      <x:c r="B43" s="11"/>
      <x:c r="C43" s="11"/>
      <x:c r="D43" s="11"/>
      <x:c r="E43" s="11"/>
      <x:c r="F43" s="11"/>
      <x:c r="G43" s="11"/>
      <x:c r="H43" s="11"/>
      <x:c r="I43" s="11"/>
      <x:c r="J43" s="11"/>
      <x:c r="K43" s="11"/>
      <x:c r="L43" s="11"/>
      <x:c r="M43" s="11"/>
      <x:c r="N43" s="11"/>
    </x:row>
    <x:row r="44" ht="19" customHeight="1">
      <x:c r="A44" s="11"/>
      <x:c r="B44" s="11"/>
      <x:c r="C44" s="11"/>
      <x:c r="D44" s="11"/>
      <x:c r="E44" s="11"/>
      <x:c r="F44" s="11"/>
      <x:c r="G44" s="11"/>
      <x:c r="H44" s="11"/>
      <x:c r="I44" s="11"/>
      <x:c r="J44" s="11"/>
      <x:c r="K44" s="11"/>
      <x:c r="L44" s="11"/>
      <x:c r="M44" s="11"/>
      <x:c r="N44" s="11"/>
    </x:row>
    <x:row r="45" ht="19" customHeight="1">
      <x:c r="A45" s="11"/>
      <x:c r="B45" s="11"/>
      <x:c r="C45" s="11"/>
      <x:c r="D45" s="11"/>
      <x:c r="E45" s="11"/>
      <x:c r="F45" s="11"/>
      <x:c r="G45" s="11"/>
      <x:c r="H45" s="11"/>
      <x:c r="I45" s="11"/>
      <x:c r="J45" s="11"/>
      <x:c r="K45" s="11"/>
      <x:c r="L45" s="11"/>
      <x:c r="M45" s="11"/>
      <x:c r="N45" s="11"/>
    </x:row>
    <x:row r="46" ht="19" customHeight="1">
      <x:c r="A46" s="11"/>
      <x:c r="B46" s="11"/>
      <x:c r="C46" s="11"/>
      <x:c r="D46" s="11"/>
      <x:c r="E46" s="11"/>
      <x:c r="F46" s="11"/>
      <x:c r="G46" s="11"/>
      <x:c r="H46" s="11"/>
      <x:c r="I46" s="11"/>
      <x:c r="J46" s="11"/>
      <x:c r="K46" s="11"/>
      <x:c r="L46" s="11"/>
      <x:c r="M46" s="11"/>
      <x:c r="N46" s="11"/>
    </x:row>
    <x:row r="47" ht="19" customHeight="1">
      <x:c r="A47" s="11"/>
      <x:c r="B47" s="11"/>
      <x:c r="C47" s="11"/>
      <x:c r="D47" s="11"/>
      <x:c r="E47" s="11"/>
      <x:c r="F47" s="11"/>
      <x:c r="G47" s="11"/>
      <x:c r="H47" s="11"/>
      <x:c r="I47" s="11"/>
      <x:c r="J47" s="11"/>
      <x:c r="K47" s="11"/>
      <x:c r="L47" s="11"/>
      <x:c r="M47" s="11"/>
      <x:c r="N47" s="11"/>
    </x:row>
    <x:row r="48" ht="19" customHeight="1">
      <x:c r="A48" s="11"/>
      <x:c r="B48" s="11"/>
      <x:c r="C48" s="11"/>
      <x:c r="D48" s="11"/>
      <x:c r="E48" s="11"/>
      <x:c r="F48" s="11"/>
      <x:c r="G48" s="11"/>
      <x:c r="H48" s="11"/>
      <x:c r="I48" s="11"/>
      <x:c r="J48" s="11"/>
      <x:c r="K48" s="11"/>
      <x:c r="L48" s="11"/>
      <x:c r="M48" s="11"/>
      <x:c r="N48" s="11"/>
    </x:row>
    <x:row r="49">
      <x:c r="A49" s="11"/>
      <x:c r="B49" s="11"/>
      <x:c r="C49" s="11"/>
      <x:c r="D49" s="11"/>
      <x:c r="E49" s="11"/>
      <x:c r="F49" s="11"/>
      <x:c r="G49" s="11"/>
      <x:c r="H49" s="11"/>
      <x:c r="I49" s="11"/>
      <x:c r="J49" s="11"/>
      <x:c r="K49" s="11"/>
      <x:c r="L49" s="11"/>
      <x:c r="M49" s="11"/>
      <x:c r="N49" s="11"/>
    </x:row>
    <x:row r="50">
      <x:c r="A50" s="11"/>
      <x:c r="B50" s="11"/>
      <x:c r="C50" s="11"/>
      <x:c r="D50" s="11"/>
      <x:c r="E50" s="11"/>
      <x:c r="F50" s="11"/>
      <x:c r="G50" s="11"/>
      <x:c r="H50" s="11"/>
      <x:c r="I50" s="11"/>
      <x:c r="J50" s="11"/>
      <x:c r="K50" s="11"/>
      <x:c r="L50" s="11"/>
      <x:c r="M50" s="11"/>
      <x:c r="N50" s="11"/>
    </x:row>
    <x:row r="51">
      <x:c r="A51" s="11"/>
      <x:c r="B51" s="11"/>
      <x:c r="C51" s="11"/>
      <x:c r="D51" s="11"/>
      <x:c r="E51" s="11"/>
      <x:c r="F51" s="11"/>
      <x:c r="G51" s="11"/>
      <x:c r="H51" s="11"/>
      <x:c r="I51" s="11"/>
      <x:c r="J51" s="11"/>
      <x:c r="K51" s="11"/>
      <x:c r="L51" s="11"/>
      <x:c r="M51" s="11"/>
      <x:c r="N51" s="11"/>
    </x:row>
    <x:row r="52">
      <x:c r="A52" s="11"/>
      <x:c r="B52" s="11"/>
      <x:c r="C52" s="11"/>
      <x:c r="D52" s="11"/>
      <x:c r="E52" s="11"/>
      <x:c r="F52" s="11"/>
      <x:c r="G52" s="11"/>
      <x:c r="H52" s="11"/>
      <x:c r="I52" s="11"/>
      <x:c r="J52" s="11"/>
      <x:c r="K52" s="11"/>
      <x:c r="L52" s="11"/>
      <x:c r="M52" s="11"/>
      <x:c r="N52" s="11"/>
    </x:row>
    <x:row r="53">
      <x:c r="A53" s="11"/>
      <x:c r="B53" s="11"/>
      <x:c r="C53" s="11"/>
      <x:c r="D53" s="11"/>
      <x:c r="E53" s="11"/>
      <x:c r="F53" s="11"/>
      <x:c r="G53" s="11"/>
      <x:c r="H53" s="11"/>
      <x:c r="I53" s="11"/>
      <x:c r="J53" s="11"/>
      <x:c r="K53" s="11"/>
      <x:c r="L53" s="11"/>
      <x:c r="M53" s="11"/>
      <x:c r="N53" s="11"/>
    </x:row>
    <x:row r="54">
      <x:c r="A54" s="11"/>
      <x:c r="B54" s="11"/>
      <x:c r="C54" s="11"/>
      <x:c r="D54" s="11"/>
      <x:c r="E54" s="11"/>
      <x:c r="F54" s="11"/>
      <x:c r="G54" s="11"/>
      <x:c r="H54" s="11"/>
      <x:c r="I54" s="11"/>
      <x:c r="J54" s="11"/>
      <x:c r="K54" s="11"/>
      <x:c r="L54" s="11"/>
      <x:c r="M54" s="11"/>
      <x:c r="N54" s="11"/>
    </x:row>
    <x:row r="55">
      <x:c r="A55" s="11"/>
      <x:c r="B55" s="11"/>
      <x:c r="C55" s="11"/>
      <x:c r="D55" s="11"/>
      <x:c r="E55" s="11"/>
      <x:c r="F55" s="11"/>
      <x:c r="G55" s="11"/>
      <x:c r="H55" s="11"/>
      <x:c r="I55" s="11"/>
      <x:c r="J55" s="11"/>
      <x:c r="K55" s="11"/>
      <x:c r="L55" s="11"/>
      <x:c r="M55" s="11"/>
      <x:c r="N55" s="11"/>
    </x:row>
    <x:row r="56">
      <x:c r="A56" s="11"/>
      <x:c r="B56" s="11"/>
      <x:c r="C56" s="11"/>
      <x:c r="D56" s="11"/>
      <x:c r="E56" s="11"/>
      <x:c r="F56" s="11"/>
      <x:c r="G56" s="11"/>
      <x:c r="H56" s="11"/>
      <x:c r="I56" s="11"/>
      <x:c r="J56" s="11"/>
      <x:c r="K56" s="11"/>
      <x:c r="L56" s="11"/>
      <x:c r="M56" s="11"/>
      <x:c r="N56" s="11"/>
    </x:row>
    <x:row r="57">
      <x:c r="A57" s="11"/>
      <x:c r="B57" s="11"/>
      <x:c r="C57" s="11"/>
      <x:c r="D57" s="11"/>
      <x:c r="E57" s="11"/>
      <x:c r="F57" s="11"/>
      <x:c r="G57" s="11"/>
      <x:c r="H57" s="11"/>
      <x:c r="I57" s="11"/>
      <x:c r="J57" s="11"/>
      <x:c r="K57" s="11"/>
      <x:c r="L57" s="11"/>
      <x:c r="M57" s="11"/>
      <x:c r="N57" s="11"/>
    </x:row>
    <x:row r="58">
      <x:c r="A58" s="11"/>
      <x:c r="B58" s="11"/>
      <x:c r="C58" s="11"/>
      <x:c r="D58" s="11"/>
      <x:c r="E58" s="11"/>
      <x:c r="F58" s="11"/>
      <x:c r="G58" s="11"/>
      <x:c r="H58" s="11"/>
      <x:c r="I58" s="11"/>
      <x:c r="J58" s="11"/>
      <x:c r="K58" s="11"/>
      <x:c r="L58" s="11"/>
      <x:c r="M58" s="11"/>
      <x:c r="N58" s="11"/>
    </x:row>
    <x:row r="59">
      <x:c r="A59" s="11"/>
      <x:c r="B59" s="11"/>
      <x:c r="C59" s="11"/>
      <x:c r="D59" s="11"/>
      <x:c r="E59" s="11"/>
      <x:c r="F59" s="11"/>
      <x:c r="G59" s="11"/>
      <x:c r="H59" s="11"/>
      <x:c r="I59" s="11"/>
      <x:c r="J59" s="11"/>
      <x:c r="K59" s="11"/>
      <x:c r="L59" s="11"/>
      <x:c r="M59" s="11"/>
      <x:c r="N59" s="11"/>
    </x:row>
    <x:row r="60">
      <x:c r="A60" s="11"/>
      <x:c r="B60" s="11"/>
      <x:c r="C60" s="11"/>
      <x:c r="D60" s="11"/>
      <x:c r="E60" s="11"/>
      <x:c r="F60" s="11"/>
      <x:c r="G60" s="11"/>
      <x:c r="H60" s="11"/>
      <x:c r="I60" s="11"/>
      <x:c r="J60" s="11"/>
      <x:c r="K60" s="11"/>
      <x:c r="L60" s="11"/>
      <x:c r="M60" s="11"/>
      <x:c r="N60" s="11"/>
    </x:row>
  </x:sheetData>
  <x:mergeCells>
    <x:mergeCell ref="A1:N2"/>
    <x:mergeCell ref="A3:N3"/>
    <x:mergeCell ref="A6:C6"/>
    <x:mergeCell ref="A7:C8"/>
    <x:mergeCell ref="D6:F6"/>
    <x:mergeCell ref="D7:F8"/>
    <x:mergeCell ref="G6:I6"/>
    <x:mergeCell ref="G7:I8"/>
    <x:mergeCell ref="J6:L6"/>
    <x:mergeCell ref="J7:L8"/>
    <x:mergeCell ref="A10:C10"/>
    <x:mergeCell ref="A11:C12"/>
    <x:mergeCell ref="D10:F10"/>
    <x:mergeCell ref="D11:F12"/>
    <x:mergeCell ref="G10:I10"/>
    <x:mergeCell ref="G11:I12"/>
    <x:mergeCell ref="J10:L10"/>
    <x:mergeCell ref="J11:L12"/>
    <x:mergeCell ref="M10:N10"/>
    <x:mergeCell ref="M11:N12"/>
    <x:mergeCell ref="A14:N14"/>
    <x:mergeCell ref="A15:N18"/>
    <x:mergeCell ref="A20:D20"/>
    <x:mergeCell ref="A30:C30"/>
  </x:mergeCells>
  <x:conditionalFormatting sqref="B32:B38">
    <x:cfRule type="cellIs" dxfId="0" priority="1" operator="greaterThanOrEqual">
      <x:formula>0</x:formula>
    </x:cfRule>
    <x:cfRule type="cellIs" dxfId="1" priority="2" operator="lessThan">
      <x:formula>0</x:formula>
    </x:cfRule>
  </x:conditionalFormatting>
  <x:pageMargins left="0.7" right="0.7" top="0.75" bottom="0.75" header="0.3" footer="0.3"/>
  <x:drawing xmlns:r="http://schemas.openxmlformats.org/officeDocument/2006/relationships" r:id="R20004e7c6e68463a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</x:cols>
  <x:sheetData>
    <x:row r="1">
      <x:c r="A1" s="14" t="str">
        <x:v>Variance Analysis</x:v>
      </x:c>
      <x:c r="B1" s="14" t="str">
        <x:v>Variance Analysis</x:v>
      </x:c>
      <x:c r="C1" s="14" t="str">
        <x:v>Variance Analysis</x:v>
      </x:c>
      <x:c r="D1" s="14" t="str">
        <x:v>Variance Analysis</x:v>
      </x:c>
      <x:c r="E1" s="14" t="str">
        <x:v>Variance Analysis</x:v>
      </x:c>
      <x:c r="F1" s="14" t="str">
        <x:v>Variance Analysis</x:v>
      </x:c>
      <x:c r="G1" s="14" t="str">
        <x:v>Variance Analysis</x:v>
      </x:c>
      <x:c r="H1" s="14" t="str">
        <x:v>Variance Analysis</x:v>
      </x:c>
      <x:c r="I1" s="14" t="str">
        <x:v>Variance Analysis</x:v>
      </x:c>
      <x:c r="J1" s="14" t="str">
        <x:v>Variance Analysis</x:v>
      </x:c>
      <x:c r="K1" s="14" t="str">
        <x:v>Variance Analysis</x:v>
      </x:c>
      <x:c r="L1" s="14" t="str">
        <x:v>Variance Analysis</x:v>
      </x:c>
      <x:c r="M1" s="14" t="str">
        <x:v>Variance Analysis</x:v>
      </x:c>
      <x:c r="N1" s="11"/>
    </x:row>
    <x:row r="2">
      <x:c r="A2" s="14" t="str">
        <x:v>Variance Analysis</x:v>
      </x:c>
      <x:c r="B2" s="14" t="str">
        <x:v>Variance Analysis</x:v>
      </x:c>
      <x:c r="C2" s="14" t="str">
        <x:v>Variance Analysis</x:v>
      </x:c>
      <x:c r="D2" s="14" t="str">
        <x:v>Variance Analysis</x:v>
      </x:c>
      <x:c r="E2" s="14" t="str">
        <x:v>Variance Analysis</x:v>
      </x:c>
      <x:c r="F2" s="14" t="str">
        <x:v>Variance Analysis</x:v>
      </x:c>
      <x:c r="G2" s="14" t="str">
        <x:v>Variance Analysis</x:v>
      </x:c>
      <x:c r="H2" s="14" t="str">
        <x:v>Variance Analysis</x:v>
      </x:c>
      <x:c r="I2" s="14" t="str">
        <x:v>Variance Analysis</x:v>
      </x:c>
      <x:c r="J2" s="14" t="str">
        <x:v>Variance Analysis</x:v>
      </x:c>
      <x:c r="K2" s="14" t="str">
        <x:v>Variance Analysis</x:v>
      </x:c>
      <x:c r="L2" s="14" t="str">
        <x:v>Variance Analysis</x:v>
      </x:c>
      <x:c r="M2" s="14" t="str">
        <x:v>Variance Analysis</x:v>
      </x:c>
      <x:c r="N2" s="11"/>
    </x:row>
    <x:row r="3">
      <x:c r="A3" s="17" t="str">
        <x:v>June and H1 2026 actual versus budget | FY2026 Q2 forecast versus budget | positive variance is favorable</x:v>
      </x:c>
      <x:c r="B3" s="17" t="str">
        <x:v>June and H1 2026 actual versus budget | FY2026 Q2 forecast versus budget | positive variance is favorable</x:v>
      </x:c>
      <x:c r="C3" s="17" t="str">
        <x:v>June and H1 2026 actual versus budget | FY2026 Q2 forecast versus budget | positive variance is favorable</x:v>
      </x:c>
      <x:c r="D3" s="17" t="str">
        <x:v>June and H1 2026 actual versus budget | FY2026 Q2 forecast versus budget | positive variance is favorable</x:v>
      </x:c>
      <x:c r="E3" s="17" t="str">
        <x:v>June and H1 2026 actual versus budget | FY2026 Q2 forecast versus budget | positive variance is favorable</x:v>
      </x:c>
      <x:c r="F3" s="17" t="str">
        <x:v>June and H1 2026 actual versus budget | FY2026 Q2 forecast versus budget | positive variance is favorable</x:v>
      </x:c>
      <x:c r="G3" s="17" t="str">
        <x:v>June and H1 2026 actual versus budget | FY2026 Q2 forecast versus budget | positive variance is favorable</x:v>
      </x:c>
      <x:c r="H3" s="17" t="str">
        <x:v>June and H1 2026 actual versus budget | FY2026 Q2 forecast versus budget | positive variance is favorable</x:v>
      </x:c>
      <x:c r="I3" s="17" t="str">
        <x:v>June and H1 2026 actual versus budget | FY2026 Q2 forecast versus budget | positive variance is favorable</x:v>
      </x:c>
      <x:c r="J3" s="17" t="str">
        <x:v>June and H1 2026 actual versus budget | FY2026 Q2 forecast versus budget | positive variance is favorable</x:v>
      </x:c>
      <x:c r="K3" s="17" t="str">
        <x:v>June and H1 2026 actual versus budget | FY2026 Q2 forecast versus budget | positive variance is favorable</x:v>
      </x:c>
      <x:c r="L3" s="17" t="str">
        <x:v>June and H1 2026 actual versus budget | FY2026 Q2 forecast versus budget | positive variance is favorable</x:v>
      </x:c>
      <x:c r="M3" s="17" t="str">
        <x:v>June and H1 2026 actual versus budget | FY2026 Q2 forecast versus budget | positive variance is favorable</x:v>
      </x:c>
      <x:c r="N3" s="11"/>
    </x:row>
    <x:row r="4">
      <x:c r="A4" s="11"/>
      <x:c r="B4" s="11"/>
      <x:c r="C4" s="11"/>
      <x:c r="D4" s="11"/>
      <x:c r="E4" s="11"/>
      <x:c r="F4" s="11"/>
      <x:c r="G4" s="11"/>
      <x:c r="H4" s="11"/>
      <x:c r="I4" s="11"/>
      <x:c r="J4" s="11"/>
      <x:c r="K4" s="11"/>
      <x:c r="L4" s="11"/>
      <x:c r="M4" s="11"/>
      <x:c r="N4" s="11"/>
    </x:row>
    <x:row r="5">
      <x:c r="A5" s="144" t="str">
        <x:v>P&amp;L Line</x:v>
      </x:c>
      <x:c r="B5" s="144" t="str">
        <x:v>June Actual</x:v>
      </x:c>
      <x:c r="C5" s="144" t="str">
        <x:v>June Budget</x:v>
      </x:c>
      <x:c r="D5" s="144" t="str">
        <x:v>Fav. Var</x:v>
      </x:c>
      <x:c r="E5" s="144" t="str">
        <x:v>Var %</x:v>
      </x:c>
      <x:c r="F5" s="144" t="str">
        <x:v>H1 Actual</x:v>
      </x:c>
      <x:c r="G5" s="144" t="str">
        <x:v>H1 Budget</x:v>
      </x:c>
      <x:c r="H5" s="144" t="str">
        <x:v>Fav. Var</x:v>
      </x:c>
      <x:c r="I5" s="144" t="str">
        <x:v>Var %</x:v>
      </x:c>
      <x:c r="J5" s="144" t="str">
        <x:v>FY Budget</x:v>
      </x:c>
      <x:c r="K5" s="144" t="str">
        <x:v>Q2 Forecast</x:v>
      </x:c>
      <x:c r="L5" s="144" t="str">
        <x:v>Fav. Var</x:v>
      </x:c>
      <x:c r="M5" s="144" t="str">
        <x:v>Var %</x:v>
      </x:c>
      <x:c r="N5" s="11"/>
    </x:row>
    <x:row r="6">
      <x:c r="A6" s="11" t="str">
        <x:v>Subscription Revenue</x:v>
      </x:c>
      <x:c r="B6" s="149" t="n">
        <x:f>SUMIFS('Data_Line'!$F$2:$F$529,'Data_Line'!$A$2:$A$529,DATE(2026,6,1),'Data_Line'!$B$2:$B$529,"Actual",'Data_Line'!$C$2:$C$529,$A6)/1000000</x:f>
        <x:v>9.87605254</x:v>
      </x:c>
      <x:c r="C6" s="149" t="n">
        <x:f>SUMIFS('Data_Line'!$F$2:$F$529,'Data_Line'!$A$2:$A$529,DATE(2026,6,1),'Data_Line'!$B$2:$B$529,"Budget",'Data_Line'!$C$2:$C$529,$A6)/1000000</x:f>
        <x:v>10.76345787</x:v>
      </x:c>
      <x:c r="D6" s="146" t="n">
        <x:f>B6-C6</x:f>
        <x:v>-0.88740533</x:v>
      </x:c>
      <x:c r="E6" s="151" t="n">
        <x:f>IFERROR(D6/ABS(C6),0)</x:f>
        <x:v>-0.08244611914851115</x:v>
      </x:c>
      <x:c r="F6" s="149" t="n">
        <x:f>SUMIFS('Data_Line'!$F$2:$F$529,'Data_Line'!$A$2:$A$529,"&gt;="&amp;DATE(2026,1,1),'Data_Line'!$A$2:$A$529,"&lt;="&amp;DATE(2026,6,1),'Data_Line'!$B$2:$B$529,"Actual",'Data_Line'!$C$2:$C$529,$A6)/1000000</x:f>
        <x:v>59.16602727000001</x:v>
      </x:c>
      <x:c r="G6" s="149" t="n">
        <x:f>SUMIFS('Data_Line'!$F$2:$F$529,'Data_Line'!$A$2:$A$529,"&gt;="&amp;DATE(2026,1,1),'Data_Line'!$A$2:$A$529,"&lt;="&amp;DATE(2026,6,1),'Data_Line'!$B$2:$B$529,"Budget",'Data_Line'!$C$2:$C$529,$A6)/1000000</x:f>
        <x:v>61.665361989999994</x:v>
      </x:c>
      <x:c r="H6" s="146" t="n">
        <x:f>F6-G6</x:f>
        <x:v>-2.499334719999986</x:v>
      </x:c>
      <x:c r="I6" s="151" t="n">
        <x:f>IFERROR(H6/ABS(G6),0)</x:f>
        <x:v>-0.04053060971903955</x:v>
      </x:c>
      <x:c r="J6" s="149" t="n">
        <x:f>SUMIFS('Data_Line'!$F$2:$F$529,'Data_Line'!$A$2:$A$529,"&gt;="&amp;DATE(2026,1,1),'Data_Line'!$A$2:$A$529,"&lt;="&amp;DATE(2026,12,1),'Data_Line'!$B$2:$B$529,"Budget",'Data_Line'!$C$2:$C$529,$A6)/1000000</x:f>
        <x:v>128.58633926000002</x:v>
      </x:c>
      <x:c r="K6" s="149" t="n">
        <x:f>SUMIFS('Data_Line'!$F$2:$F$529,'Data_Line'!$A$2:$A$529,"&gt;="&amp;DATE(2026,1,1),'Data_Line'!$A$2:$A$529,"&lt;="&amp;DATE(2026,12,1),'Data_Line'!$B$2:$B$529,"Q2 Forecast",'Data_Line'!$C$2:$C$529,$A6)/1000000</x:f>
        <x:v>123.07556056</x:v>
      </x:c>
      <x:c r="L6" s="146" t="n">
        <x:f>K6-J6</x:f>
        <x:v>-5.510778700000017</x:v>
      </x:c>
      <x:c r="M6" s="151" t="n">
        <x:f>IFERROR(L6/ABS(J6),0)</x:f>
        <x:v>-0.04285664193967984</x:v>
      </x:c>
      <x:c r="N6" s="11"/>
    </x:row>
    <x:row r="7">
      <x:c r="A7" s="11" t="str">
        <x:v>Professional Services Revenue</x:v>
      </x:c>
      <x:c r="B7" s="149" t="n">
        <x:f>SUMIFS('Data_Line'!$F$2:$F$529,'Data_Line'!$A$2:$A$529,DATE(2026,6,1),'Data_Line'!$B$2:$B$529,"Actual",'Data_Line'!$C$2:$C$529,$A7)/1000000</x:f>
        <x:v>1.64906086</x:v>
      </x:c>
      <x:c r="C7" s="149" t="n">
        <x:f>SUMIFS('Data_Line'!$F$2:$F$529,'Data_Line'!$A$2:$A$529,DATE(2026,6,1),'Data_Line'!$B$2:$B$529,"Budget",'Data_Line'!$C$2:$C$529,$A7)/1000000</x:f>
        <x:v>1.62846107</x:v>
      </x:c>
      <x:c r="D7" s="146" t="n">
        <x:f>B7-C7</x:f>
        <x:v>0.020599790000000118</x:v>
      </x:c>
      <x:c r="E7" s="151" t="n">
        <x:f>IFERROR(D7/ABS(C7),0)</x:f>
        <x:v>0.01264985106460059</x:v>
      </x:c>
      <x:c r="F7" s="149" t="n">
        <x:f>SUMIFS('Data_Line'!$F$2:$F$529,'Data_Line'!$A$2:$A$529,"&gt;="&amp;DATE(2026,1,1),'Data_Line'!$A$2:$A$529,"&lt;="&amp;DATE(2026,6,1),'Data_Line'!$B$2:$B$529,"Actual",'Data_Line'!$C$2:$C$529,$A7)/1000000</x:f>
        <x:v>10.39999993</x:v>
      </x:c>
      <x:c r="G7" s="149" t="n">
        <x:f>SUMIFS('Data_Line'!$F$2:$F$529,'Data_Line'!$A$2:$A$529,"&gt;="&amp;DATE(2026,1,1),'Data_Line'!$A$2:$A$529,"&lt;="&amp;DATE(2026,6,1),'Data_Line'!$B$2:$B$529,"Budget",'Data_Line'!$C$2:$C$529,$A7)/1000000</x:f>
        <x:v>11.965668</x:v>
      </x:c>
      <x:c r="H7" s="146" t="n">
        <x:f>F7-G7</x:f>
        <x:v>-1.565668070000001</x:v>
      </x:c>
      <x:c r="I7" s="151" t="n">
        <x:f>IFERROR(H7/ABS(G7),0)</x:f>
        <x:v>-0.13084669155119472</x:v>
      </x:c>
      <x:c r="J7" s="149" t="n">
        <x:f>SUMIFS('Data_Line'!$F$2:$F$529,'Data_Line'!$A$2:$A$529,"&gt;="&amp;DATE(2026,1,1),'Data_Line'!$A$2:$A$529,"&lt;="&amp;DATE(2026,12,1),'Data_Line'!$B$2:$B$529,"Budget",'Data_Line'!$C$2:$C$529,$A7)/1000000</x:f>
        <x:v>24.509999879999995</x:v>
      </x:c>
      <x:c r="K7" s="149" t="n">
        <x:f>SUMIFS('Data_Line'!$F$2:$F$529,'Data_Line'!$A$2:$A$529,"&gt;="&amp;DATE(2026,1,1),'Data_Line'!$A$2:$A$529,"&lt;="&amp;DATE(2026,12,1),'Data_Line'!$B$2:$B$529,"Q2 Forecast",'Data_Line'!$C$2:$C$529,$A7)/1000000</x:f>
        <x:v>21.943363419999997</x:v>
      </x:c>
      <x:c r="L7" s="146" t="n">
        <x:f>K7-J7</x:f>
        <x:v>-2.566636459999998</x:v>
      </x:c>
      <x:c r="M7" s="151" t="n">
        <x:f>IFERROR(L7/ABS(J7),0)</x:f>
        <x:v>-0.10471793033725622</x:v>
      </x:c>
      <x:c r="N7" s="11"/>
    </x:row>
    <x:row r="8">
      <x:c r="A8" s="157" t="str">
        <x:v>Total Revenue</x:v>
      </x:c>
      <x:c r="B8" s="158" t="n">
        <x:f>SUM(B6:B7)</x:f>
        <x:v>11.5251134</x:v>
      </x:c>
      <x:c r="C8" s="158" t="n">
        <x:f>SUM(C6:C7)</x:f>
        <x:v>12.39191894</x:v>
      </x:c>
      <x:c r="D8" s="158" t="n">
        <x:f>B8-C8</x:f>
        <x:v>-0.8668055399999997</x:v>
      </x:c>
      <x:c r="E8" s="159" t="n">
        <x:f>IFERROR(D8/ABS(C8),0)</x:f>
        <x:v>-0.06994925839952272</x:v>
      </x:c>
      <x:c r="F8" s="158" t="n">
        <x:f>SUM(F6:F7)</x:f>
        <x:v>69.56602720000001</x:v>
      </x:c>
      <x:c r="G8" s="158" t="n">
        <x:f>SUM(G6:G7)</x:f>
        <x:v>73.63102999</x:v>
      </x:c>
      <x:c r="H8" s="158" t="n">
        <x:f>F8-G8</x:f>
        <x:v>-4.065002789999994</x:v>
      </x:c>
      <x:c r="I8" s="159" t="n">
        <x:f>IFERROR(H8/ABS(G8),0)</x:f>
        <x:v>-0.05520774041259604</x:v>
      </x:c>
      <x:c r="J8" s="158" t="n">
        <x:f>SUM(J6:J7)</x:f>
        <x:v>153.09633914</x:v>
      </x:c>
      <x:c r="K8" s="158" t="n">
        <x:f>SUM(K6:K7)</x:f>
        <x:v>145.01892398</x:v>
      </x:c>
      <x:c r="L8" s="158" t="n">
        <x:f>K8-J8</x:f>
        <x:v>-8.077415159999987</x:v>
      </x:c>
      <x:c r="M8" s="159" t="n">
        <x:f>IFERROR(L8/ABS(J8),0)</x:f>
        <x:v>-0.052760341660511814</x:v>
      </x:c>
      <x:c r="N8" s="11"/>
    </x:row>
    <x:row r="9">
      <x:c r="A9" s="11" t="str">
        <x:v>Cost of Subscription</x:v>
      </x:c>
      <x:c r="B9" s="149" t="n">
        <x:f>SUMIFS('Data_Line'!$F$2:$F$529,'Data_Line'!$A$2:$A$529,DATE(2026,6,1),'Data_Line'!$B$2:$B$529,"Actual",'Data_Line'!$C$2:$C$529,$A9)/1000000</x:f>
        <x:v>2.19395909</x:v>
      </x:c>
      <x:c r="C9" s="149" t="n">
        <x:f>SUMIFS('Data_Line'!$F$2:$F$529,'Data_Line'!$A$2:$A$529,DATE(2026,6,1),'Data_Line'!$B$2:$B$529,"Budget",'Data_Line'!$C$2:$C$529,$A9)/1000000</x:f>
        <x:v>2.3061132599999996</x:v>
      </x:c>
      <x:c r="D9" s="146" t="n">
        <x:f>C9-B9</x:f>
        <x:v>0.11215416999999972</x:v>
      </x:c>
      <x:c r="E9" s="151" t="n">
        <x:f>IFERROR(D9/ABS(C9),0)</x:f>
        <x:v>0.04863341794409514</x:v>
      </x:c>
      <x:c r="F9" s="149" t="n">
        <x:f>SUMIFS('Data_Line'!$F$2:$F$529,'Data_Line'!$A$2:$A$529,"&gt;="&amp;DATE(2026,1,1),'Data_Line'!$A$2:$A$529,"&lt;="&amp;DATE(2026,6,1),'Data_Line'!$B$2:$B$529,"Actual",'Data_Line'!$C$2:$C$529,$A9)/1000000</x:f>
        <x:v>13.57253657</x:v>
      </x:c>
      <x:c r="G9" s="149" t="n">
        <x:f>SUMIFS('Data_Line'!$F$2:$F$529,'Data_Line'!$A$2:$A$529,"&gt;="&amp;DATE(2026,1,1),'Data_Line'!$A$2:$A$529,"&lt;="&amp;DATE(2026,6,1),'Data_Line'!$B$2:$B$529,"Budget",'Data_Line'!$C$2:$C$529,$A9)/1000000</x:f>
        <x:v>13.41442663</x:v>
      </x:c>
      <x:c r="H9" s="146" t="n">
        <x:f>G9-F9</x:f>
        <x:v>-0.158109940000001</x:v>
      </x:c>
      <x:c r="I9" s="151" t="n">
        <x:f>IFERROR(H9/ABS(G9),0)</x:f>
        <x:v>-0.01178655967646088</x:v>
      </x:c>
      <x:c r="J9" s="149" t="n">
        <x:f>SUMIFS('Data_Line'!$F$2:$F$529,'Data_Line'!$A$2:$A$529,"&gt;="&amp;DATE(2026,1,1),'Data_Line'!$A$2:$A$529,"&lt;="&amp;DATE(2026,12,1),'Data_Line'!$B$2:$B$529,"Budget",'Data_Line'!$C$2:$C$529,$A9)/1000000</x:f>
        <x:v>27.686442279999998</x:v>
      </x:c>
      <x:c r="K9" s="149" t="n">
        <x:f>SUMIFS('Data_Line'!$F$2:$F$529,'Data_Line'!$A$2:$A$529,"&gt;="&amp;DATE(2026,1,1),'Data_Line'!$A$2:$A$529,"&lt;="&amp;DATE(2026,12,1),'Data_Line'!$B$2:$B$529,"Q2 Forecast",'Data_Line'!$C$2:$C$529,$A9)/1000000</x:f>
        <x:v>27.151774029999995</x:v>
      </x:c>
      <x:c r="L9" s="146" t="n">
        <x:f>J9-K9</x:f>
        <x:v>0.5346682500000028</x:v>
      </x:c>
      <x:c r="M9" s="151" t="n">
        <x:f>IFERROR(L9/ABS(J9),0)</x:f>
        <x:v>0.019311554897258647</x:v>
      </x:c>
      <x:c r="N9" s="11"/>
    </x:row>
    <x:row r="10">
      <x:c r="A10" s="11" t="str">
        <x:v>Cost of Services</x:v>
      </x:c>
      <x:c r="B10" s="149" t="n">
        <x:f>SUMIFS('Data_Line'!$F$2:$F$529,'Data_Line'!$A$2:$A$529,DATE(2026,6,1),'Data_Line'!$B$2:$B$529,"Actual",'Data_Line'!$C$2:$C$529,$A10)/1000000</x:f>
        <x:v>1.21025841</x:v>
      </x:c>
      <x:c r="C10" s="149" t="n">
        <x:f>SUMIFS('Data_Line'!$F$2:$F$529,'Data_Line'!$A$2:$A$529,DATE(2026,6,1),'Data_Line'!$B$2:$B$529,"Budget",'Data_Line'!$C$2:$C$529,$A10)/1000000</x:f>
        <x:v>1.28027204</x:v>
      </x:c>
      <x:c r="D10" s="146" t="n">
        <x:f>C10-B10</x:f>
        <x:v>0.07001363000000005</x:v>
      </x:c>
      <x:c r="E10" s="151" t="n">
        <x:f>IFERROR(D10/ABS(C10),0)</x:f>
        <x:v>0.05468652584180472</x:v>
      </x:c>
      <x:c r="F10" s="149" t="n">
        <x:f>SUMIFS('Data_Line'!$F$2:$F$529,'Data_Line'!$A$2:$A$529,"&gt;="&amp;DATE(2026,1,1),'Data_Line'!$A$2:$A$529,"&lt;="&amp;DATE(2026,6,1),'Data_Line'!$B$2:$B$529,"Actual",'Data_Line'!$C$2:$C$529,$A10)/1000000</x:f>
        <x:v>7.30939817</x:v>
      </x:c>
      <x:c r="G10" s="149" t="n">
        <x:f>SUMIFS('Data_Line'!$F$2:$F$529,'Data_Line'!$A$2:$A$529,"&gt;="&amp;DATE(2026,1,1),'Data_Line'!$A$2:$A$529,"&lt;="&amp;DATE(2026,6,1),'Data_Line'!$B$2:$B$529,"Budget",'Data_Line'!$C$2:$C$529,$A10)/1000000</x:f>
        <x:v>8.09065717</x:v>
      </x:c>
      <x:c r="H10" s="146" t="n">
        <x:f>G10-F10</x:f>
        <x:v>0.7812590000000004</x:v>
      </x:c>
      <x:c r="I10" s="151" t="n">
        <x:f>IFERROR(H10/ABS(G10),0)</x:f>
        <x:v>0.09656310774072761</x:v>
      </x:c>
      <x:c r="J10" s="149" t="n">
        <x:f>SUMIFS('Data_Line'!$F$2:$F$529,'Data_Line'!$A$2:$A$529,"&gt;="&amp;DATE(2026,1,1),'Data_Line'!$A$2:$A$529,"&lt;="&amp;DATE(2026,12,1),'Data_Line'!$B$2:$B$529,"Budget",'Data_Line'!$C$2:$C$529,$A10)/1000000</x:f>
        <x:v>15.92003743</x:v>
      </x:c>
      <x:c r="K10" s="149" t="n">
        <x:f>SUMIFS('Data_Line'!$F$2:$F$529,'Data_Line'!$A$2:$A$529,"&gt;="&amp;DATE(2026,1,1),'Data_Line'!$A$2:$A$529,"&lt;="&amp;DATE(2026,12,1),'Data_Line'!$B$2:$B$529,"Q2 Forecast",'Data_Line'!$C$2:$C$529,$A10)/1000000</x:f>
        <x:v>14.797128700000002</x:v>
      </x:c>
      <x:c r="L10" s="146" t="n">
        <x:f>J10-K10</x:f>
        <x:v>1.122908729999999</x:v>
      </x:c>
      <x:c r="M10" s="151" t="n">
        <x:f>IFERROR(L10/ABS(J10),0)</x:f>
        <x:v>0.07053430212946421</x:v>
      </x:c>
      <x:c r="N10" s="11"/>
    </x:row>
    <x:row r="11">
      <x:c r="A11" s="157" t="str">
        <x:v>Gross Profit</x:v>
      </x:c>
      <x:c r="B11" s="158" t="n">
        <x:f>B8-SUM(B9:B10)</x:f>
        <x:v>8.1208959</x:v>
      </x:c>
      <x:c r="C11" s="158" t="n">
        <x:f>C8-SUM(C9:C10)</x:f>
        <x:v>8.80553364</x:v>
      </x:c>
      <x:c r="D11" s="158" t="n">
        <x:f>B11-C11</x:f>
        <x:v>-0.6846377399999994</x:v>
      </x:c>
      <x:c r="E11" s="159" t="n">
        <x:f>IFERROR(D11/ABS(C11),0)</x:f>
        <x:v>-0.07775085167921741</x:v>
      </x:c>
      <x:c r="F11" s="158" t="n">
        <x:f>F8-SUM(F9:F10)</x:f>
        <x:v>48.68409246000001</x:v>
      </x:c>
      <x:c r="G11" s="158" t="n">
        <x:f>G8-SUM(G9:G10)</x:f>
        <x:v>52.12594619</x:v>
      </x:c>
      <x:c r="H11" s="158" t="n">
        <x:f>F11-G11</x:f>
        <x:v>-3.441853729999991</x:v>
      </x:c>
      <x:c r="I11" s="159" t="n">
        <x:f>IFERROR(H11/ABS(G11),0)</x:f>
        <x:v>-0.06602956841213727</x:v>
      </x:c>
      <x:c r="J11" s="158" t="n">
        <x:f>J8-SUM(J9:J10)</x:f>
        <x:v>109.48985943</x:v>
      </x:c>
      <x:c r="K11" s="158" t="n">
        <x:f>K8-SUM(K9:K10)</x:f>
        <x:v>103.07002125000001</x:v>
      </x:c>
      <x:c r="L11" s="158" t="n">
        <x:f>K11-J11</x:f>
        <x:v>-6.419838179999985</x:v>
      </x:c>
      <x:c r="M11" s="159" t="n">
        <x:f>IFERROR(L11/ABS(J11),0)</x:f>
        <x:v>-0.058634089160598216</x:v>
      </x:c>
      <x:c r="N11" s="11"/>
    </x:row>
    <x:row r="12">
      <x:c r="A12" s="11" t="str">
        <x:v>Gross Margin</x:v>
      </x:c>
      <x:c r="B12" s="151" t="n">
        <x:f>B11/B8</x:f>
        <x:v>0.7046261167373851</x:v>
      </x:c>
      <x:c r="C12" s="151" t="n">
        <x:f>C11/C8</x:f>
        <x:v>0.7105867688963433</x:v>
      </x:c>
      <x:c r="D12" s="151" t="n">
        <x:f>B12-C12</x:f>
        <x:v>-0.005960652158958246</x:v>
      </x:c>
      <x:c r="E12" s="151" t="n">
        <x:f>IFERROR(D12/ABS(C12),0)</x:f>
        <x:v>-0.00838835230244451</x:v>
      </x:c>
      <x:c r="F12" s="151" t="n">
        <x:f>F11/F8</x:f>
        <x:v>0.6998256824417307</x:v>
      </x:c>
      <x:c r="G12" s="151" t="n">
        <x:f>G11/G8</x:f>
        <x:v>0.7079344971417532</x:v>
      </x:c>
      <x:c r="H12" s="151" t="n">
        <x:f>F12-G12</x:f>
        <x:v>-0.008108814700022449</x:v>
      </x:c>
      <x:c r="I12" s="151" t="n">
        <x:f>IFERROR(H12/ABS(G12),0)</x:f>
        <x:v>-0.011454187827774102</x:v>
      </x:c>
      <x:c r="J12" s="151" t="n">
        <x:f>J11/J8</x:f>
        <x:v>0.7151696771134171</x:v>
      </x:c>
      <x:c r="K12" s="151" t="n">
        <x:f>K11/K8</x:f>
        <x:v>0.7107349745900383</x:v>
      </x:c>
      <x:c r="L12" s="151" t="n">
        <x:f>K12-J12</x:f>
        <x:v>-0.004434702523378742</x:v>
      </x:c>
      <x:c r="M12" s="151" t="n">
        <x:f>IFERROR(L12/ABS(J12),0)</x:f>
        <x:v>-0.006200909609700151</x:v>
      </x:c>
      <x:c r="N12" s="11"/>
    </x:row>
    <x:row r="13">
      <x:c r="A13" s="11" t="str">
        <x:v>Sales &amp; Marketing</x:v>
      </x:c>
      <x:c r="B13" s="149" t="n">
        <x:f>SUMIFS('Data_Line'!$F$2:$F$529,'Data_Line'!$A$2:$A$529,DATE(2026,6,1),'Data_Line'!$B$2:$B$529,"Actual",'Data_Line'!$C$2:$C$529,$A13)/1000000</x:f>
        <x:v>2.55350527</x:v>
      </x:c>
      <x:c r="C13" s="149" t="n">
        <x:f>SUMIFS('Data_Line'!$F$2:$F$529,'Data_Line'!$A$2:$A$529,DATE(2026,6,1),'Data_Line'!$B$2:$B$529,"Budget",'Data_Line'!$C$2:$C$529,$A13)/1000000</x:f>
        <x:v>2.67086696</x:v>
      </x:c>
      <x:c r="D13" s="146" t="n">
        <x:f>C13-B13</x:f>
        <x:v>0.11736169000000007</x:v>
      </x:c>
      <x:c r="E13" s="151" t="n">
        <x:f>IFERROR(D13/ABS(C13),0)</x:f>
        <x:v>0.043941421178088205</x:v>
      </x:c>
      <x:c r="F13" s="149" t="n">
        <x:f>SUMIFS('Data_Line'!$F$2:$F$529,'Data_Line'!$A$2:$A$529,"&gt;="&amp;DATE(2026,1,1),'Data_Line'!$A$2:$A$529,"&lt;="&amp;DATE(2026,6,1),'Data_Line'!$B$2:$B$529,"Actual",'Data_Line'!$C$2:$C$529,$A13)/1000000</x:f>
        <x:v>15.427581</x:v>
      </x:c>
      <x:c r="G13" s="149" t="n">
        <x:f>SUMIFS('Data_Line'!$F$2:$F$529,'Data_Line'!$A$2:$A$529,"&gt;="&amp;DATE(2026,1,1),'Data_Line'!$A$2:$A$529,"&lt;="&amp;DATE(2026,6,1),'Data_Line'!$B$2:$B$529,"Budget",'Data_Line'!$C$2:$C$529,$A13)/1000000</x:f>
        <x:v>15.95263279</x:v>
      </x:c>
      <x:c r="H13" s="146" t="n">
        <x:f>G13-F13</x:f>
        <x:v>0.5250517899999991</x:v>
      </x:c>
      <x:c r="I13" s="151" t="n">
        <x:f>IFERROR(H13/ABS(G13),0)</x:f>
        <x:v>0.03291317470362202</x:v>
      </x:c>
      <x:c r="J13" s="149" t="n">
        <x:f>SUMIFS('Data_Line'!$F$2:$F$529,'Data_Line'!$A$2:$A$529,"&gt;="&amp;DATE(2026,1,1),'Data_Line'!$A$2:$A$529,"&lt;="&amp;DATE(2026,12,1),'Data_Line'!$B$2:$B$529,"Budget",'Data_Line'!$C$2:$C$529,$A13)/1000000</x:f>
        <x:v>32.73751906999999</x:v>
      </x:c>
      <x:c r="K13" s="149" t="n">
        <x:f>SUMIFS('Data_Line'!$F$2:$F$529,'Data_Line'!$A$2:$A$529,"&gt;="&amp;DATE(2026,1,1),'Data_Line'!$A$2:$A$529,"&lt;="&amp;DATE(2026,12,1),'Data_Line'!$B$2:$B$529,"Q2 Forecast",'Data_Line'!$C$2:$C$529,$A13)/1000000</x:f>
        <x:v>31.69256896</x:v>
      </x:c>
      <x:c r="L13" s="146" t="n">
        <x:f>J13-K13</x:f>
        <x:v>1.0449501099999914</x:v>
      </x:c>
      <x:c r="M13" s="151" t="n">
        <x:f>IFERROR(L13/ABS(J13),0)</x:f>
        <x:v>0.03191903784051745</x:v>
      </x:c>
      <x:c r="N13" s="11"/>
    </x:row>
    <x:row r="14">
      <x:c r="A14" s="11" t="str">
        <x:v>Research &amp; Development</x:v>
      </x:c>
      <x:c r="B14" s="149" t="n">
        <x:f>SUMIFS('Data_Line'!$F$2:$F$529,'Data_Line'!$A$2:$A$529,DATE(2026,6,1),'Data_Line'!$B$2:$B$529,"Actual",'Data_Line'!$C$2:$C$529,$A14)/1000000</x:f>
        <x:v>2.6113752900000002</x:v>
      </x:c>
      <x:c r="C14" s="149" t="n">
        <x:f>SUMIFS('Data_Line'!$F$2:$F$529,'Data_Line'!$A$2:$A$529,DATE(2026,6,1),'Data_Line'!$B$2:$B$529,"Budget",'Data_Line'!$C$2:$C$529,$A14)/1000000</x:f>
        <x:v>2.69518798</x:v>
      </x:c>
      <x:c r="D14" s="146" t="n">
        <x:f>C14-B14</x:f>
        <x:v>0.0838126899999998</x:v>
      </x:c>
      <x:c r="E14" s="151" t="n">
        <x:f>IFERROR(D14/ABS(C14),0)</x:f>
        <x:v>0.031097159315766836</x:v>
      </x:c>
      <x:c r="F14" s="149" t="n">
        <x:f>SUMIFS('Data_Line'!$F$2:$F$529,'Data_Line'!$A$2:$A$529,"&gt;="&amp;DATE(2026,1,1),'Data_Line'!$A$2:$A$529,"&lt;="&amp;DATE(2026,6,1),'Data_Line'!$B$2:$B$529,"Actual",'Data_Line'!$C$2:$C$529,$A14)/1000000</x:f>
        <x:v>15.662272470000003</x:v>
      </x:c>
      <x:c r="G14" s="149" t="n">
        <x:f>SUMIFS('Data_Line'!$F$2:$F$529,'Data_Line'!$A$2:$A$529,"&gt;="&amp;DATE(2026,1,1),'Data_Line'!$A$2:$A$529,"&lt;="&amp;DATE(2026,6,1),'Data_Line'!$B$2:$B$529,"Budget",'Data_Line'!$C$2:$C$529,$A14)/1000000</x:f>
        <x:v>15.98684834</x:v>
      </x:c>
      <x:c r="H14" s="146" t="n">
        <x:f>G14-F14</x:f>
        <x:v>0.32457586999999677</x:v>
      </x:c>
      <x:c r="I14" s="151" t="n">
        <x:f>IFERROR(H14/ABS(G14),0)</x:f>
        <x:v>0.020302680246730657</x:v>
      </x:c>
      <x:c r="J14" s="149" t="n">
        <x:f>SUMIFS('Data_Line'!$F$2:$F$529,'Data_Line'!$A$2:$A$529,"&gt;="&amp;DATE(2026,1,1),'Data_Line'!$A$2:$A$529,"&lt;="&amp;DATE(2026,12,1),'Data_Line'!$B$2:$B$529,"Budget",'Data_Line'!$C$2:$C$529,$A14)/1000000</x:f>
        <x:v>32.48615634</x:v>
      </x:c>
      <x:c r="K14" s="149" t="n">
        <x:f>SUMIFS('Data_Line'!$F$2:$F$529,'Data_Line'!$A$2:$A$529,"&gt;="&amp;DATE(2026,1,1),'Data_Line'!$A$2:$A$529,"&lt;="&amp;DATE(2026,12,1),'Data_Line'!$B$2:$B$529,"Q2 Forecast",'Data_Line'!$C$2:$C$529,$A14)/1000000</x:f>
        <x:v>31.460012230000004</x:v>
      </x:c>
      <x:c r="L14" s="146" t="n">
        <x:f>J14-K14</x:f>
        <x:v>1.026144109999997</x:v>
      </x:c>
      <x:c r="M14" s="151" t="n">
        <x:f>IFERROR(L14/ABS(J14),0)</x:f>
        <x:v>0.031587119733722156</x:v>
      </x:c>
      <x:c r="N14" s="11"/>
    </x:row>
    <x:row r="15">
      <x:c r="A15" s="11" t="str">
        <x:v>General &amp; Administrative</x:v>
      </x:c>
      <x:c r="B15" s="149" t="n">
        <x:f>SUMIFS('Data_Line'!$F$2:$F$529,'Data_Line'!$A$2:$A$529,DATE(2026,6,1),'Data_Line'!$B$2:$B$529,"Actual",'Data_Line'!$C$2:$C$529,$A15)/1000000</x:f>
        <x:v>1.72091382</x:v>
      </x:c>
      <x:c r="C15" s="149" t="n">
        <x:f>SUMIFS('Data_Line'!$F$2:$F$529,'Data_Line'!$A$2:$A$529,DATE(2026,6,1),'Data_Line'!$B$2:$B$529,"Budget",'Data_Line'!$C$2:$C$529,$A15)/1000000</x:f>
        <x:v>1.8206513500000001</x:v>
      </x:c>
      <x:c r="D15" s="146" t="n">
        <x:f>C15-B15</x:f>
        <x:v>0.09973753000000007</x:v>
      </x:c>
      <x:c r="E15" s="151" t="n">
        <x:f>IFERROR(D15/ABS(C15),0)</x:f>
        <x:v>0.05478123529801577</x:v>
      </x:c>
      <x:c r="F15" s="149" t="n">
        <x:f>SUMIFS('Data_Line'!$F$2:$F$529,'Data_Line'!$A$2:$A$529,"&gt;="&amp;DATE(2026,1,1),'Data_Line'!$A$2:$A$529,"&lt;="&amp;DATE(2026,6,1),'Data_Line'!$B$2:$B$529,"Actual",'Data_Line'!$C$2:$C$529,$A15)/1000000</x:f>
        <x:v>10.388018390000001</x:v>
      </x:c>
      <x:c r="G15" s="149" t="n">
        <x:f>SUMIFS('Data_Line'!$F$2:$F$529,'Data_Line'!$A$2:$A$529,"&gt;="&amp;DATE(2026,1,1),'Data_Line'!$A$2:$A$529,"&lt;="&amp;DATE(2026,6,1),'Data_Line'!$B$2:$B$529,"Budget",'Data_Line'!$C$2:$C$529,$A15)/1000000</x:f>
        <x:v>10.82649601</x:v>
      </x:c>
      <x:c r="H15" s="146" t="n">
        <x:f>G15-F15</x:f>
        <x:v>0.4384776199999987</x:v>
      </x:c>
      <x:c r="I15" s="151" t="n">
        <x:f>IFERROR(H15/ABS(G15),0)</x:f>
        <x:v>0.040500418565249045</x:v>
      </x:c>
      <x:c r="J15" s="149" t="n">
        <x:f>SUMIFS('Data_Line'!$F$2:$F$529,'Data_Line'!$A$2:$A$529,"&gt;="&amp;DATE(2026,1,1),'Data_Line'!$A$2:$A$529,"&lt;="&amp;DATE(2026,12,1),'Data_Line'!$B$2:$B$529,"Budget",'Data_Line'!$C$2:$C$529,$A15)/1000000</x:f>
        <x:v>21.68205607</x:v>
      </x:c>
      <x:c r="K15" s="149" t="n">
        <x:f>SUMIFS('Data_Line'!$F$2:$F$529,'Data_Line'!$A$2:$A$529,"&gt;="&amp;DATE(2026,1,1),'Data_Line'!$A$2:$A$529,"&lt;="&amp;DATE(2026,12,1),'Data_Line'!$B$2:$B$529,"Q2 Forecast",'Data_Line'!$C$2:$C$529,$A15)/1000000</x:f>
        <x:v>21.14548422</x:v>
      </x:c>
      <x:c r="L15" s="146" t="n">
        <x:f>J15-K15</x:f>
        <x:v>0.5365718500000014</x:v>
      </x:c>
      <x:c r="M15" s="151" t="n">
        <x:f>IFERROR(L15/ABS(J15),0)</x:f>
        <x:v>0.024747277115587746</x:v>
      </x:c>
      <x:c r="N15" s="11"/>
    </x:row>
    <x:row r="16">
      <x:c r="A16" s="157" t="str">
        <x:v>Adjusted EBITDA</x:v>
      </x:c>
      <x:c r="B16" s="158" t="n">
        <x:f>B11-SUM(B13:B15)</x:f>
        <x:v>1.2351015200000006</x:v>
      </x:c>
      <x:c r="C16" s="158" t="n">
        <x:f>C11-SUM(C13:C15)</x:f>
        <x:v>1.61882735</x:v>
      </x:c>
      <x:c r="D16" s="158" t="n">
        <x:f>B16-C16</x:f>
        <x:v>-0.3837258299999995</x:v>
      </x:c>
      <x:c r="E16" s="159" t="n">
        <x:f>IFERROR(D16/ABS(C16),0)</x:f>
        <x:v>-0.23703937915306378</x:v>
      </x:c>
      <x:c r="F16" s="158" t="n">
        <x:f>F11-SUM(F13:F15)</x:f>
        <x:v>7.206220600000009</x:v>
      </x:c>
      <x:c r="G16" s="158" t="n">
        <x:f>G11-SUM(G13:G15)</x:f>
        <x:v>9.359969050000004</x:v>
      </x:c>
      <x:c r="H16" s="158" t="n">
        <x:f>F16-G16</x:f>
        <x:v>-2.153748449999995</x:v>
      </x:c>
      <x:c r="I16" s="159" t="n">
        <x:f>IFERROR(H16/ABS(G16),0)</x:f>
        <x:v>-0.23010209098928527</x:v>
      </x:c>
      <x:c r="J16" s="158" t="n">
        <x:f>J11-SUM(J13:J15)</x:f>
        <x:v>22.584127949999996</x:v>
      </x:c>
      <x:c r="K16" s="158" t="n">
        <x:f>K11-SUM(K13:K15)</x:f>
        <x:v>18.771955840000004</x:v>
      </x:c>
      <x:c r="L16" s="158" t="n">
        <x:f>K16-J16</x:f>
        <x:v>-3.8121721099999917</x:v>
      </x:c>
      <x:c r="M16" s="159" t="n">
        <x:f>IFERROR(L16/ABS(J16),0)</x:f>
        <x:v>-0.16879872972912344</x:v>
      </x:c>
      <x:c r="N16" s="11"/>
    </x:row>
    <x:row r="17">
      <x:c r="A17" s="11" t="str">
        <x:v>Adjusted EBITDA Margin</x:v>
      </x:c>
      <x:c r="B17" s="151" t="n">
        <x:f>B16/B8</x:f>
        <x:v>0.10716610562808003</x:v>
      </x:c>
      <x:c r="C17" s="151" t="n">
        <x:f>C16/C8</x:f>
        <x:v>0.1306357278350628</x:v>
      </x:c>
      <x:c r="D17" s="151" t="n">
        <x:f>B17-C17</x:f>
        <x:v>-0.023469622206982774</x:v>
      </x:c>
      <x:c r="E17" s="151" t="n">
        <x:f>IFERROR(D17/ABS(C17),0)</x:f>
        <x:v>-0.1796569942689407</x:v>
      </x:c>
      <x:c r="F17" s="151" t="n">
        <x:f>F16/F8</x:f>
        <x:v>0.10358821525458634</x:v>
      </x:c>
      <x:c r="G17" s="151" t="n">
        <x:f>G16/G8</x:f>
        <x:v>0.12711989838076695</x:v>
      </x:c>
      <x:c r="H17" s="151" t="n">
        <x:f>F17-G17</x:f>
        <x:v>-0.02353168312618062</x:v>
      </x:c>
      <x:c r="I17" s="151" t="n">
        <x:f>IFERROR(H17/ABS(G17),0)</x:f>
        <x:v>-0.1851140806901473</x:v>
      </x:c>
      <x:c r="J17" s="151" t="n">
        <x:f>J16/J8</x:f>
        <x:v>0.14751579349880983</x:v>
      </x:c>
      <x:c r="K17" s="151" t="n">
        <x:f>K16/K8</x:f>
        <x:v>0.12944487053695763</x:v>
      </x:c>
      <x:c r="L17" s="151" t="n">
        <x:f>K17-J17</x:f>
        <x:v>-0.018070922961852198</x:v>
      </x:c>
      <x:c r="M17" s="151" t="n">
        <x:f>IFERROR(L17/ABS(J17),0)</x:f>
        <x:v>-0.12250161513721577</x:v>
      </x:c>
      <x:c r="N17" s="11"/>
    </x:row>
    <x:row r="18">
      <x:c r="A18" s="11" t="str">
        <x:v>Depreciation &amp; Amortization</x:v>
      </x:c>
      <x:c r="B18" s="149" t="n">
        <x:f>SUMIFS('Data_Line'!$F$2:$F$529,'Data_Line'!$A$2:$A$529,DATE(2026,6,1),'Data_Line'!$B$2:$B$529,"Actual",'Data_Line'!$C$2:$C$529,$A18)/1000000</x:f>
        <x:v>0.20745204</x:v>
      </x:c>
      <x:c r="C18" s="149" t="n">
        <x:f>SUMIFS('Data_Line'!$F$2:$F$529,'Data_Line'!$A$2:$A$529,DATE(2026,6,1),'Data_Line'!$B$2:$B$529,"Budget",'Data_Line'!$C$2:$C$529,$A18)/1000000</x:f>
        <x:v>0.20889097</x:v>
      </x:c>
      <x:c r="D18" s="146" t="n">
        <x:f>C18-B18</x:f>
        <x:v>0.001438930000000005</x:v>
      </x:c>
      <x:c r="E18" s="151" t="n">
        <x:f>IFERROR(D18/ABS(C18),0)</x:f>
        <x:v>0.006888426053074505</x:v>
      </x:c>
      <x:c r="F18" s="149" t="n">
        <x:f>SUMIFS('Data_Line'!$F$2:$F$529,'Data_Line'!$A$2:$A$529,"&gt;="&amp;DATE(2026,1,1),'Data_Line'!$A$2:$A$529,"&lt;="&amp;DATE(2026,6,1),'Data_Line'!$B$2:$B$529,"Actual",'Data_Line'!$C$2:$C$529,$A18)/1000000</x:f>
        <x:v>1.2521884699999999</x:v>
      </x:c>
      <x:c r="G18" s="149" t="n">
        <x:f>SUMIFS('Data_Line'!$F$2:$F$529,'Data_Line'!$A$2:$A$529,"&gt;="&amp;DATE(2026,1,1),'Data_Line'!$A$2:$A$529,"&lt;="&amp;DATE(2026,6,1),'Data_Line'!$B$2:$B$529,"Budget",'Data_Line'!$C$2:$C$529,$A18)/1000000</x:f>
        <x:v>1.24254863</x:v>
      </x:c>
      <x:c r="H18" s="146" t="n">
        <x:f>G18-F18</x:f>
        <x:v>-0.009639839999999955</x:v>
      </x:c>
      <x:c r="I18" s="151" t="n">
        <x:f>IFERROR(H18/ABS(G18),0)</x:f>
        <x:v>-0.007758118891491559</x:v>
      </x:c>
      <x:c r="J18" s="149" t="n">
        <x:f>SUMIFS('Data_Line'!$F$2:$F$529,'Data_Line'!$A$2:$A$529,"&gt;="&amp;DATE(2026,1,1),'Data_Line'!$A$2:$A$529,"&lt;="&amp;DATE(2026,12,1),'Data_Line'!$B$2:$B$529,"Budget",'Data_Line'!$C$2:$C$529,$A18)/1000000</x:f>
        <x:v>2.5833351799999997</x:v>
      </x:c>
      <x:c r="K18" s="149" t="n">
        <x:f>SUMIFS('Data_Line'!$F$2:$F$529,'Data_Line'!$A$2:$A$529,"&gt;="&amp;DATE(2026,1,1),'Data_Line'!$A$2:$A$529,"&lt;="&amp;DATE(2026,12,1),'Data_Line'!$B$2:$B$529,"Q2 Forecast",'Data_Line'!$C$2:$C$529,$A18)/1000000</x:f>
        <x:v>2.5795671600000003</x:v>
      </x:c>
      <x:c r="L18" s="146" t="n">
        <x:f>J18-K18</x:f>
        <x:v>0.003768019999999428</x:v>
      </x:c>
      <x:c r="M18" s="151" t="n">
        <x:f>IFERROR(L18/ABS(J18),0)</x:f>
        <x:v>0.0014585873444418578</x:v>
      </x:c>
      <x:c r="N18" s="11"/>
    </x:row>
    <x:row r="19">
      <x:c r="A19" s="157" t="str">
        <x:v>Operating Income</x:v>
      </x:c>
      <x:c r="B19" s="158" t="n">
        <x:f>B16-B18</x:f>
        <x:v>1.0276494800000007</x:v>
      </x:c>
      <x:c r="C19" s="158" t="n">
        <x:f>C16-C18</x:f>
        <x:v>1.40993638</x:v>
      </x:c>
      <x:c r="D19" s="158" t="n">
        <x:f>B19-C19</x:f>
        <x:v>-0.3822868999999993</x:v>
      </x:c>
      <x:c r="E19" s="159" t="n">
        <x:f>IFERROR(D19/ABS(C19),0)</x:f>
        <x:v>-0.27113769487953726</x:v>
      </x:c>
      <x:c r="F19" s="158" t="n">
        <x:f>F16-F18</x:f>
        <x:v>5.954032130000009</x:v>
      </x:c>
      <x:c r="G19" s="158" t="n">
        <x:f>G16-G18</x:f>
        <x:v>8.117420420000004</x:v>
      </x:c>
      <x:c r="H19" s="158" t="n">
        <x:f>F19-G19</x:f>
        <x:v>-2.163388289999995</x:v>
      </x:c>
      <x:c r="I19" s="159" t="n">
        <x:f>IFERROR(H19/ABS(G19),0)</x:f>
        <x:v>-0.2665117953814192</x:v>
      </x:c>
      <x:c r="J19" s="158" t="n">
        <x:f>J16-J18</x:f>
        <x:v>20.000792769999997</x:v>
      </x:c>
      <x:c r="K19" s="158" t="n">
        <x:f>K16-K18</x:f>
        <x:v>16.192388680000004</x:v>
      </x:c>
      <x:c r="L19" s="158" t="n">
        <x:f>K19-J19</x:f>
        <x:v>-3.8084040899999927</x:v>
      </x:c>
      <x:c r="M19" s="159" t="n">
        <x:f>IFERROR(L19/ABS(J19),0)</x:f>
        <x:v>-0.19041265682790198</x:v>
      </x:c>
      <x:c r="N19" s="11"/>
    </x:row>
    <x:row r="20">
      <x:c r="A20" s="11"/>
      <x:c r="B20" s="11"/>
      <x:c r="C20" s="11"/>
      <x:c r="D20" s="11"/>
      <x:c r="E20" s="11"/>
      <x:c r="F20" s="11"/>
      <x:c r="G20" s="11"/>
      <x:c r="H20" s="11"/>
      <x:c r="I20" s="11"/>
      <x:c r="J20" s="11"/>
      <x:c r="K20" s="11"/>
      <x:c r="L20" s="11"/>
      <x:c r="M20" s="11"/>
      <x:c r="N20" s="11"/>
    </x:row>
    <x:row r="21">
      <x:c r="A21" s="11"/>
      <x:c r="B21" s="11"/>
      <x:c r="C21" s="11"/>
      <x:c r="D21" s="11"/>
      <x:c r="E21" s="11"/>
      <x:c r="F21" s="11"/>
      <x:c r="G21" s="11"/>
      <x:c r="H21" s="11"/>
      <x:c r="I21" s="11"/>
      <x:c r="J21" s="11"/>
      <x:c r="K21" s="11"/>
      <x:c r="L21" s="11"/>
      <x:c r="M21" s="11"/>
      <x:c r="N21" s="11"/>
    </x:row>
    <x:row r="22">
      <x:c r="A22" s="11"/>
      <x:c r="B22" s="11"/>
      <x:c r="C22" s="11"/>
      <x:c r="D22" s="11"/>
      <x:c r="E22" s="11"/>
      <x:c r="F22" s="11"/>
      <x:c r="G22" s="11"/>
      <x:c r="H22" s="11"/>
      <x:c r="I22" s="11"/>
      <x:c r="J22" s="11"/>
      <x:c r="K22" s="11"/>
      <x:c r="L22" s="11"/>
      <x:c r="M22" s="11"/>
      <x:c r="N22" s="11"/>
    </x:row>
    <x:row r="23">
      <x:c r="A23" s="11"/>
      <x:c r="B23" s="11"/>
      <x:c r="C23" s="11"/>
      <x:c r="D23" s="11"/>
      <x:c r="E23" s="11"/>
      <x:c r="F23" s="11"/>
      <x:c r="G23" s="11"/>
      <x:c r="H23" s="11"/>
      <x:c r="I23" s="11"/>
      <x:c r="J23" s="11"/>
      <x:c r="K23" s="11"/>
      <x:c r="L23" s="11"/>
      <x:c r="M23" s="11"/>
      <x:c r="N23" s="11"/>
    </x:row>
    <x:row r="24">
      <x:c r="A24" s="11"/>
      <x:c r="B24" s="11"/>
      <x:c r="C24" s="11"/>
      <x:c r="D24" s="11"/>
      <x:c r="E24" s="11"/>
      <x:c r="F24" s="11"/>
      <x:c r="G24" s="11"/>
      <x:c r="H24" s="11"/>
      <x:c r="I24" s="11"/>
      <x:c r="J24" s="11"/>
      <x:c r="K24" s="11"/>
      <x:c r="L24" s="11"/>
      <x:c r="M24" s="11"/>
      <x:c r="N24" s="11"/>
    </x:row>
    <x:row r="25">
      <x:c r="A25" s="11"/>
      <x:c r="B25" s="11"/>
      <x:c r="C25" s="11"/>
      <x:c r="D25" s="11"/>
      <x:c r="E25" s="11"/>
      <x:c r="F25" s="11"/>
      <x:c r="G25" s="11"/>
      <x:c r="H25" s="11"/>
      <x:c r="I25" s="11"/>
      <x:c r="J25" s="11"/>
      <x:c r="K25" s="11"/>
      <x:c r="L25" s="11"/>
      <x:c r="M25" s="11"/>
      <x:c r="N25" s="11"/>
    </x:row>
    <x:row r="26">
      <x:c r="A26" s="11"/>
      <x:c r="B26" s="11"/>
      <x:c r="C26" s="11"/>
      <x:c r="D26" s="11"/>
      <x:c r="E26" s="11"/>
      <x:c r="F26" s="11"/>
      <x:c r="G26" s="11"/>
      <x:c r="H26" s="11"/>
      <x:c r="I26" s="11"/>
      <x:c r="J26" s="11"/>
      <x:c r="K26" s="11"/>
      <x:c r="L26" s="11"/>
      <x:c r="M26" s="11"/>
      <x:c r="N26" s="11"/>
    </x:row>
    <x:row r="27">
      <x:c r="A27" s="11"/>
      <x:c r="B27" s="11"/>
      <x:c r="C27" s="11"/>
      <x:c r="D27" s="11"/>
      <x:c r="E27" s="11"/>
      <x:c r="F27" s="11"/>
      <x:c r="G27" s="11"/>
      <x:c r="H27" s="11"/>
      <x:c r="I27" s="11"/>
      <x:c r="J27" s="11"/>
      <x:c r="K27" s="11"/>
      <x:c r="L27" s="11"/>
      <x:c r="M27" s="11"/>
      <x:c r="N27" s="11"/>
    </x:row>
    <x:row r="28">
      <x:c r="A28" s="11"/>
      <x:c r="B28" s="11"/>
      <x:c r="C28" s="11"/>
      <x:c r="D28" s="11"/>
      <x:c r="E28" s="11"/>
      <x:c r="F28" s="11"/>
      <x:c r="G28" s="11"/>
      <x:c r="H28" s="11"/>
      <x:c r="I28" s="11"/>
      <x:c r="J28" s="11"/>
      <x:c r="K28" s="11"/>
      <x:c r="L28" s="11"/>
      <x:c r="M28" s="11"/>
      <x:c r="N28" s="11"/>
    </x:row>
    <x:row r="29">
      <x:c r="A29" s="11"/>
      <x:c r="B29" s="11"/>
      <x:c r="C29" s="11"/>
      <x:c r="D29" s="11"/>
      <x:c r="E29" s="11"/>
      <x:c r="F29" s="11"/>
      <x:c r="G29" s="11"/>
      <x:c r="H29" s="11"/>
      <x:c r="I29" s="11"/>
      <x:c r="J29" s="11"/>
      <x:c r="K29" s="11"/>
      <x:c r="L29" s="11"/>
      <x:c r="M29" s="11"/>
      <x:c r="N29" s="11"/>
    </x:row>
    <x:row r="30">
      <x:c r="A30" s="11"/>
      <x:c r="B30" s="11"/>
      <x:c r="C30" s="11"/>
      <x:c r="D30" s="11"/>
      <x:c r="E30" s="11"/>
      <x:c r="F30" s="11"/>
      <x:c r="G30" s="11"/>
      <x:c r="H30" s="11"/>
      <x:c r="I30" s="11"/>
      <x:c r="J30" s="11"/>
      <x:c r="K30" s="11"/>
      <x:c r="L30" s="11"/>
      <x:c r="M30" s="11"/>
      <x:c r="N30" s="11"/>
    </x:row>
    <x:row r="31">
      <x:c r="A31" s="11"/>
      <x:c r="B31" s="11"/>
      <x:c r="C31" s="11"/>
      <x:c r="D31" s="11"/>
      <x:c r="E31" s="11"/>
      <x:c r="F31" s="11"/>
      <x:c r="G31" s="11"/>
      <x:c r="H31" s="11"/>
      <x:c r="I31" s="11"/>
      <x:c r="J31" s="11"/>
      <x:c r="K31" s="11"/>
      <x:c r="L31" s="11"/>
      <x:c r="M31" s="11"/>
      <x:c r="N31" s="11"/>
    </x:row>
    <x:row r="32">
      <x:c r="A32" s="11"/>
      <x:c r="B32" s="11"/>
      <x:c r="C32" s="11"/>
      <x:c r="D32" s="11"/>
      <x:c r="E32" s="11"/>
      <x:c r="F32" s="11"/>
      <x:c r="G32" s="11"/>
      <x:c r="H32" s="11"/>
      <x:c r="I32" s="11"/>
      <x:c r="J32" s="11"/>
      <x:c r="K32" s="11"/>
      <x:c r="L32" s="11"/>
      <x:c r="M32" s="11"/>
      <x:c r="N32" s="11"/>
    </x:row>
    <x:row r="33">
      <x:c r="A33" s="11"/>
      <x:c r="B33" s="11"/>
      <x:c r="C33" s="11"/>
      <x:c r="D33" s="11"/>
      <x:c r="E33" s="11"/>
      <x:c r="F33" s="11"/>
      <x:c r="G33" s="11"/>
      <x:c r="H33" s="11"/>
      <x:c r="I33" s="11"/>
      <x:c r="J33" s="11"/>
      <x:c r="K33" s="11"/>
      <x:c r="L33" s="11"/>
      <x:c r="M33" s="11"/>
      <x:c r="N33" s="11"/>
    </x:row>
    <x:row r="34">
      <x:c r="A34" s="11"/>
      <x:c r="B34" s="11"/>
      <x:c r="C34" s="11"/>
      <x:c r="D34" s="11"/>
      <x:c r="E34" s="11"/>
      <x:c r="F34" s="11"/>
      <x:c r="G34" s="11"/>
      <x:c r="H34" s="11"/>
      <x:c r="I34" s="11"/>
      <x:c r="J34" s="11"/>
      <x:c r="K34" s="11"/>
      <x:c r="L34" s="11"/>
      <x:c r="M34" s="11"/>
      <x:c r="N34" s="11"/>
    </x:row>
    <x:row r="35">
      <x:c r="A35" s="11"/>
      <x:c r="B35" s="11"/>
      <x:c r="C35" s="11"/>
      <x:c r="D35" s="11"/>
      <x:c r="E35" s="11"/>
      <x:c r="F35" s="11"/>
      <x:c r="G35" s="11"/>
      <x:c r="H35" s="11"/>
      <x:c r="I35" s="11"/>
      <x:c r="J35" s="11"/>
      <x:c r="K35" s="11"/>
      <x:c r="L35" s="11"/>
      <x:c r="M35" s="11"/>
      <x:c r="N35" s="11"/>
    </x:row>
    <x:row r="36">
      <x:c r="A36" s="11"/>
      <x:c r="B36" s="11"/>
      <x:c r="C36" s="11"/>
      <x:c r="D36" s="11"/>
      <x:c r="E36" s="11"/>
      <x:c r="F36" s="11"/>
      <x:c r="G36" s="11"/>
      <x:c r="H36" s="11"/>
      <x:c r="I36" s="11"/>
      <x:c r="J36" s="11"/>
      <x:c r="K36" s="11"/>
      <x:c r="L36" s="11"/>
      <x:c r="M36" s="11"/>
      <x:c r="N36" s="11"/>
    </x:row>
    <x:row r="37">
      <x:c r="A37" s="11"/>
      <x:c r="B37" s="11"/>
      <x:c r="C37" s="11"/>
      <x:c r="D37" s="11"/>
      <x:c r="E37" s="11"/>
      <x:c r="F37" s="11"/>
      <x:c r="G37" s="11"/>
      <x:c r="H37" s="11"/>
      <x:c r="I37" s="11"/>
      <x:c r="J37" s="11"/>
      <x:c r="K37" s="11"/>
      <x:c r="L37" s="11"/>
      <x:c r="M37" s="11"/>
      <x:c r="N37" s="11"/>
    </x:row>
    <x:row r="38">
      <x:c r="A38" s="11"/>
      <x:c r="B38" s="11"/>
      <x:c r="C38" s="11"/>
      <x:c r="D38" s="11"/>
      <x:c r="E38" s="11"/>
      <x:c r="F38" s="11"/>
      <x:c r="G38" s="11"/>
      <x:c r="H38" s="11"/>
      <x:c r="I38" s="11"/>
      <x:c r="J38" s="11"/>
      <x:c r="K38" s="11"/>
      <x:c r="L38" s="11"/>
      <x:c r="M38" s="11"/>
      <x:c r="N38" s="11"/>
    </x:row>
    <x:row r="39">
      <x:c r="A39" s="11"/>
      <x:c r="B39" s="11"/>
      <x:c r="C39" s="11"/>
      <x:c r="D39" s="11"/>
      <x:c r="E39" s="11"/>
      <x:c r="F39" s="11"/>
      <x:c r="G39" s="11"/>
      <x:c r="H39" s="11"/>
      <x:c r="I39" s="11"/>
      <x:c r="J39" s="11"/>
      <x:c r="K39" s="11"/>
      <x:c r="L39" s="11"/>
      <x:c r="M39" s="11"/>
      <x:c r="N39" s="11"/>
    </x:row>
    <x:row r="40">
      <x:c r="A40" s="11"/>
      <x:c r="B40" s="11"/>
      <x:c r="C40" s="11"/>
      <x:c r="D40" s="11"/>
      <x:c r="E40" s="11"/>
      <x:c r="F40" s="11"/>
      <x:c r="G40" s="11"/>
      <x:c r="H40" s="11"/>
      <x:c r="I40" s="11"/>
      <x:c r="J40" s="11"/>
      <x:c r="K40" s="11"/>
      <x:c r="L40" s="11"/>
      <x:c r="M40" s="11"/>
      <x:c r="N40" s="11"/>
    </x:row>
    <x:row r="41">
      <x:c r="A41" s="11"/>
      <x:c r="B41" s="11"/>
      <x:c r="C41" s="11"/>
      <x:c r="D41" s="11"/>
      <x:c r="E41" s="11"/>
      <x:c r="F41" s="11"/>
      <x:c r="G41" s="11"/>
      <x:c r="H41" s="11"/>
      <x:c r="I41" s="11"/>
      <x:c r="J41" s="11"/>
      <x:c r="K41" s="11"/>
      <x:c r="L41" s="11"/>
      <x:c r="M41" s="11"/>
      <x:c r="N41" s="11"/>
    </x:row>
    <x:row r="42">
      <x:c r="A42" s="11"/>
      <x:c r="B42" s="11"/>
      <x:c r="C42" s="11"/>
      <x:c r="D42" s="11"/>
      <x:c r="E42" s="11"/>
      <x:c r="F42" s="11"/>
      <x:c r="G42" s="11"/>
      <x:c r="H42" s="11"/>
      <x:c r="I42" s="11"/>
      <x:c r="J42" s="11"/>
      <x:c r="K42" s="11"/>
      <x:c r="L42" s="11"/>
      <x:c r="M42" s="11"/>
      <x:c r="N42" s="11"/>
    </x:row>
    <x:row r="43">
      <x:c r="A43" s="11"/>
      <x:c r="B43" s="11"/>
      <x:c r="C43" s="11"/>
      <x:c r="D43" s="11"/>
      <x:c r="E43" s="11"/>
      <x:c r="F43" s="11"/>
      <x:c r="G43" s="11"/>
      <x:c r="H43" s="11"/>
      <x:c r="I43" s="11"/>
      <x:c r="J43" s="11"/>
      <x:c r="K43" s="11"/>
      <x:c r="L43" s="11"/>
      <x:c r="M43" s="11"/>
      <x:c r="N43" s="11"/>
    </x:row>
    <x:row r="44">
      <x:c r="A44" s="11"/>
      <x:c r="B44" s="11"/>
      <x:c r="C44" s="11"/>
      <x:c r="D44" s="11"/>
      <x:c r="E44" s="11"/>
      <x:c r="F44" s="11"/>
      <x:c r="G44" s="11"/>
      <x:c r="H44" s="11"/>
      <x:c r="I44" s="11"/>
      <x:c r="J44" s="11"/>
      <x:c r="K44" s="11"/>
      <x:c r="L44" s="11"/>
      <x:c r="M44" s="11"/>
      <x:c r="N44" s="11"/>
    </x:row>
    <x:row r="45">
      <x:c r="A45" s="11"/>
      <x:c r="B45" s="11"/>
      <x:c r="C45" s="11"/>
      <x:c r="D45" s="11"/>
      <x:c r="E45" s="11"/>
      <x:c r="F45" s="11"/>
      <x:c r="G45" s="11"/>
      <x:c r="H45" s="11"/>
      <x:c r="I45" s="11"/>
      <x:c r="J45" s="11"/>
      <x:c r="K45" s="11"/>
      <x:c r="L45" s="11"/>
      <x:c r="M45" s="11"/>
      <x:c r="N45" s="11"/>
    </x:row>
    <x:row r="46">
      <x:c r="A46" s="11"/>
      <x:c r="B46" s="11"/>
      <x:c r="C46" s="11"/>
      <x:c r="D46" s="11"/>
      <x:c r="E46" s="11"/>
      <x:c r="F46" s="11"/>
      <x:c r="G46" s="11"/>
      <x:c r="H46" s="11"/>
      <x:c r="I46" s="11"/>
      <x:c r="J46" s="11"/>
      <x:c r="K46" s="11"/>
      <x:c r="L46" s="11"/>
      <x:c r="M46" s="11"/>
      <x:c r="N46" s="11"/>
    </x:row>
    <x:row r="47">
      <x:c r="A47" s="11"/>
      <x:c r="B47" s="11"/>
      <x:c r="C47" s="11"/>
      <x:c r="D47" s="11"/>
      <x:c r="E47" s="11"/>
      <x:c r="F47" s="11"/>
      <x:c r="G47" s="11"/>
      <x:c r="H47" s="11"/>
      <x:c r="I47" s="11"/>
      <x:c r="J47" s="11"/>
      <x:c r="K47" s="11"/>
      <x:c r="L47" s="11"/>
      <x:c r="M47" s="11"/>
      <x:c r="N47" s="11"/>
    </x:row>
    <x:row r="48">
      <x:c r="A48" s="11"/>
      <x:c r="B48" s="11"/>
      <x:c r="C48" s="11"/>
      <x:c r="D48" s="11"/>
      <x:c r="E48" s="11"/>
      <x:c r="F48" s="11"/>
      <x:c r="G48" s="11"/>
      <x:c r="H48" s="11"/>
      <x:c r="I48" s="11"/>
      <x:c r="J48" s="11"/>
      <x:c r="K48" s="11"/>
      <x:c r="L48" s="11"/>
      <x:c r="M48" s="11"/>
      <x:c r="N48" s="11"/>
    </x:row>
    <x:row r="49">
      <x:c r="A49" s="11"/>
      <x:c r="B49" s="11"/>
      <x:c r="C49" s="11"/>
      <x:c r="D49" s="11"/>
      <x:c r="E49" s="11"/>
      <x:c r="F49" s="11"/>
      <x:c r="G49" s="11"/>
      <x:c r="H49" s="11"/>
      <x:c r="I49" s="11"/>
      <x:c r="J49" s="11"/>
      <x:c r="K49" s="11"/>
      <x:c r="L49" s="11"/>
      <x:c r="M49" s="11"/>
      <x:c r="N49" s="11"/>
    </x:row>
    <x:row r="50">
      <x:c r="A50" s="11"/>
      <x:c r="B50" s="11"/>
      <x:c r="C50" s="11"/>
      <x:c r="D50" s="11"/>
      <x:c r="E50" s="11"/>
      <x:c r="F50" s="11"/>
      <x:c r="G50" s="11"/>
      <x:c r="H50" s="11"/>
      <x:c r="I50" s="11"/>
      <x:c r="J50" s="11"/>
      <x:c r="K50" s="11"/>
      <x:c r="L50" s="11"/>
      <x:c r="M50" s="11"/>
      <x:c r="N50" s="11"/>
    </x:row>
    <x:row r="51">
      <x:c r="A51" s="11"/>
      <x:c r="B51" s="11"/>
      <x:c r="C51" s="11"/>
      <x:c r="D51" s="11"/>
      <x:c r="E51" s="11"/>
      <x:c r="F51" s="11"/>
      <x:c r="G51" s="11"/>
      <x:c r="H51" s="11"/>
      <x:c r="I51" s="11"/>
      <x:c r="J51" s="11"/>
      <x:c r="K51" s="11"/>
      <x:c r="L51" s="11"/>
      <x:c r="M51" s="11"/>
      <x:c r="N51" s="11"/>
    </x:row>
    <x:row r="52">
      <x:c r="A52" s="11"/>
      <x:c r="B52" s="11"/>
      <x:c r="C52" s="11"/>
      <x:c r="D52" s="11"/>
      <x:c r="E52" s="11"/>
      <x:c r="F52" s="11"/>
      <x:c r="G52" s="11"/>
      <x:c r="H52" s="11"/>
      <x:c r="I52" s="11"/>
      <x:c r="J52" s="11"/>
      <x:c r="K52" s="11"/>
      <x:c r="L52" s="11"/>
      <x:c r="M52" s="11"/>
      <x:c r="N52" s="11"/>
    </x:row>
    <x:row r="53">
      <x:c r="A53" s="11"/>
      <x:c r="B53" s="11"/>
      <x:c r="C53" s="11"/>
      <x:c r="D53" s="11"/>
      <x:c r="E53" s="11"/>
      <x:c r="F53" s="11"/>
      <x:c r="G53" s="11"/>
      <x:c r="H53" s="11"/>
      <x:c r="I53" s="11"/>
      <x:c r="J53" s="11"/>
      <x:c r="K53" s="11"/>
      <x:c r="L53" s="11"/>
      <x:c r="M53" s="11"/>
      <x:c r="N53" s="11"/>
    </x:row>
    <x:row r="54">
      <x:c r="A54" s="11"/>
      <x:c r="B54" s="11"/>
      <x:c r="C54" s="11"/>
      <x:c r="D54" s="11"/>
      <x:c r="E54" s="11"/>
      <x:c r="F54" s="11"/>
      <x:c r="G54" s="11"/>
      <x:c r="H54" s="11"/>
      <x:c r="I54" s="11"/>
      <x:c r="J54" s="11"/>
      <x:c r="K54" s="11"/>
      <x:c r="L54" s="11"/>
      <x:c r="M54" s="11"/>
      <x:c r="N54" s="11"/>
    </x:row>
    <x:row r="55">
      <x:c r="A55" s="11"/>
      <x:c r="B55" s="11"/>
      <x:c r="C55" s="11"/>
      <x:c r="D55" s="11"/>
      <x:c r="E55" s="11"/>
      <x:c r="F55" s="11"/>
      <x:c r="G55" s="11"/>
      <x:c r="H55" s="11"/>
      <x:c r="I55" s="11"/>
      <x:c r="J55" s="11"/>
      <x:c r="K55" s="11"/>
      <x:c r="L55" s="11"/>
      <x:c r="M55" s="11"/>
      <x:c r="N55" s="11"/>
    </x:row>
    <x:row r="56">
      <x:c r="A56" s="11"/>
      <x:c r="B56" s="11"/>
      <x:c r="C56" s="11"/>
      <x:c r="D56" s="11"/>
      <x:c r="E56" s="11"/>
      <x:c r="F56" s="11"/>
      <x:c r="G56" s="11"/>
      <x:c r="H56" s="11"/>
      <x:c r="I56" s="11"/>
      <x:c r="J56" s="11"/>
      <x:c r="K56" s="11"/>
      <x:c r="L56" s="11"/>
      <x:c r="M56" s="11"/>
      <x:c r="N56" s="11"/>
    </x:row>
    <x:row r="57">
      <x:c r="A57" s="11"/>
      <x:c r="B57" s="11"/>
      <x:c r="C57" s="11"/>
      <x:c r="D57" s="11"/>
      <x:c r="E57" s="11"/>
      <x:c r="F57" s="11"/>
      <x:c r="G57" s="11"/>
      <x:c r="H57" s="11"/>
      <x:c r="I57" s="11"/>
      <x:c r="J57" s="11"/>
      <x:c r="K57" s="11"/>
      <x:c r="L57" s="11"/>
      <x:c r="M57" s="11"/>
      <x:c r="N57" s="11"/>
    </x:row>
    <x:row r="58">
      <x:c r="A58" s="11"/>
      <x:c r="B58" s="11"/>
      <x:c r="C58" s="11"/>
      <x:c r="D58" s="11"/>
      <x:c r="E58" s="11"/>
      <x:c r="F58" s="11"/>
      <x:c r="G58" s="11"/>
      <x:c r="H58" s="11"/>
      <x:c r="I58" s="11"/>
      <x:c r="J58" s="11"/>
      <x:c r="K58" s="11"/>
      <x:c r="L58" s="11"/>
      <x:c r="M58" s="11"/>
      <x:c r="N58" s="11"/>
    </x:row>
    <x:row r="59">
      <x:c r="A59" s="11"/>
      <x:c r="B59" s="11"/>
      <x:c r="C59" s="11"/>
      <x:c r="D59" s="11"/>
      <x:c r="E59" s="11"/>
      <x:c r="F59" s="11"/>
      <x:c r="G59" s="11"/>
      <x:c r="H59" s="11"/>
      <x:c r="I59" s="11"/>
      <x:c r="J59" s="11"/>
      <x:c r="K59" s="11"/>
      <x:c r="L59" s="11"/>
      <x:c r="M59" s="11"/>
      <x:c r="N59" s="11"/>
    </x:row>
    <x:row r="60">
      <x:c r="A60" s="11"/>
      <x:c r="B60" s="11"/>
      <x:c r="C60" s="11"/>
      <x:c r="D60" s="11"/>
      <x:c r="E60" s="11"/>
      <x:c r="F60" s="11"/>
      <x:c r="G60" s="11"/>
      <x:c r="H60" s="11"/>
      <x:c r="I60" s="11"/>
      <x:c r="J60" s="11"/>
      <x:c r="K60" s="11"/>
      <x:c r="L60" s="11"/>
      <x:c r="M60" s="11"/>
      <x:c r="N60" s="11"/>
    </x:row>
  </x:sheetData>
  <x:mergeCells>
    <x:mergeCell ref="A1:M2"/>
    <x:mergeCell ref="A3:M3"/>
  </x:mergeCells>
  <x:conditionalFormatting sqref="D6:E19">
    <x:cfRule type="cellIs" dxfId="2" priority="1" operator="greaterThanOrEqual">
      <x:formula>0</x:formula>
    </x:cfRule>
    <x:cfRule type="cellIs" dxfId="3" priority="2" operator="lessThan">
      <x:formula>0</x:formula>
    </x:cfRule>
  </x:conditionalFormatting>
  <x:conditionalFormatting sqref="H6:I19">
    <x:cfRule type="cellIs" dxfId="4" priority="3" operator="greaterThanOrEqual">
      <x:formula>0</x:formula>
    </x:cfRule>
    <x:cfRule type="cellIs" dxfId="5" priority="4" operator="lessThan">
      <x:formula>0</x:formula>
    </x:cfRule>
  </x:conditionalFormatting>
  <x:conditionalFormatting sqref="L6:M19">
    <x:cfRule type="cellIs" dxfId="6" priority="5" operator="greaterThanOrEqual">
      <x:formula>0</x:formula>
    </x:cfRule>
    <x:cfRule type="cellIs" dxfId="7" priority="6" operator="lessThan">
      <x:formula>0</x:formula>
    </x:cfRule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1" hidden="0" customWidth="1"/>
    <x:col min="3" max="3" width="11" hidden="0" customWidth="1"/>
    <x:col min="4" max="4" width="11" hidden="0" customWidth="1"/>
    <x:col min="5" max="5" width="11" hidden="0" customWidth="1"/>
    <x:col min="6" max="6" width="11" hidden="0" customWidth="1"/>
    <x:col min="7" max="7" width="11" hidden="0" customWidth="1"/>
    <x:col min="8" max="8" width="11" hidden="0" customWidth="1"/>
    <x:col min="9" max="9" width="11" hidden="0" customWidth="1"/>
    <x:col min="10" max="10" width="11" hidden="0" customWidth="1"/>
    <x:col min="11" max="11" width="11" hidden="0" customWidth="1"/>
    <x:col min="12" max="12" width="11" hidden="0" customWidth="1"/>
    <x:col min="13" max="13" width="11" hidden="0" customWidth="1"/>
    <x:col min="14" max="14" width="11" hidden="0" customWidth="1"/>
  </x:cols>
  <x:sheetData>
    <x:row r="1">
      <x:c r="A1" s="14" t="str">
        <x:v>Monthly P&amp;L</x:v>
      </x:c>
      <x:c r="B1" s="14" t="str">
        <x:v>Monthly P&amp;L</x:v>
      </x:c>
      <x:c r="C1" s="14" t="str">
        <x:v>Monthly P&amp;L</x:v>
      </x:c>
      <x:c r="D1" s="14" t="str">
        <x:v>Monthly P&amp;L</x:v>
      </x:c>
      <x:c r="E1" s="14" t="str">
        <x:v>Monthly P&amp;L</x:v>
      </x:c>
      <x:c r="F1" s="14" t="str">
        <x:v>Monthly P&amp;L</x:v>
      </x:c>
      <x:c r="G1" s="14" t="str">
        <x:v>Monthly P&amp;L</x:v>
      </x:c>
      <x:c r="H1" s="14" t="str">
        <x:v>Monthly P&amp;L</x:v>
      </x:c>
      <x:c r="I1" s="14" t="str">
        <x:v>Monthly P&amp;L</x:v>
      </x:c>
      <x:c r="J1" s="14" t="str">
        <x:v>Monthly P&amp;L</x:v>
      </x:c>
      <x:c r="K1" s="14" t="str">
        <x:v>Monthly P&amp;L</x:v>
      </x:c>
      <x:c r="L1" s="14" t="str">
        <x:v>Monthly P&amp;L</x:v>
      </x:c>
      <x:c r="M1" s="14" t="str">
        <x:v>Monthly P&amp;L</x:v>
      </x:c>
      <x:c r="N1" s="14" t="str">
        <x:v>Monthly P&amp;L</x:v>
      </x:c>
    </x:row>
    <x:row r="2">
      <x:c r="A2" s="14" t="str">
        <x:v>Monthly P&amp;L</x:v>
      </x:c>
      <x:c r="B2" s="14" t="str">
        <x:v>Monthly P&amp;L</x:v>
      </x:c>
      <x:c r="C2" s="14" t="str">
        <x:v>Monthly P&amp;L</x:v>
      </x:c>
      <x:c r="D2" s="14" t="str">
        <x:v>Monthly P&amp;L</x:v>
      </x:c>
      <x:c r="E2" s="14" t="str">
        <x:v>Monthly P&amp;L</x:v>
      </x:c>
      <x:c r="F2" s="14" t="str">
        <x:v>Monthly P&amp;L</x:v>
      </x:c>
      <x:c r="G2" s="14" t="str">
        <x:v>Monthly P&amp;L</x:v>
      </x:c>
      <x:c r="H2" s="14" t="str">
        <x:v>Monthly P&amp;L</x:v>
      </x:c>
      <x:c r="I2" s="14" t="str">
        <x:v>Monthly P&amp;L</x:v>
      </x:c>
      <x:c r="J2" s="14" t="str">
        <x:v>Monthly P&amp;L</x:v>
      </x:c>
      <x:c r="K2" s="14" t="str">
        <x:v>Monthly P&amp;L</x:v>
      </x:c>
      <x:c r="L2" s="14" t="str">
        <x:v>Monthly P&amp;L</x:v>
      </x:c>
      <x:c r="M2" s="14" t="str">
        <x:v>Monthly P&amp;L</x:v>
      </x:c>
      <x:c r="N2" s="14" t="str">
        <x:v>Monthly P&amp;L</x:v>
      </x:c>
    </x:row>
    <x:row r="3">
      <x:c r="A3" s="17" t="str">
        <x:v>FY2026 Actual, Budget, and Q2 Forecast | USD millions | actuals closed through June</x:v>
      </x:c>
      <x:c r="B3" s="17" t="str">
        <x:v>FY2026 Actual, Budget, and Q2 Forecast | USD millions | actuals closed through June</x:v>
      </x:c>
      <x:c r="C3" s="17" t="str">
        <x:v>FY2026 Actual, Budget, and Q2 Forecast | USD millions | actuals closed through June</x:v>
      </x:c>
      <x:c r="D3" s="17" t="str">
        <x:v>FY2026 Actual, Budget, and Q2 Forecast | USD millions | actuals closed through June</x:v>
      </x:c>
      <x:c r="E3" s="17" t="str">
        <x:v>FY2026 Actual, Budget, and Q2 Forecast | USD millions | actuals closed through June</x:v>
      </x:c>
      <x:c r="F3" s="17" t="str">
        <x:v>FY2026 Actual, Budget, and Q2 Forecast | USD millions | actuals closed through June</x:v>
      </x:c>
      <x:c r="G3" s="17" t="str">
        <x:v>FY2026 Actual, Budget, and Q2 Forecast | USD millions | actuals closed through June</x:v>
      </x:c>
      <x:c r="H3" s="17" t="str">
        <x:v>FY2026 Actual, Budget, and Q2 Forecast | USD millions | actuals closed through June</x:v>
      </x:c>
      <x:c r="I3" s="17" t="str">
        <x:v>FY2026 Actual, Budget, and Q2 Forecast | USD millions | actuals closed through June</x:v>
      </x:c>
      <x:c r="J3" s="17" t="str">
        <x:v>FY2026 Actual, Budget, and Q2 Forecast | USD millions | actuals closed through June</x:v>
      </x:c>
      <x:c r="K3" s="17" t="str">
        <x:v>FY2026 Actual, Budget, and Q2 Forecast | USD millions | actuals closed through June</x:v>
      </x:c>
      <x:c r="L3" s="17" t="str">
        <x:v>FY2026 Actual, Budget, and Q2 Forecast | USD millions | actuals closed through June</x:v>
      </x:c>
      <x:c r="M3" s="17" t="str">
        <x:v>FY2026 Actual, Budget, and Q2 Forecast | USD millions | actuals closed through June</x:v>
      </x:c>
      <x:c r="N3" s="17" t="str">
        <x:v>FY2026 Actual, Budget, and Q2 Forecast | USD millions | actuals closed through June</x:v>
      </x:c>
    </x:row>
    <x:row r="4">
      <x:c r="A4" s="144" t="str">
        <x:v>P&amp;L Line</x:v>
      </x:c>
      <x:c r="B4" s="160" t="n">
        <x:v>46023</x:v>
      </x:c>
      <x:c r="C4" s="160" t="n">
        <x:v>46054</x:v>
      </x:c>
      <x:c r="D4" s="160" t="n">
        <x:v>46082</x:v>
      </x:c>
      <x:c r="E4" s="160" t="n">
        <x:v>46113</x:v>
      </x:c>
      <x:c r="F4" s="160" t="n">
        <x:v>46143</x:v>
      </x:c>
      <x:c r="G4" s="160" t="n">
        <x:v>46174</x:v>
      </x:c>
      <x:c r="H4" s="160" t="n">
        <x:v>46204</x:v>
      </x:c>
      <x:c r="I4" s="160" t="n">
        <x:v>46235</x:v>
      </x:c>
      <x:c r="J4" s="160" t="n">
        <x:v>46266</x:v>
      </x:c>
      <x:c r="K4" s="160" t="n">
        <x:v>46296</x:v>
      </x:c>
      <x:c r="L4" s="160" t="n">
        <x:v>46327</x:v>
      </x:c>
      <x:c r="M4" s="160" t="n">
        <x:v>46357</x:v>
      </x:c>
      <x:c r="N4" s="144" t="str">
        <x:v>FY2026</x:v>
      </x:c>
    </x:row>
    <x:row r="5">
      <x:c r="A5" s="11"/>
      <x:c r="B5" s="11"/>
      <x:c r="C5" s="11"/>
      <x:c r="D5" s="11"/>
      <x:c r="E5" s="11"/>
      <x:c r="F5" s="11"/>
      <x:c r="G5" s="11"/>
      <x:c r="H5" s="11"/>
      <x:c r="I5" s="11"/>
      <x:c r="J5" s="11"/>
      <x:c r="K5" s="11"/>
      <x:c r="L5" s="11"/>
      <x:c r="M5" s="11"/>
      <x:c r="N5" s="11"/>
    </x:row>
    <x:row r="6">
      <x:c r="A6" s="112" t="str">
        <x:v>Actual</x:v>
      </x:c>
      <x:c r="B6" s="112" t="str">
        <x:v>Actual</x:v>
      </x:c>
      <x:c r="C6" s="112" t="str">
        <x:v>Actual</x:v>
      </x:c>
      <x:c r="D6" s="112" t="str">
        <x:v>Actual</x:v>
      </x:c>
      <x:c r="E6" s="112" t="str">
        <x:v>Actual</x:v>
      </x:c>
      <x:c r="F6" s="112" t="str">
        <x:v>Actual</x:v>
      </x:c>
      <x:c r="G6" s="112" t="str">
        <x:v>Actual</x:v>
      </x:c>
      <x:c r="H6" s="112" t="str">
        <x:v>Actual</x:v>
      </x:c>
      <x:c r="I6" s="112" t="str">
        <x:v>Actual</x:v>
      </x:c>
      <x:c r="J6" s="112" t="str">
        <x:v>Actual</x:v>
      </x:c>
      <x:c r="K6" s="112" t="str">
        <x:v>Actual</x:v>
      </x:c>
      <x:c r="L6" s="112" t="str">
        <x:v>Actual</x:v>
      </x:c>
      <x:c r="M6" s="112" t="str">
        <x:v>Actual</x:v>
      </x:c>
      <x:c r="N6" s="112" t="str">
        <x:v>Actual</x:v>
      </x:c>
    </x:row>
    <x:row r="7">
      <x:c r="A7" s="11" t="str">
        <x:v>Subscription Revenue</x:v>
      </x:c>
      <x:c r="B7" s="149" t="n">
        <x:f>IF(B$4&lt;=DATE(2026,6,1),SUMIFS('Data_Line'!$F$2:$F$529,'Data_Line'!$A$2:$A$529,B$4,'Data_Line'!$B$2:$B$529,"Actual",'Data_Line'!$C$2:$C$529,$A7)/1000000,"")</x:f>
        <x:v>9.72359824</x:v>
      </x:c>
      <x:c r="C7" s="149" t="n">
        <x:f>IF(C$4&lt;=DATE(2026,6,1),SUMIFS('Data_Line'!$F$2:$F$529,'Data_Line'!$A$2:$A$529,C$4,'Data_Line'!$B$2:$B$529,"Actual",'Data_Line'!$C$2:$C$529,$A7)/1000000,"")</x:f>
        <x:v>9.8723495</x:v>
      </x:c>
      <x:c r="D7" s="149" t="n">
        <x:f>IF(D$4&lt;=DATE(2026,6,1),SUMIFS('Data_Line'!$F$2:$F$529,'Data_Line'!$A$2:$A$529,D$4,'Data_Line'!$B$2:$B$529,"Actual",'Data_Line'!$C$2:$C$529,$A7)/1000000,"")</x:f>
        <x:v>9.961728130000001</x:v>
      </x:c>
      <x:c r="E7" s="149" t="n">
        <x:f>IF(E$4&lt;=DATE(2026,6,1),SUMIFS('Data_Line'!$F$2:$F$529,'Data_Line'!$A$2:$A$529,E$4,'Data_Line'!$B$2:$B$529,"Actual",'Data_Line'!$C$2:$C$529,$A7)/1000000,"")</x:f>
        <x:v>9.869587730000001</x:v>
      </x:c>
      <x:c r="F7" s="149" t="n">
        <x:f>IF(F$4&lt;=DATE(2026,6,1),SUMIFS('Data_Line'!$F$2:$F$529,'Data_Line'!$A$2:$A$529,F$4,'Data_Line'!$B$2:$B$529,"Actual",'Data_Line'!$C$2:$C$529,$A7)/1000000,"")</x:f>
        <x:v>9.862711130000001</x:v>
      </x:c>
      <x:c r="G7" s="149" t="n">
        <x:f>IF(G$4&lt;=DATE(2026,6,1),SUMIFS('Data_Line'!$F$2:$F$529,'Data_Line'!$A$2:$A$529,G$4,'Data_Line'!$B$2:$B$529,"Actual",'Data_Line'!$C$2:$C$529,$A7)/1000000,"")</x:f>
        <x:v>9.87605254</x:v>
      </x:c>
      <x:c r="H7" s="149" t="str">
        <x:f>IF(H$4&lt;=DATE(2026,6,1),SUMIFS('Data_Line'!$F$2:$F$529,'Data_Line'!$A$2:$A$529,H$4,'Data_Line'!$B$2:$B$529,"Actual",'Data_Line'!$C$2:$C$529,$A7)/1000000,"")</x:f>
      </x:c>
      <x:c r="I7" s="149" t="str">
        <x:f>IF(I$4&lt;=DATE(2026,6,1),SUMIFS('Data_Line'!$F$2:$F$529,'Data_Line'!$A$2:$A$529,I$4,'Data_Line'!$B$2:$B$529,"Actual",'Data_Line'!$C$2:$C$529,$A7)/1000000,"")</x:f>
      </x:c>
      <x:c r="J7" s="149" t="str">
        <x:f>IF(J$4&lt;=DATE(2026,6,1),SUMIFS('Data_Line'!$F$2:$F$529,'Data_Line'!$A$2:$A$529,J$4,'Data_Line'!$B$2:$B$529,"Actual",'Data_Line'!$C$2:$C$529,$A7)/1000000,"")</x:f>
      </x:c>
      <x:c r="K7" s="149" t="str">
        <x:f>IF(K$4&lt;=DATE(2026,6,1),SUMIFS('Data_Line'!$F$2:$F$529,'Data_Line'!$A$2:$A$529,K$4,'Data_Line'!$B$2:$B$529,"Actual",'Data_Line'!$C$2:$C$529,$A7)/1000000,"")</x:f>
      </x:c>
      <x:c r="L7" s="149" t="str">
        <x:f>IF(L$4&lt;=DATE(2026,6,1),SUMIFS('Data_Line'!$F$2:$F$529,'Data_Line'!$A$2:$A$529,L$4,'Data_Line'!$B$2:$B$529,"Actual",'Data_Line'!$C$2:$C$529,$A7)/1000000,"")</x:f>
      </x:c>
      <x:c r="M7" s="149" t="str">
        <x:f>IF(M$4&lt;=DATE(2026,6,1),SUMIFS('Data_Line'!$F$2:$F$529,'Data_Line'!$A$2:$A$529,M$4,'Data_Line'!$B$2:$B$529,"Actual",'Data_Line'!$C$2:$C$529,$A7)/1000000,"")</x:f>
      </x:c>
      <x:c r="N7" s="146" t="n">
        <x:f>SUM(B7:M7)</x:f>
        <x:v>59.16602727</x:v>
      </x:c>
    </x:row>
    <x:row r="8">
      <x:c r="A8" s="11" t="str">
        <x:v>Professional Services Revenue</x:v>
      </x:c>
      <x:c r="B8" s="149" t="n">
        <x:f>IF(B$4&lt;=DATE(2026,6,1),SUMIFS('Data_Line'!$F$2:$F$529,'Data_Line'!$A$2:$A$529,B$4,'Data_Line'!$B$2:$B$529,"Actual",'Data_Line'!$C$2:$C$529,$A8)/1000000,"")</x:f>
        <x:v>1.66859253</x:v>
      </x:c>
      <x:c r="C8" s="149" t="n">
        <x:f>IF(C$4&lt;=DATE(2026,6,1),SUMIFS('Data_Line'!$F$2:$F$529,'Data_Line'!$A$2:$A$529,C$4,'Data_Line'!$B$2:$B$529,"Actual",'Data_Line'!$C$2:$C$529,$A8)/1000000,"")</x:f>
        <x:v>1.8210568200000001</x:v>
      </x:c>
      <x:c r="D8" s="149" t="n">
        <x:f>IF(D$4&lt;=DATE(2026,6,1),SUMIFS('Data_Line'!$F$2:$F$529,'Data_Line'!$A$2:$A$529,D$4,'Data_Line'!$B$2:$B$529,"Actual",'Data_Line'!$C$2:$C$529,$A8)/1000000,"")</x:f>
        <x:v>1.6372038100000001</x:v>
      </x:c>
      <x:c r="E8" s="149" t="n">
        <x:f>IF(E$4&lt;=DATE(2026,6,1),SUMIFS('Data_Line'!$F$2:$F$529,'Data_Line'!$A$2:$A$529,E$4,'Data_Line'!$B$2:$B$529,"Actual",'Data_Line'!$C$2:$C$529,$A8)/1000000,"")</x:f>
        <x:v>1.65005573</x:v>
      </x:c>
      <x:c r="F8" s="149" t="n">
        <x:f>IF(F$4&lt;=DATE(2026,6,1),SUMIFS('Data_Line'!$F$2:$F$529,'Data_Line'!$A$2:$A$529,F$4,'Data_Line'!$B$2:$B$529,"Actual",'Data_Line'!$C$2:$C$529,$A8)/1000000,"")</x:f>
        <x:v>1.97403018</x:v>
      </x:c>
      <x:c r="G8" s="149" t="n">
        <x:f>IF(G$4&lt;=DATE(2026,6,1),SUMIFS('Data_Line'!$F$2:$F$529,'Data_Line'!$A$2:$A$529,G$4,'Data_Line'!$B$2:$B$529,"Actual",'Data_Line'!$C$2:$C$529,$A8)/1000000,"")</x:f>
        <x:v>1.64906086</x:v>
      </x:c>
      <x:c r="H8" s="149" t="str">
        <x:f>IF(H$4&lt;=DATE(2026,6,1),SUMIFS('Data_Line'!$F$2:$F$529,'Data_Line'!$A$2:$A$529,H$4,'Data_Line'!$B$2:$B$529,"Actual",'Data_Line'!$C$2:$C$529,$A8)/1000000,"")</x:f>
      </x:c>
      <x:c r="I8" s="149" t="str">
        <x:f>IF(I$4&lt;=DATE(2026,6,1),SUMIFS('Data_Line'!$F$2:$F$529,'Data_Line'!$A$2:$A$529,I$4,'Data_Line'!$B$2:$B$529,"Actual",'Data_Line'!$C$2:$C$529,$A8)/1000000,"")</x:f>
      </x:c>
      <x:c r="J8" s="149" t="str">
        <x:f>IF(J$4&lt;=DATE(2026,6,1),SUMIFS('Data_Line'!$F$2:$F$529,'Data_Line'!$A$2:$A$529,J$4,'Data_Line'!$B$2:$B$529,"Actual",'Data_Line'!$C$2:$C$529,$A8)/1000000,"")</x:f>
      </x:c>
      <x:c r="K8" s="149" t="str">
        <x:f>IF(K$4&lt;=DATE(2026,6,1),SUMIFS('Data_Line'!$F$2:$F$529,'Data_Line'!$A$2:$A$529,K$4,'Data_Line'!$B$2:$B$529,"Actual",'Data_Line'!$C$2:$C$529,$A8)/1000000,"")</x:f>
      </x:c>
      <x:c r="L8" s="149" t="str">
        <x:f>IF(L$4&lt;=DATE(2026,6,1),SUMIFS('Data_Line'!$F$2:$F$529,'Data_Line'!$A$2:$A$529,L$4,'Data_Line'!$B$2:$B$529,"Actual",'Data_Line'!$C$2:$C$529,$A8)/1000000,"")</x:f>
      </x:c>
      <x:c r="M8" s="149" t="str">
        <x:f>IF(M$4&lt;=DATE(2026,6,1),SUMIFS('Data_Line'!$F$2:$F$529,'Data_Line'!$A$2:$A$529,M$4,'Data_Line'!$B$2:$B$529,"Actual",'Data_Line'!$C$2:$C$529,$A8)/1000000,"")</x:f>
      </x:c>
      <x:c r="N8" s="146" t="n">
        <x:f>SUM(B8:M8)</x:f>
        <x:v>10.399999930000002</x:v>
      </x:c>
    </x:row>
    <x:row r="9">
      <x:c r="A9" s="157" t="str">
        <x:v>Total Revenue</x:v>
      </x:c>
      <x:c r="B9" s="158" t="n">
        <x:f>IF(B$4&lt;=DATE(2026,6,1),SUM(B7:B8),"")</x:f>
        <x:v>11.39219077</x:v>
      </x:c>
      <x:c r="C9" s="158" t="n">
        <x:f>IF(C$4&lt;=DATE(2026,6,1),SUM(C7:C8),"")</x:f>
        <x:v>11.693406320000001</x:v>
      </x:c>
      <x:c r="D9" s="158" t="n">
        <x:f>IF(D$4&lt;=DATE(2026,6,1),SUM(D7:D8),"")</x:f>
        <x:v>11.598931940000002</x:v>
      </x:c>
      <x:c r="E9" s="158" t="n">
        <x:f>IF(E$4&lt;=DATE(2026,6,1),SUM(E7:E8),"")</x:f>
        <x:v>11.519643460000001</x:v>
      </x:c>
      <x:c r="F9" s="158" t="n">
        <x:f>IF(F$4&lt;=DATE(2026,6,1),SUM(F7:F8),"")</x:f>
        <x:v>11.83674131</x:v>
      </x:c>
      <x:c r="G9" s="158" t="n">
        <x:f>IF(G$4&lt;=DATE(2026,6,1),SUM(G7:G8),"")</x:f>
        <x:v>11.5251134</x:v>
      </x:c>
      <x:c r="H9" s="158" t="str">
        <x:f>IF(H$4&lt;=DATE(2026,6,1),SUM(H7:H8),"")</x:f>
      </x:c>
      <x:c r="I9" s="158" t="str">
        <x:f>IF(I$4&lt;=DATE(2026,6,1),SUM(I7:I8),"")</x:f>
      </x:c>
      <x:c r="J9" s="158" t="str">
        <x:f>IF(J$4&lt;=DATE(2026,6,1),SUM(J7:J8),"")</x:f>
      </x:c>
      <x:c r="K9" s="158" t="str">
        <x:f>IF(K$4&lt;=DATE(2026,6,1),SUM(K7:K8),"")</x:f>
      </x:c>
      <x:c r="L9" s="158" t="str">
        <x:f>IF(L$4&lt;=DATE(2026,6,1),SUM(L7:L8),"")</x:f>
      </x:c>
      <x:c r="M9" s="158" t="str">
        <x:f>IF(M$4&lt;=DATE(2026,6,1),SUM(M7:M8),"")</x:f>
      </x:c>
      <x:c r="N9" s="158" t="n">
        <x:f>SUM(B9:M9)</x:f>
        <x:v>69.56602720000001</x:v>
      </x:c>
    </x:row>
    <x:row r="10">
      <x:c r="A10" s="11" t="str">
        <x:v>Cost of Subscription</x:v>
      </x:c>
      <x:c r="B10" s="149" t="n">
        <x:f>IF(B$4&lt;=DATE(2026,6,1),SUMIFS('Data_Line'!$F$2:$F$529,'Data_Line'!$A$2:$A$529,B$4,'Data_Line'!$B$2:$B$529,"Actual",'Data_Line'!$C$2:$C$529,$A10)/1000000,"")</x:f>
        <x:v>2.26975503</x:v>
      </x:c>
      <x:c r="C10" s="149" t="n">
        <x:f>IF(C$4&lt;=DATE(2026,6,1),SUMIFS('Data_Line'!$F$2:$F$529,'Data_Line'!$A$2:$A$529,C$4,'Data_Line'!$B$2:$B$529,"Actual",'Data_Line'!$C$2:$C$529,$A10)/1000000,"")</x:f>
        <x:v>2.29533631</x:v>
      </x:c>
      <x:c r="D10" s="149" t="n">
        <x:f>IF(D$4&lt;=DATE(2026,6,1),SUMIFS('Data_Line'!$F$2:$F$529,'Data_Line'!$A$2:$A$529,D$4,'Data_Line'!$B$2:$B$529,"Actual",'Data_Line'!$C$2:$C$529,$A10)/1000000,"")</x:f>
        <x:v>2.3231792400000004</x:v>
      </x:c>
      <x:c r="E10" s="149" t="n">
        <x:f>IF(E$4&lt;=DATE(2026,6,1),SUMIFS('Data_Line'!$F$2:$F$529,'Data_Line'!$A$2:$A$529,E$4,'Data_Line'!$B$2:$B$529,"Actual",'Data_Line'!$C$2:$C$529,$A10)/1000000,"")</x:f>
        <x:v>2.28525393</x:v>
      </x:c>
      <x:c r="F10" s="149" t="n">
        <x:f>IF(F$4&lt;=DATE(2026,6,1),SUMIFS('Data_Line'!$F$2:$F$529,'Data_Line'!$A$2:$A$529,F$4,'Data_Line'!$B$2:$B$529,"Actual",'Data_Line'!$C$2:$C$529,$A10)/1000000,"")</x:f>
        <x:v>2.20505297</x:v>
      </x:c>
      <x:c r="G10" s="149" t="n">
        <x:f>IF(G$4&lt;=DATE(2026,6,1),SUMIFS('Data_Line'!$F$2:$F$529,'Data_Line'!$A$2:$A$529,G$4,'Data_Line'!$B$2:$B$529,"Actual",'Data_Line'!$C$2:$C$529,$A10)/1000000,"")</x:f>
        <x:v>2.19395909</x:v>
      </x:c>
      <x:c r="H10" s="149" t="str">
        <x:f>IF(H$4&lt;=DATE(2026,6,1),SUMIFS('Data_Line'!$F$2:$F$529,'Data_Line'!$A$2:$A$529,H$4,'Data_Line'!$B$2:$B$529,"Actual",'Data_Line'!$C$2:$C$529,$A10)/1000000,"")</x:f>
      </x:c>
      <x:c r="I10" s="149" t="str">
        <x:f>IF(I$4&lt;=DATE(2026,6,1),SUMIFS('Data_Line'!$F$2:$F$529,'Data_Line'!$A$2:$A$529,I$4,'Data_Line'!$B$2:$B$529,"Actual",'Data_Line'!$C$2:$C$529,$A10)/1000000,"")</x:f>
      </x:c>
      <x:c r="J10" s="149" t="str">
        <x:f>IF(J$4&lt;=DATE(2026,6,1),SUMIFS('Data_Line'!$F$2:$F$529,'Data_Line'!$A$2:$A$529,J$4,'Data_Line'!$B$2:$B$529,"Actual",'Data_Line'!$C$2:$C$529,$A10)/1000000,"")</x:f>
      </x:c>
      <x:c r="K10" s="149" t="str">
        <x:f>IF(K$4&lt;=DATE(2026,6,1),SUMIFS('Data_Line'!$F$2:$F$529,'Data_Line'!$A$2:$A$529,K$4,'Data_Line'!$B$2:$B$529,"Actual",'Data_Line'!$C$2:$C$529,$A10)/1000000,"")</x:f>
      </x:c>
      <x:c r="L10" s="149" t="str">
        <x:f>IF(L$4&lt;=DATE(2026,6,1),SUMIFS('Data_Line'!$F$2:$F$529,'Data_Line'!$A$2:$A$529,L$4,'Data_Line'!$B$2:$B$529,"Actual",'Data_Line'!$C$2:$C$529,$A10)/1000000,"")</x:f>
      </x:c>
      <x:c r="M10" s="149" t="str">
        <x:f>IF(M$4&lt;=DATE(2026,6,1),SUMIFS('Data_Line'!$F$2:$F$529,'Data_Line'!$A$2:$A$529,M$4,'Data_Line'!$B$2:$B$529,"Actual",'Data_Line'!$C$2:$C$529,$A10)/1000000,"")</x:f>
      </x:c>
      <x:c r="N10" s="146" t="n">
        <x:f>SUM(B10:M10)</x:f>
        <x:v>13.57253657</x:v>
      </x:c>
    </x:row>
    <x:row r="11">
      <x:c r="A11" s="11" t="str">
        <x:v>Cost of Services</x:v>
      </x:c>
      <x:c r="B11" s="149" t="n">
        <x:f>IF(B$4&lt;=DATE(2026,6,1),SUMIFS('Data_Line'!$F$2:$F$529,'Data_Line'!$A$2:$A$529,B$4,'Data_Line'!$B$2:$B$529,"Actual",'Data_Line'!$C$2:$C$529,$A11)/1000000,"")</x:f>
        <x:v>1.2288118000000001</x:v>
      </x:c>
      <x:c r="C11" s="149" t="n">
        <x:f>IF(C$4&lt;=DATE(2026,6,1),SUMIFS('Data_Line'!$F$2:$F$529,'Data_Line'!$A$2:$A$529,C$4,'Data_Line'!$B$2:$B$529,"Actual",'Data_Line'!$C$2:$C$529,$A11)/1000000,"")</x:f>
        <x:v>1.2270888</x:v>
      </x:c>
      <x:c r="D11" s="149" t="n">
        <x:f>IF(D$4&lt;=DATE(2026,6,1),SUMIFS('Data_Line'!$F$2:$F$529,'Data_Line'!$A$2:$A$529,D$4,'Data_Line'!$B$2:$B$529,"Actual",'Data_Line'!$C$2:$C$529,$A11)/1000000,"")</x:f>
        <x:v>1.19837777</x:v>
      </x:c>
      <x:c r="E11" s="149" t="n">
        <x:f>IF(E$4&lt;=DATE(2026,6,1),SUMIFS('Data_Line'!$F$2:$F$529,'Data_Line'!$A$2:$A$529,E$4,'Data_Line'!$B$2:$B$529,"Actual",'Data_Line'!$C$2:$C$529,$A11)/1000000,"")</x:f>
        <x:v>1.20463187</x:v>
      </x:c>
      <x:c r="F11" s="149" t="n">
        <x:f>IF(F$4&lt;=DATE(2026,6,1),SUMIFS('Data_Line'!$F$2:$F$529,'Data_Line'!$A$2:$A$529,F$4,'Data_Line'!$B$2:$B$529,"Actual",'Data_Line'!$C$2:$C$529,$A11)/1000000,"")</x:f>
        <x:v>1.24022952</x:v>
      </x:c>
      <x:c r="G11" s="149" t="n">
        <x:f>IF(G$4&lt;=DATE(2026,6,1),SUMIFS('Data_Line'!$F$2:$F$529,'Data_Line'!$A$2:$A$529,G$4,'Data_Line'!$B$2:$B$529,"Actual",'Data_Line'!$C$2:$C$529,$A11)/1000000,"")</x:f>
        <x:v>1.21025841</x:v>
      </x:c>
      <x:c r="H11" s="149" t="str">
        <x:f>IF(H$4&lt;=DATE(2026,6,1),SUMIFS('Data_Line'!$F$2:$F$529,'Data_Line'!$A$2:$A$529,H$4,'Data_Line'!$B$2:$B$529,"Actual",'Data_Line'!$C$2:$C$529,$A11)/1000000,"")</x:f>
      </x:c>
      <x:c r="I11" s="149" t="str">
        <x:f>IF(I$4&lt;=DATE(2026,6,1),SUMIFS('Data_Line'!$F$2:$F$529,'Data_Line'!$A$2:$A$529,I$4,'Data_Line'!$B$2:$B$529,"Actual",'Data_Line'!$C$2:$C$529,$A11)/1000000,"")</x:f>
      </x:c>
      <x:c r="J11" s="149" t="str">
        <x:f>IF(J$4&lt;=DATE(2026,6,1),SUMIFS('Data_Line'!$F$2:$F$529,'Data_Line'!$A$2:$A$529,J$4,'Data_Line'!$B$2:$B$529,"Actual",'Data_Line'!$C$2:$C$529,$A11)/1000000,"")</x:f>
      </x:c>
      <x:c r="K11" s="149" t="str">
        <x:f>IF(K$4&lt;=DATE(2026,6,1),SUMIFS('Data_Line'!$F$2:$F$529,'Data_Line'!$A$2:$A$529,K$4,'Data_Line'!$B$2:$B$529,"Actual",'Data_Line'!$C$2:$C$529,$A11)/1000000,"")</x:f>
      </x:c>
      <x:c r="L11" s="149" t="str">
        <x:f>IF(L$4&lt;=DATE(2026,6,1),SUMIFS('Data_Line'!$F$2:$F$529,'Data_Line'!$A$2:$A$529,L$4,'Data_Line'!$B$2:$B$529,"Actual",'Data_Line'!$C$2:$C$529,$A11)/1000000,"")</x:f>
      </x:c>
      <x:c r="M11" s="149" t="str">
        <x:f>IF(M$4&lt;=DATE(2026,6,1),SUMIFS('Data_Line'!$F$2:$F$529,'Data_Line'!$A$2:$A$529,M$4,'Data_Line'!$B$2:$B$529,"Actual",'Data_Line'!$C$2:$C$529,$A11)/1000000,"")</x:f>
      </x:c>
      <x:c r="N11" s="146" t="n">
        <x:f>SUM(B11:M11)</x:f>
        <x:v>7.30939817</x:v>
      </x:c>
    </x:row>
    <x:row r="12">
      <x:c r="A12" s="157" t="str">
        <x:v>Gross Profit</x:v>
      </x:c>
      <x:c r="B12" s="158" t="n">
        <x:f>IF(B$4&lt;=DATE(2026,6,1),B9-SUM(B10:B11),"")</x:f>
        <x:v>7.8936239399999995</x:v>
      </x:c>
      <x:c r="C12" s="158" t="n">
        <x:f>IF(C$4&lt;=DATE(2026,6,1),C9-SUM(C10:C11),"")</x:f>
        <x:v>8.17098121</x:v>
      </x:c>
      <x:c r="D12" s="158" t="n">
        <x:f>IF(D$4&lt;=DATE(2026,6,1),D9-SUM(D10:D11),"")</x:f>
        <x:v>8.077374930000001</x:v>
      </x:c>
      <x:c r="E12" s="158" t="n">
        <x:f>IF(E$4&lt;=DATE(2026,6,1),E9-SUM(E10:E11),"")</x:f>
        <x:v>8.029757660000001</x:v>
      </x:c>
      <x:c r="F12" s="158" t="n">
        <x:f>IF(F$4&lt;=DATE(2026,6,1),F9-SUM(F10:F11),"")</x:f>
        <x:v>8.39145882</x:v>
      </x:c>
      <x:c r="G12" s="158" t="n">
        <x:f>IF(G$4&lt;=DATE(2026,6,1),G9-SUM(G10:G11),"")</x:f>
        <x:v>8.1208959</x:v>
      </x:c>
      <x:c r="H12" s="158" t="str">
        <x:f>IF(H$4&lt;=DATE(2026,6,1),H9-SUM(H10:H11),"")</x:f>
      </x:c>
      <x:c r="I12" s="158" t="str">
        <x:f>IF(I$4&lt;=DATE(2026,6,1),I9-SUM(I10:I11),"")</x:f>
      </x:c>
      <x:c r="J12" s="158" t="str">
        <x:f>IF(J$4&lt;=DATE(2026,6,1),J9-SUM(J10:J11),"")</x:f>
      </x:c>
      <x:c r="K12" s="158" t="str">
        <x:f>IF(K$4&lt;=DATE(2026,6,1),K9-SUM(K10:K11),"")</x:f>
      </x:c>
      <x:c r="L12" s="158" t="str">
        <x:f>IF(L$4&lt;=DATE(2026,6,1),L9-SUM(L10:L11),"")</x:f>
      </x:c>
      <x:c r="M12" s="158" t="str">
        <x:f>IF(M$4&lt;=DATE(2026,6,1),M9-SUM(M10:M11),"")</x:f>
      </x:c>
      <x:c r="N12" s="158" t="n">
        <x:f>SUM(B12:M12)</x:f>
        <x:v>48.684092459999995</x:v>
      </x:c>
    </x:row>
    <x:row r="13">
      <x:c r="A13" s="11" t="str">
        <x:v>Gross Margin</x:v>
      </x:c>
      <x:c r="B13" s="151" t="n">
        <x:f>IF(B$4&lt;=DATE(2026,6,1),IFERROR(B12/B9,0),"")</x:f>
        <x:v>0.6928978016051955</x:v>
      </x:c>
      <x:c r="C13" s="151" t="n">
        <x:f>IF(C$4&lt;=DATE(2026,6,1),IFERROR(C12/C9,0),"")</x:f>
        <x:v>0.6987682619071087</x:v>
      </x:c>
      <x:c r="D13" s="151" t="n">
        <x:f>IF(D$4&lt;=DATE(2026,6,1),IFERROR(D12/D9,0),"")</x:f>
        <x:v>0.696389544466971</x:v>
      </x:c>
      <x:c r="E13" s="151" t="n">
        <x:f>IF(E$4&lt;=DATE(2026,6,1),IFERROR(E12/E9,0),"")</x:f>
        <x:v>0.69704914808188</x:v>
      </x:c>
      <x:c r="F13" s="151" t="n">
        <x:f>IF(F$4&lt;=DATE(2026,6,1),IFERROR(F12/F9,0),"")</x:f>
        <x:v>0.7089331937085309</x:v>
      </x:c>
      <x:c r="G13" s="151" t="n">
        <x:f>IF(G$4&lt;=DATE(2026,6,1),IFERROR(G12/G9,0),"")</x:f>
        <x:v>0.7046261167373851</x:v>
      </x:c>
      <x:c r="H13" s="151" t="str">
        <x:f>IF(H$4&lt;=DATE(2026,6,1),IFERROR(H12/H9,0),"")</x:f>
      </x:c>
      <x:c r="I13" s="151" t="str">
        <x:f>IF(I$4&lt;=DATE(2026,6,1),IFERROR(I12/I9,0),"")</x:f>
      </x:c>
      <x:c r="J13" s="151" t="str">
        <x:f>IF(J$4&lt;=DATE(2026,6,1),IFERROR(J12/J9,0),"")</x:f>
      </x:c>
      <x:c r="K13" s="151" t="str">
        <x:f>IF(K$4&lt;=DATE(2026,6,1),IFERROR(K12/K9,0),"")</x:f>
      </x:c>
      <x:c r="L13" s="151" t="str">
        <x:f>IF(L$4&lt;=DATE(2026,6,1),IFERROR(L12/L9,0),"")</x:f>
      </x:c>
      <x:c r="M13" s="151" t="str">
        <x:f>IF(M$4&lt;=DATE(2026,6,1),IFERROR(M12/M9,0),"")</x:f>
      </x:c>
      <x:c r="N13" s="151" t="n">
        <x:f>IFERROR(SUM(B12:M12)/SUM(B9:M9),0)</x:f>
        <x:v>0.6998256824417306</x:v>
      </x:c>
    </x:row>
    <x:row r="14">
      <x:c r="A14" s="11" t="str">
        <x:v>Sales &amp; Marketing</x:v>
      </x:c>
      <x:c r="B14" s="149" t="n">
        <x:f>IF(B$4&lt;=DATE(2026,6,1),SUMIFS('Data_Line'!$F$2:$F$529,'Data_Line'!$A$2:$A$529,B$4,'Data_Line'!$B$2:$B$529,"Actual",'Data_Line'!$C$2:$C$529,$A14)/1000000,"")</x:f>
        <x:v>2.60351197</x:v>
      </x:c>
      <x:c r="C14" s="149" t="n">
        <x:f>IF(C$4&lt;=DATE(2026,6,1),SUMIFS('Data_Line'!$F$2:$F$529,'Data_Line'!$A$2:$A$529,C$4,'Data_Line'!$B$2:$B$529,"Actual",'Data_Line'!$C$2:$C$529,$A14)/1000000,"")</x:f>
        <x:v>2.59961561</x:v>
      </x:c>
      <x:c r="D14" s="149" t="n">
        <x:f>IF(D$4&lt;=DATE(2026,6,1),SUMIFS('Data_Line'!$F$2:$F$529,'Data_Line'!$A$2:$A$529,D$4,'Data_Line'!$B$2:$B$529,"Actual",'Data_Line'!$C$2:$C$529,$A14)/1000000,"")</x:f>
        <x:v>2.59650211</x:v>
      </x:c>
      <x:c r="E14" s="149" t="n">
        <x:f>IF(E$4&lt;=DATE(2026,6,1),SUMIFS('Data_Line'!$F$2:$F$529,'Data_Line'!$A$2:$A$529,E$4,'Data_Line'!$B$2:$B$529,"Actual",'Data_Line'!$C$2:$C$529,$A14)/1000000,"")</x:f>
        <x:v>2.5272175</x:v>
      </x:c>
      <x:c r="F14" s="149" t="n">
        <x:f>IF(F$4&lt;=DATE(2026,6,1),SUMIFS('Data_Line'!$F$2:$F$529,'Data_Line'!$A$2:$A$529,F$4,'Data_Line'!$B$2:$B$529,"Actual",'Data_Line'!$C$2:$C$529,$A14)/1000000,"")</x:f>
        <x:v>2.54722854</x:v>
      </x:c>
      <x:c r="G14" s="149" t="n">
        <x:f>IF(G$4&lt;=DATE(2026,6,1),SUMIFS('Data_Line'!$F$2:$F$529,'Data_Line'!$A$2:$A$529,G$4,'Data_Line'!$B$2:$B$529,"Actual",'Data_Line'!$C$2:$C$529,$A14)/1000000,"")</x:f>
        <x:v>2.55350527</x:v>
      </x:c>
      <x:c r="H14" s="149" t="str">
        <x:f>IF(H$4&lt;=DATE(2026,6,1),SUMIFS('Data_Line'!$F$2:$F$529,'Data_Line'!$A$2:$A$529,H$4,'Data_Line'!$B$2:$B$529,"Actual",'Data_Line'!$C$2:$C$529,$A14)/1000000,"")</x:f>
      </x:c>
      <x:c r="I14" s="149" t="str">
        <x:f>IF(I$4&lt;=DATE(2026,6,1),SUMIFS('Data_Line'!$F$2:$F$529,'Data_Line'!$A$2:$A$529,I$4,'Data_Line'!$B$2:$B$529,"Actual",'Data_Line'!$C$2:$C$529,$A14)/1000000,"")</x:f>
      </x:c>
      <x:c r="J14" s="149" t="str">
        <x:f>IF(J$4&lt;=DATE(2026,6,1),SUMIFS('Data_Line'!$F$2:$F$529,'Data_Line'!$A$2:$A$529,J$4,'Data_Line'!$B$2:$B$529,"Actual",'Data_Line'!$C$2:$C$529,$A14)/1000000,"")</x:f>
      </x:c>
      <x:c r="K14" s="149" t="str">
        <x:f>IF(K$4&lt;=DATE(2026,6,1),SUMIFS('Data_Line'!$F$2:$F$529,'Data_Line'!$A$2:$A$529,K$4,'Data_Line'!$B$2:$B$529,"Actual",'Data_Line'!$C$2:$C$529,$A14)/1000000,"")</x:f>
      </x:c>
      <x:c r="L14" s="149" t="str">
        <x:f>IF(L$4&lt;=DATE(2026,6,1),SUMIFS('Data_Line'!$F$2:$F$529,'Data_Line'!$A$2:$A$529,L$4,'Data_Line'!$B$2:$B$529,"Actual",'Data_Line'!$C$2:$C$529,$A14)/1000000,"")</x:f>
      </x:c>
      <x:c r="M14" s="149" t="str">
        <x:f>IF(M$4&lt;=DATE(2026,6,1),SUMIFS('Data_Line'!$F$2:$F$529,'Data_Line'!$A$2:$A$529,M$4,'Data_Line'!$B$2:$B$529,"Actual",'Data_Line'!$C$2:$C$529,$A14)/1000000,"")</x:f>
      </x:c>
      <x:c r="N14" s="146" t="n">
        <x:f>SUM(B14:M14)</x:f>
        <x:v>15.427580999999998</x:v>
      </x:c>
    </x:row>
    <x:row r="15">
      <x:c r="A15" s="11" t="str">
        <x:v>Research &amp; Development</x:v>
      </x:c>
      <x:c r="B15" s="149" t="n">
        <x:f>IF(B$4&lt;=DATE(2026,6,1),SUMIFS('Data_Line'!$F$2:$F$529,'Data_Line'!$A$2:$A$529,B$4,'Data_Line'!$B$2:$B$529,"Actual",'Data_Line'!$C$2:$C$529,$A15)/1000000,"")</x:f>
        <x:v>2.5581441600000003</x:v>
      </x:c>
      <x:c r="C15" s="149" t="n">
        <x:f>IF(C$4&lt;=DATE(2026,6,1),SUMIFS('Data_Line'!$F$2:$F$529,'Data_Line'!$A$2:$A$529,C$4,'Data_Line'!$B$2:$B$529,"Actual",'Data_Line'!$C$2:$C$529,$A15)/1000000,"")</x:f>
        <x:v>2.59781204</x:v>
      </x:c>
      <x:c r="D15" s="149" t="n">
        <x:f>IF(D$4&lt;=DATE(2026,6,1),SUMIFS('Data_Line'!$F$2:$F$529,'Data_Line'!$A$2:$A$529,D$4,'Data_Line'!$B$2:$B$529,"Actual",'Data_Line'!$C$2:$C$529,$A15)/1000000,"")</x:f>
        <x:v>2.62073302</x:v>
      </x:c>
      <x:c r="E15" s="149" t="n">
        <x:f>IF(E$4&lt;=DATE(2026,6,1),SUMIFS('Data_Line'!$F$2:$F$529,'Data_Line'!$A$2:$A$529,E$4,'Data_Line'!$B$2:$B$529,"Actual",'Data_Line'!$C$2:$C$529,$A15)/1000000,"")</x:f>
        <x:v>2.63711945</x:v>
      </x:c>
      <x:c r="F15" s="149" t="n">
        <x:f>IF(F$4&lt;=DATE(2026,6,1),SUMIFS('Data_Line'!$F$2:$F$529,'Data_Line'!$A$2:$A$529,F$4,'Data_Line'!$B$2:$B$529,"Actual",'Data_Line'!$C$2:$C$529,$A15)/1000000,"")</x:f>
        <x:v>2.63708851</x:v>
      </x:c>
      <x:c r="G15" s="149" t="n">
        <x:f>IF(G$4&lt;=DATE(2026,6,1),SUMIFS('Data_Line'!$F$2:$F$529,'Data_Line'!$A$2:$A$529,G$4,'Data_Line'!$B$2:$B$529,"Actual",'Data_Line'!$C$2:$C$529,$A15)/1000000,"")</x:f>
        <x:v>2.6113752900000002</x:v>
      </x:c>
      <x:c r="H15" s="149" t="str">
        <x:f>IF(H$4&lt;=DATE(2026,6,1),SUMIFS('Data_Line'!$F$2:$F$529,'Data_Line'!$A$2:$A$529,H$4,'Data_Line'!$B$2:$B$529,"Actual",'Data_Line'!$C$2:$C$529,$A15)/1000000,"")</x:f>
      </x:c>
      <x:c r="I15" s="149" t="str">
        <x:f>IF(I$4&lt;=DATE(2026,6,1),SUMIFS('Data_Line'!$F$2:$F$529,'Data_Line'!$A$2:$A$529,I$4,'Data_Line'!$B$2:$B$529,"Actual",'Data_Line'!$C$2:$C$529,$A15)/1000000,"")</x:f>
      </x:c>
      <x:c r="J15" s="149" t="str">
        <x:f>IF(J$4&lt;=DATE(2026,6,1),SUMIFS('Data_Line'!$F$2:$F$529,'Data_Line'!$A$2:$A$529,J$4,'Data_Line'!$B$2:$B$529,"Actual",'Data_Line'!$C$2:$C$529,$A15)/1000000,"")</x:f>
      </x:c>
      <x:c r="K15" s="149" t="str">
        <x:f>IF(K$4&lt;=DATE(2026,6,1),SUMIFS('Data_Line'!$F$2:$F$529,'Data_Line'!$A$2:$A$529,K$4,'Data_Line'!$B$2:$B$529,"Actual",'Data_Line'!$C$2:$C$529,$A15)/1000000,"")</x:f>
      </x:c>
      <x:c r="L15" s="149" t="str">
        <x:f>IF(L$4&lt;=DATE(2026,6,1),SUMIFS('Data_Line'!$F$2:$F$529,'Data_Line'!$A$2:$A$529,L$4,'Data_Line'!$B$2:$B$529,"Actual",'Data_Line'!$C$2:$C$529,$A15)/1000000,"")</x:f>
      </x:c>
      <x:c r="M15" s="149" t="str">
        <x:f>IF(M$4&lt;=DATE(2026,6,1),SUMIFS('Data_Line'!$F$2:$F$529,'Data_Line'!$A$2:$A$529,M$4,'Data_Line'!$B$2:$B$529,"Actual",'Data_Line'!$C$2:$C$529,$A15)/1000000,"")</x:f>
      </x:c>
      <x:c r="N15" s="146" t="n">
        <x:f>SUM(B15:M15)</x:f>
        <x:v>15.66227247</x:v>
      </x:c>
    </x:row>
    <x:row r="16">
      <x:c r="A16" s="11" t="str">
        <x:v>General &amp; Administrative</x:v>
      </x:c>
      <x:c r="B16" s="149" t="n">
        <x:f>IF(B$4&lt;=DATE(2026,6,1),SUMIFS('Data_Line'!$F$2:$F$529,'Data_Line'!$A$2:$A$529,B$4,'Data_Line'!$B$2:$B$529,"Actual",'Data_Line'!$C$2:$C$529,$A16)/1000000,"")</x:f>
        <x:v>1.78173732</x:v>
      </x:c>
      <x:c r="C16" s="149" t="n">
        <x:f>IF(C$4&lt;=DATE(2026,6,1),SUMIFS('Data_Line'!$F$2:$F$529,'Data_Line'!$A$2:$A$529,C$4,'Data_Line'!$B$2:$B$529,"Actual",'Data_Line'!$C$2:$C$529,$A16)/1000000,"")</x:f>
        <x:v>1.75358318</x:v>
      </x:c>
      <x:c r="D16" s="149" t="n">
        <x:f>IF(D$4&lt;=DATE(2026,6,1),SUMIFS('Data_Line'!$F$2:$F$529,'Data_Line'!$A$2:$A$529,D$4,'Data_Line'!$B$2:$B$529,"Actual",'Data_Line'!$C$2:$C$529,$A16)/1000000,"")</x:f>
        <x:v>1.71934231</x:v>
      </x:c>
      <x:c r="E16" s="149" t="n">
        <x:f>IF(E$4&lt;=DATE(2026,6,1),SUMIFS('Data_Line'!$F$2:$F$529,'Data_Line'!$A$2:$A$529,E$4,'Data_Line'!$B$2:$B$529,"Actual",'Data_Line'!$C$2:$C$529,$A16)/1000000,"")</x:f>
        <x:v>1.67511774</x:v>
      </x:c>
      <x:c r="F16" s="149" t="n">
        <x:f>IF(F$4&lt;=DATE(2026,6,1),SUMIFS('Data_Line'!$F$2:$F$529,'Data_Line'!$A$2:$A$529,F$4,'Data_Line'!$B$2:$B$529,"Actual",'Data_Line'!$C$2:$C$529,$A16)/1000000,"")</x:f>
        <x:v>1.73732402</x:v>
      </x:c>
      <x:c r="G16" s="149" t="n">
        <x:f>IF(G$4&lt;=DATE(2026,6,1),SUMIFS('Data_Line'!$F$2:$F$529,'Data_Line'!$A$2:$A$529,G$4,'Data_Line'!$B$2:$B$529,"Actual",'Data_Line'!$C$2:$C$529,$A16)/1000000,"")</x:f>
        <x:v>1.72091382</x:v>
      </x:c>
      <x:c r="H16" s="149" t="str">
        <x:f>IF(H$4&lt;=DATE(2026,6,1),SUMIFS('Data_Line'!$F$2:$F$529,'Data_Line'!$A$2:$A$529,H$4,'Data_Line'!$B$2:$B$529,"Actual",'Data_Line'!$C$2:$C$529,$A16)/1000000,"")</x:f>
      </x:c>
      <x:c r="I16" s="149" t="str">
        <x:f>IF(I$4&lt;=DATE(2026,6,1),SUMIFS('Data_Line'!$F$2:$F$529,'Data_Line'!$A$2:$A$529,I$4,'Data_Line'!$B$2:$B$529,"Actual",'Data_Line'!$C$2:$C$529,$A16)/1000000,"")</x:f>
      </x:c>
      <x:c r="J16" s="149" t="str">
        <x:f>IF(J$4&lt;=DATE(2026,6,1),SUMIFS('Data_Line'!$F$2:$F$529,'Data_Line'!$A$2:$A$529,J$4,'Data_Line'!$B$2:$B$529,"Actual",'Data_Line'!$C$2:$C$529,$A16)/1000000,"")</x:f>
      </x:c>
      <x:c r="K16" s="149" t="str">
        <x:f>IF(K$4&lt;=DATE(2026,6,1),SUMIFS('Data_Line'!$F$2:$F$529,'Data_Line'!$A$2:$A$529,K$4,'Data_Line'!$B$2:$B$529,"Actual",'Data_Line'!$C$2:$C$529,$A16)/1000000,"")</x:f>
      </x:c>
      <x:c r="L16" s="149" t="str">
        <x:f>IF(L$4&lt;=DATE(2026,6,1),SUMIFS('Data_Line'!$F$2:$F$529,'Data_Line'!$A$2:$A$529,L$4,'Data_Line'!$B$2:$B$529,"Actual",'Data_Line'!$C$2:$C$529,$A16)/1000000,"")</x:f>
      </x:c>
      <x:c r="M16" s="149" t="str">
        <x:f>IF(M$4&lt;=DATE(2026,6,1),SUMIFS('Data_Line'!$F$2:$F$529,'Data_Line'!$A$2:$A$529,M$4,'Data_Line'!$B$2:$B$529,"Actual",'Data_Line'!$C$2:$C$529,$A16)/1000000,"")</x:f>
      </x:c>
      <x:c r="N16" s="146" t="n">
        <x:f>SUM(B16:M16)</x:f>
        <x:v>10.38801839</x:v>
      </x:c>
    </x:row>
    <x:row r="17">
      <x:c r="A17" s="157" t="str">
        <x:v>Adjusted EBITDA</x:v>
      </x:c>
      <x:c r="B17" s="158" t="n">
        <x:f>IF(B$4&lt;=DATE(2026,6,1),B12-SUM(B14:B16),"")</x:f>
        <x:v>0.9502304899999992</x:v>
      </x:c>
      <x:c r="C17" s="158" t="n">
        <x:f>IF(C$4&lt;=DATE(2026,6,1),C12-SUM(C14:C16),"")</x:f>
        <x:v>1.2199703800000012</x:v>
      </x:c>
      <x:c r="D17" s="158" t="n">
        <x:f>IF(D$4&lt;=DATE(2026,6,1),D12-SUM(D14:D16),"")</x:f>
        <x:v>1.1407974900000015</x:v>
      </x:c>
      <x:c r="E17" s="158" t="n">
        <x:f>IF(E$4&lt;=DATE(2026,6,1),E12-SUM(E14:E16),"")</x:f>
        <x:v>1.1903029700000012</x:v>
      </x:c>
      <x:c r="F17" s="158" t="n">
        <x:f>IF(F$4&lt;=DATE(2026,6,1),F12-SUM(F14:F16),"")</x:f>
        <x:v>1.4698177500000007</x:v>
      </x:c>
      <x:c r="G17" s="158" t="n">
        <x:f>IF(G$4&lt;=DATE(2026,6,1),G12-SUM(G14:G16),"")</x:f>
        <x:v>1.2351015200000006</x:v>
      </x:c>
      <x:c r="H17" s="158" t="str">
        <x:f>IF(H$4&lt;=DATE(2026,6,1),H12-SUM(H14:H16),"")</x:f>
      </x:c>
      <x:c r="I17" s="158" t="str">
        <x:f>IF(I$4&lt;=DATE(2026,6,1),I12-SUM(I14:I16),"")</x:f>
      </x:c>
      <x:c r="J17" s="158" t="str">
        <x:f>IF(J$4&lt;=DATE(2026,6,1),J12-SUM(J14:J16),"")</x:f>
      </x:c>
      <x:c r="K17" s="158" t="str">
        <x:f>IF(K$4&lt;=DATE(2026,6,1),K12-SUM(K14:K16),"")</x:f>
      </x:c>
      <x:c r="L17" s="158" t="str">
        <x:f>IF(L$4&lt;=DATE(2026,6,1),L12-SUM(L14:L16),"")</x:f>
      </x:c>
      <x:c r="M17" s="158" t="str">
        <x:f>IF(M$4&lt;=DATE(2026,6,1),M12-SUM(M14:M16),"")</x:f>
      </x:c>
      <x:c r="N17" s="158" t="n">
        <x:f>SUM(B17:M17)</x:f>
        <x:v>7.206220600000004</x:v>
      </x:c>
    </x:row>
    <x:row r="18">
      <x:c r="A18" s="11" t="str">
        <x:v>Adjusted EBITDA Margin</x:v>
      </x:c>
      <x:c r="B18" s="151" t="n">
        <x:f>IF(B$4&lt;=DATE(2026,6,1),IFERROR(B17/B9,0),"")</x:f>
        <x:v>0.08341068975971855</x:v>
      </x:c>
      <x:c r="C18" s="151" t="n">
        <x:f>IF(C$4&lt;=DATE(2026,6,1),IFERROR(C17/C9,0),"")</x:f>
        <x:v>0.10432976898385937</x:v>
      </x:c>
      <x:c r="D18" s="151" t="n">
        <x:f>IF(D$4&lt;=DATE(2026,6,1),IFERROR(D17/D9,0),"")</x:f>
        <x:v>0.09835366703600136</x:v>
      </x:c>
      <x:c r="E18" s="151" t="n">
        <x:f>IF(E$4&lt;=DATE(2026,6,1),IFERROR(E17/E9,0),"")</x:f>
        <x:v>0.10332810855935996</x:v>
      </x:c>
      <x:c r="F18" s="151" t="n">
        <x:f>IF(F$4&lt;=DATE(2026,6,1),IFERROR(F17/F9,0),"")</x:f>
        <x:v>0.1241741887827065</x:v>
      </x:c>
      <x:c r="G18" s="151" t="n">
        <x:f>IF(G$4&lt;=DATE(2026,6,1),IFERROR(G17/G9,0),"")</x:f>
        <x:v>0.10716610562808003</x:v>
      </x:c>
      <x:c r="H18" s="151" t="str">
        <x:f>IF(H$4&lt;=DATE(2026,6,1),IFERROR(H17/H9,0),"")</x:f>
      </x:c>
      <x:c r="I18" s="151" t="str">
        <x:f>IF(I$4&lt;=DATE(2026,6,1),IFERROR(I17/I9,0),"")</x:f>
      </x:c>
      <x:c r="J18" s="151" t="str">
        <x:f>IF(J$4&lt;=DATE(2026,6,1),IFERROR(J17/J9,0),"")</x:f>
      </x:c>
      <x:c r="K18" s="151" t="str">
        <x:f>IF(K$4&lt;=DATE(2026,6,1),IFERROR(K17/K9,0),"")</x:f>
      </x:c>
      <x:c r="L18" s="151" t="str">
        <x:f>IF(L$4&lt;=DATE(2026,6,1),IFERROR(L17/L9,0),"")</x:f>
      </x:c>
      <x:c r="M18" s="151" t="str">
        <x:f>IF(M$4&lt;=DATE(2026,6,1),IFERROR(M17/M9,0),"")</x:f>
      </x:c>
      <x:c r="N18" s="151" t="n">
        <x:f>IFERROR(SUM(B17:M17)/SUM(B9:M9),0)</x:f>
        <x:v>0.10358821525458628</x:v>
      </x:c>
    </x:row>
    <x:row r="19">
      <x:c r="A19" s="11" t="str">
        <x:v>Depreciation &amp; Amortization</x:v>
      </x:c>
      <x:c r="B19" s="149" t="n">
        <x:f>IF(B$4&lt;=DATE(2026,6,1),SUMIFS('Data_Line'!$F$2:$F$529,'Data_Line'!$A$2:$A$529,B$4,'Data_Line'!$B$2:$B$529,"Actual",'Data_Line'!$C$2:$C$529,$A19)/1000000,"")</x:f>
        <x:v>0.20505943</x:v>
      </x:c>
      <x:c r="C19" s="149" t="n">
        <x:f>IF(C$4&lt;=DATE(2026,6,1),SUMIFS('Data_Line'!$F$2:$F$529,'Data_Line'!$A$2:$A$529,C$4,'Data_Line'!$B$2:$B$529,"Actual",'Data_Line'!$C$2:$C$529,$A19)/1000000,"")</x:f>
        <x:v>0.21048131</x:v>
      </x:c>
      <x:c r="D19" s="149" t="n">
        <x:f>IF(D$4&lt;=DATE(2026,6,1),SUMIFS('Data_Line'!$F$2:$F$529,'Data_Line'!$A$2:$A$529,D$4,'Data_Line'!$B$2:$B$529,"Actual",'Data_Line'!$C$2:$C$529,$A19)/1000000,"")</x:f>
        <x:v>0.20878076999999998</x:v>
      </x:c>
      <x:c r="E19" s="149" t="n">
        <x:f>IF(E$4&lt;=DATE(2026,6,1),SUMIFS('Data_Line'!$F$2:$F$529,'Data_Line'!$A$2:$A$529,E$4,'Data_Line'!$B$2:$B$529,"Actual",'Data_Line'!$C$2:$C$529,$A19)/1000000,"")</x:f>
        <x:v>0.20735357999999998</x:v>
      </x:c>
      <x:c r="F19" s="149" t="n">
        <x:f>IF(F$4&lt;=DATE(2026,6,1),SUMIFS('Data_Line'!$F$2:$F$529,'Data_Line'!$A$2:$A$529,F$4,'Data_Line'!$B$2:$B$529,"Actual",'Data_Line'!$C$2:$C$529,$A19)/1000000,"")</x:f>
        <x:v>0.21306134</x:v>
      </x:c>
      <x:c r="G19" s="149" t="n">
        <x:f>IF(G$4&lt;=DATE(2026,6,1),SUMIFS('Data_Line'!$F$2:$F$529,'Data_Line'!$A$2:$A$529,G$4,'Data_Line'!$B$2:$B$529,"Actual",'Data_Line'!$C$2:$C$529,$A19)/1000000,"")</x:f>
        <x:v>0.20745204</x:v>
      </x:c>
      <x:c r="H19" s="149" t="str">
        <x:f>IF(H$4&lt;=DATE(2026,6,1),SUMIFS('Data_Line'!$F$2:$F$529,'Data_Line'!$A$2:$A$529,H$4,'Data_Line'!$B$2:$B$529,"Actual",'Data_Line'!$C$2:$C$529,$A19)/1000000,"")</x:f>
      </x:c>
      <x:c r="I19" s="149" t="str">
        <x:f>IF(I$4&lt;=DATE(2026,6,1),SUMIFS('Data_Line'!$F$2:$F$529,'Data_Line'!$A$2:$A$529,I$4,'Data_Line'!$B$2:$B$529,"Actual",'Data_Line'!$C$2:$C$529,$A19)/1000000,"")</x:f>
      </x:c>
      <x:c r="J19" s="149" t="str">
        <x:f>IF(J$4&lt;=DATE(2026,6,1),SUMIFS('Data_Line'!$F$2:$F$529,'Data_Line'!$A$2:$A$529,J$4,'Data_Line'!$B$2:$B$529,"Actual",'Data_Line'!$C$2:$C$529,$A19)/1000000,"")</x:f>
      </x:c>
      <x:c r="K19" s="149" t="str">
        <x:f>IF(K$4&lt;=DATE(2026,6,1),SUMIFS('Data_Line'!$F$2:$F$529,'Data_Line'!$A$2:$A$529,K$4,'Data_Line'!$B$2:$B$529,"Actual",'Data_Line'!$C$2:$C$529,$A19)/1000000,"")</x:f>
      </x:c>
      <x:c r="L19" s="149" t="str">
        <x:f>IF(L$4&lt;=DATE(2026,6,1),SUMIFS('Data_Line'!$F$2:$F$529,'Data_Line'!$A$2:$A$529,L$4,'Data_Line'!$B$2:$B$529,"Actual",'Data_Line'!$C$2:$C$529,$A19)/1000000,"")</x:f>
      </x:c>
      <x:c r="M19" s="149" t="str">
        <x:f>IF(M$4&lt;=DATE(2026,6,1),SUMIFS('Data_Line'!$F$2:$F$529,'Data_Line'!$A$2:$A$529,M$4,'Data_Line'!$B$2:$B$529,"Actual",'Data_Line'!$C$2:$C$529,$A19)/1000000,"")</x:f>
      </x:c>
      <x:c r="N19" s="146" t="n">
        <x:f>SUM(B19:M19)</x:f>
        <x:v>1.2521884699999999</x:v>
      </x:c>
    </x:row>
    <x:row r="20">
      <x:c r="A20" s="157" t="str">
        <x:v>Operating Income</x:v>
      </x:c>
      <x:c r="B20" s="158" t="n">
        <x:f>IF(B$4&lt;=DATE(2026,6,1),B17-B19,"")</x:f>
        <x:v>0.7451710599999992</x:v>
      </x:c>
      <x:c r="C20" s="158" t="n">
        <x:f>IF(C$4&lt;=DATE(2026,6,1),C17-C19,"")</x:f>
        <x:v>1.0094890700000012</x:v>
      </x:c>
      <x:c r="D20" s="158" t="n">
        <x:f>IF(D$4&lt;=DATE(2026,6,1),D17-D19,"")</x:f>
        <x:v>0.9320167200000016</x:v>
      </x:c>
      <x:c r="E20" s="158" t="n">
        <x:f>IF(E$4&lt;=DATE(2026,6,1),E17-E19,"")</x:f>
        <x:v>0.9829493900000013</x:v>
      </x:c>
      <x:c r="F20" s="158" t="n">
        <x:f>IF(F$4&lt;=DATE(2026,6,1),F17-F19,"")</x:f>
        <x:v>1.2567564100000008</x:v>
      </x:c>
      <x:c r="G20" s="158" t="n">
        <x:f>IF(G$4&lt;=DATE(2026,6,1),G17-G19,"")</x:f>
        <x:v>1.0276494800000007</x:v>
      </x:c>
      <x:c r="H20" s="158" t="str">
        <x:f>IF(H$4&lt;=DATE(2026,6,1),H17-H19,"")</x:f>
      </x:c>
      <x:c r="I20" s="158" t="str">
        <x:f>IF(I$4&lt;=DATE(2026,6,1),I17-I19,"")</x:f>
      </x:c>
      <x:c r="J20" s="158" t="str">
        <x:f>IF(J$4&lt;=DATE(2026,6,1),J17-J19,"")</x:f>
      </x:c>
      <x:c r="K20" s="158" t="str">
        <x:f>IF(K$4&lt;=DATE(2026,6,1),K17-K19,"")</x:f>
      </x:c>
      <x:c r="L20" s="158" t="str">
        <x:f>IF(L$4&lt;=DATE(2026,6,1),L17-L19,"")</x:f>
      </x:c>
      <x:c r="M20" s="158" t="str">
        <x:f>IF(M$4&lt;=DATE(2026,6,1),M17-M19,"")</x:f>
      </x:c>
      <x:c r="N20" s="158" t="n">
        <x:f>SUM(B20:M20)</x:f>
        <x:v>5.954032130000005</x:v>
      </x:c>
    </x:row>
    <x:row r="21">
      <x:c r="A21" s="11"/>
      <x:c r="B21" s="11"/>
      <x:c r="C21" s="11"/>
      <x:c r="D21" s="11"/>
      <x:c r="E21" s="11"/>
      <x:c r="F21" s="11"/>
      <x:c r="G21" s="11"/>
      <x:c r="H21" s="11"/>
      <x:c r="I21" s="11"/>
      <x:c r="J21" s="11"/>
      <x:c r="K21" s="11"/>
      <x:c r="L21" s="11"/>
      <x:c r="M21" s="11"/>
      <x:c r="N21" s="11"/>
    </x:row>
    <x:row r="22">
      <x:c r="A22" s="11"/>
      <x:c r="B22" s="11"/>
      <x:c r="C22" s="11"/>
      <x:c r="D22" s="11"/>
      <x:c r="E22" s="11"/>
      <x:c r="F22" s="11"/>
      <x:c r="G22" s="11"/>
      <x:c r="H22" s="11"/>
      <x:c r="I22" s="11"/>
      <x:c r="J22" s="11"/>
      <x:c r="K22" s="11"/>
      <x:c r="L22" s="11"/>
      <x:c r="M22" s="11"/>
      <x:c r="N22" s="11"/>
    </x:row>
    <x:row r="23">
      <x:c r="A23" s="112" t="str">
        <x:v>Budget</x:v>
      </x:c>
      <x:c r="B23" s="112" t="str">
        <x:v>Budget</x:v>
      </x:c>
      <x:c r="C23" s="112" t="str">
        <x:v>Budget</x:v>
      </x:c>
      <x:c r="D23" s="112" t="str">
        <x:v>Budget</x:v>
      </x:c>
      <x:c r="E23" s="112" t="str">
        <x:v>Budget</x:v>
      </x:c>
      <x:c r="F23" s="112" t="str">
        <x:v>Budget</x:v>
      </x:c>
      <x:c r="G23" s="112" t="str">
        <x:v>Budget</x:v>
      </x:c>
      <x:c r="H23" s="112" t="str">
        <x:v>Budget</x:v>
      </x:c>
      <x:c r="I23" s="112" t="str">
        <x:v>Budget</x:v>
      </x:c>
      <x:c r="J23" s="112" t="str">
        <x:v>Budget</x:v>
      </x:c>
      <x:c r="K23" s="112" t="str">
        <x:v>Budget</x:v>
      </x:c>
      <x:c r="L23" s="112" t="str">
        <x:v>Budget</x:v>
      </x:c>
      <x:c r="M23" s="112" t="str">
        <x:v>Budget</x:v>
      </x:c>
      <x:c r="N23" s="112" t="str">
        <x:v>Budget</x:v>
      </x:c>
    </x:row>
    <x:row r="24">
      <x:c r="A24" s="11" t="str">
        <x:v>Subscription Revenue</x:v>
      </x:c>
      <x:c r="B24" s="149" t="n">
        <x:f>SUMIFS('Data_Line'!$F$2:$F$529,'Data_Line'!$A$2:$A$529,B$4,'Data_Line'!$B$2:$B$529,"Budget",'Data_Line'!$C$2:$C$529,$A24)/1000000</x:f>
        <x:v>9.96498112</x:v>
      </x:c>
      <x:c r="C24" s="149" t="n">
        <x:f>SUMIFS('Data_Line'!$F$2:$F$529,'Data_Line'!$A$2:$A$529,C$4,'Data_Line'!$B$2:$B$529,"Budget",'Data_Line'!$C$2:$C$529,$A24)/1000000</x:f>
        <x:v>10.05645475</x:v>
      </x:c>
      <x:c r="D24" s="149" t="n">
        <x:f>SUMIFS('Data_Line'!$F$2:$F$529,'Data_Line'!$A$2:$A$529,D$4,'Data_Line'!$B$2:$B$529,"Budget",'Data_Line'!$C$2:$C$529,$A24)/1000000</x:f>
        <x:v>10.14694731</x:v>
      </x:c>
      <x:c r="E24" s="149" t="n">
        <x:f>SUMIFS('Data_Line'!$F$2:$F$529,'Data_Line'!$A$2:$A$529,E$4,'Data_Line'!$B$2:$B$529,"Budget",'Data_Line'!$C$2:$C$529,$A24)/1000000</x:f>
        <x:v>10.25358233</x:v>
      </x:c>
      <x:c r="F24" s="149" t="n">
        <x:f>SUMIFS('Data_Line'!$F$2:$F$529,'Data_Line'!$A$2:$A$529,F$4,'Data_Line'!$B$2:$B$529,"Budget",'Data_Line'!$C$2:$C$529,$A24)/1000000</x:f>
        <x:v>10.47993861</x:v>
      </x:c>
      <x:c r="G24" s="149" t="n">
        <x:f>SUMIFS('Data_Line'!$F$2:$F$529,'Data_Line'!$A$2:$A$529,G$4,'Data_Line'!$B$2:$B$529,"Budget",'Data_Line'!$C$2:$C$529,$A24)/1000000</x:f>
        <x:v>10.76345787</x:v>
      </x:c>
      <x:c r="H24" s="149" t="n">
        <x:f>SUMIFS('Data_Line'!$F$2:$F$529,'Data_Line'!$A$2:$A$529,H$4,'Data_Line'!$B$2:$B$529,"Budget",'Data_Line'!$C$2:$C$529,$A24)/1000000</x:f>
        <x:v>10.911359560000001</x:v>
      </x:c>
      <x:c r="I24" s="149" t="n">
        <x:f>SUMIFS('Data_Line'!$F$2:$F$529,'Data_Line'!$A$2:$A$529,I$4,'Data_Line'!$B$2:$B$529,"Budget",'Data_Line'!$C$2:$C$529,$A24)/1000000</x:f>
        <x:v>11.015985970000001</x:v>
      </x:c>
      <x:c r="J24" s="149" t="n">
        <x:f>SUMIFS('Data_Line'!$F$2:$F$529,'Data_Line'!$A$2:$A$529,J$4,'Data_Line'!$B$2:$B$529,"Budget",'Data_Line'!$C$2:$C$529,$A24)/1000000</x:f>
        <x:v>11.15382149</x:v>
      </x:c>
      <x:c r="K24" s="149" t="n">
        <x:f>SUMIFS('Data_Line'!$F$2:$F$529,'Data_Line'!$A$2:$A$529,K$4,'Data_Line'!$B$2:$B$529,"Budget",'Data_Line'!$C$2:$C$529,$A24)/1000000</x:f>
        <x:v>11.24088673</x:v>
      </x:c>
      <x:c r="L24" s="149" t="n">
        <x:f>SUMIFS('Data_Line'!$F$2:$F$529,'Data_Line'!$A$2:$A$529,L$4,'Data_Line'!$B$2:$B$529,"Budget",'Data_Line'!$C$2:$C$529,$A24)/1000000</x:f>
        <x:v>11.263590259999999</x:v>
      </x:c>
      <x:c r="M24" s="149" t="n">
        <x:f>SUMIFS('Data_Line'!$F$2:$F$529,'Data_Line'!$A$2:$A$529,M$4,'Data_Line'!$B$2:$B$529,"Budget",'Data_Line'!$C$2:$C$529,$A24)/1000000</x:f>
        <x:v>11.33533326</x:v>
      </x:c>
      <x:c r="N24" s="146" t="n">
        <x:f>SUM(B24:M24)</x:f>
        <x:v>128.58633926000002</x:v>
      </x:c>
    </x:row>
    <x:row r="25">
      <x:c r="A25" s="11" t="str">
        <x:v>Professional Services Revenue</x:v>
      </x:c>
      <x:c r="B25" s="149" t="n">
        <x:f>SUMIFS('Data_Line'!$F$2:$F$529,'Data_Line'!$A$2:$A$529,B$4,'Data_Line'!$B$2:$B$529,"Budget",'Data_Line'!$C$2:$C$529,$A25)/1000000</x:f>
        <x:v>2.28960948</x:v>
      </x:c>
      <x:c r="C25" s="149" t="n">
        <x:f>SUMIFS('Data_Line'!$F$2:$F$529,'Data_Line'!$A$2:$A$529,C$4,'Data_Line'!$B$2:$B$529,"Budget",'Data_Line'!$C$2:$C$529,$A25)/1000000</x:f>
        <x:v>2.53221795</x:v>
      </x:c>
      <x:c r="D25" s="149" t="n">
        <x:f>SUMIFS('Data_Line'!$F$2:$F$529,'Data_Line'!$A$2:$A$529,D$4,'Data_Line'!$B$2:$B$529,"Budget",'Data_Line'!$C$2:$C$529,$A25)/1000000</x:f>
        <x:v>2.21210207</x:v>
      </x:c>
      <x:c r="E25" s="149" t="n">
        <x:f>SUMIFS('Data_Line'!$F$2:$F$529,'Data_Line'!$A$2:$A$529,E$4,'Data_Line'!$B$2:$B$529,"Budget",'Data_Line'!$C$2:$C$529,$A25)/1000000</x:f>
        <x:v>1.79562651</x:v>
      </x:c>
      <x:c r="F25" s="149" t="n">
        <x:f>SUMIFS('Data_Line'!$F$2:$F$529,'Data_Line'!$A$2:$A$529,F$4,'Data_Line'!$B$2:$B$529,"Budget",'Data_Line'!$C$2:$C$529,$A25)/1000000</x:f>
        <x:v>1.50765092</x:v>
      </x:c>
      <x:c r="G25" s="149" t="n">
        <x:f>SUMIFS('Data_Line'!$F$2:$F$529,'Data_Line'!$A$2:$A$529,G$4,'Data_Line'!$B$2:$B$529,"Budget",'Data_Line'!$C$2:$C$529,$A25)/1000000</x:f>
        <x:v>1.62846107</x:v>
      </x:c>
      <x:c r="H25" s="149" t="n">
        <x:f>SUMIFS('Data_Line'!$F$2:$F$529,'Data_Line'!$A$2:$A$529,H$4,'Data_Line'!$B$2:$B$529,"Budget",'Data_Line'!$C$2:$C$529,$A25)/1000000</x:f>
        <x:v>1.56023239</x:v>
      </x:c>
      <x:c r="I25" s="149" t="n">
        <x:f>SUMIFS('Data_Line'!$F$2:$F$529,'Data_Line'!$A$2:$A$529,I$4,'Data_Line'!$B$2:$B$529,"Budget",'Data_Line'!$C$2:$C$529,$A25)/1000000</x:f>
        <x:v>1.9320314299999999</x:v>
      </x:c>
      <x:c r="J25" s="149" t="n">
        <x:f>SUMIFS('Data_Line'!$F$2:$F$529,'Data_Line'!$A$2:$A$529,J$4,'Data_Line'!$B$2:$B$529,"Budget",'Data_Line'!$C$2:$C$529,$A25)/1000000</x:f>
        <x:v>1.98162956</x:v>
      </x:c>
      <x:c r="K25" s="149" t="n">
        <x:f>SUMIFS('Data_Line'!$F$2:$F$529,'Data_Line'!$A$2:$A$529,K$4,'Data_Line'!$B$2:$B$529,"Budget",'Data_Line'!$C$2:$C$529,$A25)/1000000</x:f>
        <x:v>2.52452904</x:v>
      </x:c>
      <x:c r="L25" s="149" t="n">
        <x:f>SUMIFS('Data_Line'!$F$2:$F$529,'Data_Line'!$A$2:$A$529,L$4,'Data_Line'!$B$2:$B$529,"Budget",'Data_Line'!$C$2:$C$529,$A25)/1000000</x:f>
        <x:v>2.74797481</x:v>
      </x:c>
      <x:c r="M25" s="149" t="n">
        <x:f>SUMIFS('Data_Line'!$F$2:$F$529,'Data_Line'!$A$2:$A$529,M$4,'Data_Line'!$B$2:$B$529,"Budget",'Data_Line'!$C$2:$C$529,$A25)/1000000</x:f>
        <x:v>1.79793465</x:v>
      </x:c>
      <x:c r="N25" s="146" t="n">
        <x:f>SUM(B25:M25)</x:f>
        <x:v>24.50999988</x:v>
      </x:c>
    </x:row>
    <x:row r="26">
      <x:c r="A26" s="157" t="str">
        <x:v>Total Revenue</x:v>
      </x:c>
      <x:c r="B26" s="158" t="n">
        <x:f>SUM(B24:B25)</x:f>
        <x:v>12.2545906</x:v>
      </x:c>
      <x:c r="C26" s="158" t="n">
        <x:f>SUM(C24:C25)</x:f>
        <x:v>12.5886727</x:v>
      </x:c>
      <x:c r="D26" s="158" t="n">
        <x:f>SUM(D24:D25)</x:f>
        <x:v>12.35904938</x:v>
      </x:c>
      <x:c r="E26" s="158" t="n">
        <x:f>SUM(E24:E25)</x:f>
        <x:v>12.04920884</x:v>
      </x:c>
      <x:c r="F26" s="158" t="n">
        <x:f>SUM(F24:F25)</x:f>
        <x:v>11.98758953</x:v>
      </x:c>
      <x:c r="G26" s="158" t="n">
        <x:f>SUM(G24:G25)</x:f>
        <x:v>12.39191894</x:v>
      </x:c>
      <x:c r="H26" s="158" t="n">
        <x:f>SUM(H24:H25)</x:f>
        <x:v>12.47159195</x:v>
      </x:c>
      <x:c r="I26" s="158" t="n">
        <x:f>SUM(I24:I25)</x:f>
        <x:v>12.948017400000001</x:v>
      </x:c>
      <x:c r="J26" s="158" t="n">
        <x:f>SUM(J24:J25)</x:f>
        <x:v>13.13545105</x:v>
      </x:c>
      <x:c r="K26" s="158" t="n">
        <x:f>SUM(K24:K25)</x:f>
        <x:v>13.76541577</x:v>
      </x:c>
      <x:c r="L26" s="158" t="n">
        <x:f>SUM(L24:L25)</x:f>
        <x:v>14.01156507</x:v>
      </x:c>
      <x:c r="M26" s="158" t="n">
        <x:f>SUM(M24:M25)</x:f>
        <x:v>13.13326791</x:v>
      </x:c>
      <x:c r="N26" s="158" t="n">
        <x:f>SUM(B26:M26)</x:f>
        <x:v>153.09633914</x:v>
      </x:c>
    </x:row>
    <x:row r="27">
      <x:c r="A27" s="11" t="str">
        <x:v>Cost of Subscription</x:v>
      </x:c>
      <x:c r="B27" s="149" t="n">
        <x:f>SUMIFS('Data_Line'!$F$2:$F$529,'Data_Line'!$A$2:$A$529,B$4,'Data_Line'!$B$2:$B$529,"Budget",'Data_Line'!$C$2:$C$529,$A27)/1000000</x:f>
        <x:v>2.18503054</x:v>
      </x:c>
      <x:c r="C27" s="149" t="n">
        <x:f>SUMIFS('Data_Line'!$F$2:$F$529,'Data_Line'!$A$2:$A$529,C$4,'Data_Line'!$B$2:$B$529,"Budget",'Data_Line'!$C$2:$C$529,$A27)/1000000</x:f>
        <x:v>2.2107153999999998</x:v>
      </x:c>
      <x:c r="D27" s="149" t="n">
        <x:f>SUMIFS('Data_Line'!$F$2:$F$529,'Data_Line'!$A$2:$A$529,D$4,'Data_Line'!$B$2:$B$529,"Budget",'Data_Line'!$C$2:$C$529,$A27)/1000000</x:f>
        <x:v>2.21938499</x:v>
      </x:c>
      <x:c r="E27" s="149" t="n">
        <x:f>SUMIFS('Data_Line'!$F$2:$F$529,'Data_Line'!$A$2:$A$529,E$4,'Data_Line'!$B$2:$B$529,"Budget",'Data_Line'!$C$2:$C$529,$A27)/1000000</x:f>
        <x:v>2.2340852599999996</x:v>
      </x:c>
      <x:c r="F27" s="149" t="n">
        <x:f>SUMIFS('Data_Line'!$F$2:$F$529,'Data_Line'!$A$2:$A$529,F$4,'Data_Line'!$B$2:$B$529,"Budget",'Data_Line'!$C$2:$C$529,$A27)/1000000</x:f>
        <x:v>2.2590971800000004</x:v>
      </x:c>
      <x:c r="G27" s="149" t="n">
        <x:f>SUMIFS('Data_Line'!$F$2:$F$529,'Data_Line'!$A$2:$A$529,G$4,'Data_Line'!$B$2:$B$529,"Budget",'Data_Line'!$C$2:$C$529,$A27)/1000000</x:f>
        <x:v>2.3061132599999996</x:v>
      </x:c>
      <x:c r="H27" s="149" t="n">
        <x:f>SUMIFS('Data_Line'!$F$2:$F$529,'Data_Line'!$A$2:$A$529,H$4,'Data_Line'!$B$2:$B$529,"Budget",'Data_Line'!$C$2:$C$529,$A27)/1000000</x:f>
        <x:v>2.3255167799999996</x:v>
      </x:c>
      <x:c r="I27" s="149" t="n">
        <x:f>SUMIFS('Data_Line'!$F$2:$F$529,'Data_Line'!$A$2:$A$529,I$4,'Data_Line'!$B$2:$B$529,"Budget",'Data_Line'!$C$2:$C$529,$A27)/1000000</x:f>
        <x:v>2.36643141</x:v>
      </x:c>
      <x:c r="J27" s="149" t="n">
        <x:f>SUMIFS('Data_Line'!$F$2:$F$529,'Data_Line'!$A$2:$A$529,J$4,'Data_Line'!$B$2:$B$529,"Budget",'Data_Line'!$C$2:$C$529,$A27)/1000000</x:f>
        <x:v>2.37308154</x:v>
      </x:c>
      <x:c r="K27" s="149" t="n">
        <x:f>SUMIFS('Data_Line'!$F$2:$F$529,'Data_Line'!$A$2:$A$529,K$4,'Data_Line'!$B$2:$B$529,"Budget",'Data_Line'!$C$2:$C$529,$A27)/1000000</x:f>
        <x:v>2.39424334</x:v>
      </x:c>
      <x:c r="L27" s="149" t="n">
        <x:f>SUMIFS('Data_Line'!$F$2:$F$529,'Data_Line'!$A$2:$A$529,L$4,'Data_Line'!$B$2:$B$529,"Budget",'Data_Line'!$C$2:$C$529,$A27)/1000000</x:f>
        <x:v>2.38683888</x:v>
      </x:c>
      <x:c r="M27" s="149" t="n">
        <x:f>SUMIFS('Data_Line'!$F$2:$F$529,'Data_Line'!$A$2:$A$529,M$4,'Data_Line'!$B$2:$B$529,"Budget",'Data_Line'!$C$2:$C$529,$A27)/1000000</x:f>
        <x:v>2.4259037</x:v>
      </x:c>
      <x:c r="N27" s="146" t="n">
        <x:f>SUM(B27:M27)</x:f>
        <x:v>27.686442279999998</x:v>
      </x:c>
    </x:row>
    <x:row r="28">
      <x:c r="A28" s="11" t="str">
        <x:v>Cost of Services</x:v>
      </x:c>
      <x:c r="B28" s="149" t="n">
        <x:f>SUMIFS('Data_Line'!$F$2:$F$529,'Data_Line'!$A$2:$A$529,B$4,'Data_Line'!$B$2:$B$529,"Budget",'Data_Line'!$C$2:$C$529,$A28)/1000000</x:f>
        <x:v>1.39849426</x:v>
      </x:c>
      <x:c r="C28" s="149" t="n">
        <x:f>SUMIFS('Data_Line'!$F$2:$F$529,'Data_Line'!$A$2:$A$529,C$4,'Data_Line'!$B$2:$B$529,"Budget",'Data_Line'!$C$2:$C$529,$A28)/1000000</x:f>
        <x:v>1.43806535</x:v>
      </x:c>
      <x:c r="D28" s="149" t="n">
        <x:f>SUMIFS('Data_Line'!$F$2:$F$529,'Data_Line'!$A$2:$A$529,D$4,'Data_Line'!$B$2:$B$529,"Budget",'Data_Line'!$C$2:$C$529,$A28)/1000000</x:f>
        <x:v>1.36903847</x:v>
      </x:c>
      <x:c r="E28" s="149" t="n">
        <x:f>SUMIFS('Data_Line'!$F$2:$F$529,'Data_Line'!$A$2:$A$529,E$4,'Data_Line'!$B$2:$B$529,"Budget",'Data_Line'!$C$2:$C$529,$A28)/1000000</x:f>
        <x:v>1.31704724</x:v>
      </x:c>
      <x:c r="F28" s="149" t="n">
        <x:f>SUMIFS('Data_Line'!$F$2:$F$529,'Data_Line'!$A$2:$A$529,F$4,'Data_Line'!$B$2:$B$529,"Budget",'Data_Line'!$C$2:$C$529,$A28)/1000000</x:f>
        <x:v>1.2877398100000002</x:v>
      </x:c>
      <x:c r="G28" s="149" t="n">
        <x:f>SUMIFS('Data_Line'!$F$2:$F$529,'Data_Line'!$A$2:$A$529,G$4,'Data_Line'!$B$2:$B$529,"Budget",'Data_Line'!$C$2:$C$529,$A28)/1000000</x:f>
        <x:v>1.28027204</x:v>
      </x:c>
      <x:c r="H28" s="149" t="n">
        <x:f>SUMIFS('Data_Line'!$F$2:$F$529,'Data_Line'!$A$2:$A$529,H$4,'Data_Line'!$B$2:$B$529,"Budget",'Data_Line'!$C$2:$C$529,$A28)/1000000</x:f>
        <x:v>1.2926077</x:v>
      </x:c>
      <x:c r="I28" s="149" t="n">
        <x:f>SUMIFS('Data_Line'!$F$2:$F$529,'Data_Line'!$A$2:$A$529,I$4,'Data_Line'!$B$2:$B$529,"Budget",'Data_Line'!$C$2:$C$529,$A28)/1000000</x:f>
        <x:v>1.29931625</x:v>
      </x:c>
      <x:c r="J28" s="149" t="n">
        <x:f>SUMIFS('Data_Line'!$F$2:$F$529,'Data_Line'!$A$2:$A$529,J$4,'Data_Line'!$B$2:$B$529,"Budget",'Data_Line'!$C$2:$C$529,$A28)/1000000</x:f>
        <x:v>1.31576004</x:v>
      </x:c>
      <x:c r="K28" s="149" t="n">
        <x:f>SUMIFS('Data_Line'!$F$2:$F$529,'Data_Line'!$A$2:$A$529,K$4,'Data_Line'!$B$2:$B$529,"Budget",'Data_Line'!$C$2:$C$529,$A28)/1000000</x:f>
        <x:v>1.3369478700000001</x:v>
      </x:c>
      <x:c r="L28" s="149" t="n">
        <x:f>SUMIFS('Data_Line'!$F$2:$F$529,'Data_Line'!$A$2:$A$529,L$4,'Data_Line'!$B$2:$B$529,"Budget",'Data_Line'!$C$2:$C$529,$A28)/1000000</x:f>
        <x:v>1.3057806200000002</x:v>
      </x:c>
      <x:c r="M28" s="149" t="n">
        <x:f>SUMIFS('Data_Line'!$F$2:$F$529,'Data_Line'!$A$2:$A$529,M$4,'Data_Line'!$B$2:$B$529,"Budget",'Data_Line'!$C$2:$C$529,$A28)/1000000</x:f>
        <x:v>1.27896778</x:v>
      </x:c>
      <x:c r="N28" s="146" t="n">
        <x:f>SUM(B28:M28)</x:f>
        <x:v>15.92003743</x:v>
      </x:c>
    </x:row>
    <x:row r="29">
      <x:c r="A29" s="157" t="str">
        <x:v>Gross Profit</x:v>
      </x:c>
      <x:c r="B29" s="158" t="n">
        <x:f>B26-SUM(B27:B28)</x:f>
        <x:v>8.671065800000001</x:v>
      </x:c>
      <x:c r="C29" s="158" t="n">
        <x:f>C26-SUM(C27:C28)</x:f>
        <x:v>8.93989195</x:v>
      </x:c>
      <x:c r="D29" s="158" t="n">
        <x:f>D26-SUM(D27:D28)</x:f>
        <x:v>8.77062592</x:v>
      </x:c>
      <x:c r="E29" s="158" t="n">
        <x:f>E26-SUM(E27:E28)</x:f>
        <x:v>8.49807634</x:v>
      </x:c>
      <x:c r="F29" s="158" t="n">
        <x:f>F26-SUM(F27:F28)</x:f>
        <x:v>8.440752539999998</x:v>
      </x:c>
      <x:c r="G29" s="158" t="n">
        <x:f>G26-SUM(G27:G28)</x:f>
        <x:v>8.80553364</x:v>
      </x:c>
      <x:c r="H29" s="158" t="n">
        <x:f>H26-SUM(H27:H28)</x:f>
        <x:v>8.853467470000002</x:v>
      </x:c>
      <x:c r="I29" s="158" t="n">
        <x:f>I26-SUM(I27:I28)</x:f>
        <x:v>9.28226974</x:v>
      </x:c>
      <x:c r="J29" s="158" t="n">
        <x:f>J26-SUM(J27:J28)</x:f>
        <x:v>9.44660947</x:v>
      </x:c>
      <x:c r="K29" s="158" t="n">
        <x:f>K26-SUM(K27:K28)</x:f>
        <x:v>10.03422456</x:v>
      </x:c>
      <x:c r="L29" s="158" t="n">
        <x:f>L26-SUM(L27:L28)</x:f>
        <x:v>10.31894557</x:v>
      </x:c>
      <x:c r="M29" s="158" t="n">
        <x:f>M26-SUM(M27:M28)</x:f>
        <x:v>9.42839643</x:v>
      </x:c>
      <x:c r="N29" s="158" t="n">
        <x:f>SUM(B29:M29)</x:f>
        <x:v>109.48985943</x:v>
      </x:c>
    </x:row>
    <x:row r="30">
      <x:c r="A30" s="11" t="str">
        <x:v>Gross Margin</x:v>
      </x:c>
      <x:c r="B30" s="151" t="n">
        <x:f>IFERROR(B29/B26,0)</x:f>
        <x:v>0.7075769467157883</x:v>
      </x:c>
      <x:c r="C30" s="151" t="n">
        <x:f>IFERROR(C29/C26,0)</x:f>
        <x:v>0.7101536566281527</x:v>
      </x:c>
      <x:c r="D30" s="151" t="n">
        <x:f>IFERROR(D29/D26,0)</x:f>
        <x:v>0.7096521464015706</x:v>
      </x:c>
      <x:c r="E30" s="151" t="n">
        <x:f>IFERROR(E29/E26,0)</x:f>
        <x:v>0.7052808572616623</x:v>
      </x:c>
      <x:c r="F30" s="151" t="n">
        <x:f>IFERROR(F29/F26,0)</x:f>
        <x:v>0.7041242544113036</x:v>
      </x:c>
      <x:c r="G30" s="151" t="n">
        <x:f>IFERROR(G29/G26,0)</x:f>
        <x:v>0.7105867688963433</x:v>
      </x:c>
      <x:c r="H30" s="151" t="n">
        <x:f>IFERROR(H29/H26,0)</x:f>
        <x:v>0.7098907265002365</x:v>
      </x:c>
      <x:c r="I30" s="151" t="n">
        <x:f>IFERROR(I29/I26,0)</x:f>
        <x:v>0.716887339060882</x:v>
      </x:c>
      <x:c r="J30" s="151" t="n">
        <x:f>IFERROR(J29/J26,0)</x:f>
        <x:v>0.7191690208460714</x:v>
      </x:c>
      <x:c r="K30" s="151" t="n">
        <x:f>IFERROR(K29/K26,0)</x:f>
        <x:v>0.7289445322725621</x:v>
      </x:c>
      <x:c r="L30" s="151" t="n">
        <x:f>IFERROR(L29/L26,0)</x:f>
        <x:v>0.7364591691540423</x:v>
      </x:c>
      <x:c r="M30" s="151" t="n">
        <x:f>IFERROR(M29/M26,0)</x:f>
        <x:v>0.717901781537631</x:v>
      </x:c>
      <x:c r="N30" s="151" t="n">
        <x:f>IFERROR(SUM(B29:M29)/SUM(B26:M26),0)</x:f>
        <x:v>0.7151696771134171</x:v>
      </x:c>
    </x:row>
    <x:row r="31">
      <x:c r="A31" s="11" t="str">
        <x:v>Sales &amp; Marketing</x:v>
      </x:c>
      <x:c r="B31" s="149" t="n">
        <x:f>SUMIFS('Data_Line'!$F$2:$F$529,'Data_Line'!$A$2:$A$529,B$4,'Data_Line'!$B$2:$B$529,"Budget",'Data_Line'!$C$2:$C$529,$A31)/1000000</x:f>
        <x:v>2.678482</x:v>
      </x:c>
      <x:c r="C31" s="149" t="n">
        <x:f>SUMIFS('Data_Line'!$F$2:$F$529,'Data_Line'!$A$2:$A$529,C$4,'Data_Line'!$B$2:$B$529,"Budget",'Data_Line'!$C$2:$C$529,$A31)/1000000</x:f>
        <x:v>2.69986233</x:v>
      </x:c>
      <x:c r="D31" s="149" t="n">
        <x:f>SUMIFS('Data_Line'!$F$2:$F$529,'Data_Line'!$A$2:$A$529,D$4,'Data_Line'!$B$2:$B$529,"Budget",'Data_Line'!$C$2:$C$529,$A31)/1000000</x:f>
        <x:v>2.6886990099999997</x:v>
      </x:c>
      <x:c r="E31" s="149" t="n">
        <x:f>SUMIFS('Data_Line'!$F$2:$F$529,'Data_Line'!$A$2:$A$529,E$4,'Data_Line'!$B$2:$B$529,"Budget",'Data_Line'!$C$2:$C$529,$A31)/1000000</x:f>
        <x:v>2.59042092</x:v>
      </x:c>
      <x:c r="F31" s="149" t="n">
        <x:f>SUMIFS('Data_Line'!$F$2:$F$529,'Data_Line'!$A$2:$A$529,F$4,'Data_Line'!$B$2:$B$529,"Budget",'Data_Line'!$C$2:$C$529,$A31)/1000000</x:f>
        <x:v>2.6243015699999996</x:v>
      </x:c>
      <x:c r="G31" s="149" t="n">
        <x:f>SUMIFS('Data_Line'!$F$2:$F$529,'Data_Line'!$A$2:$A$529,G$4,'Data_Line'!$B$2:$B$529,"Budget",'Data_Line'!$C$2:$C$529,$A31)/1000000</x:f>
        <x:v>2.67086696</x:v>
      </x:c>
      <x:c r="H31" s="149" t="n">
        <x:f>SUMIFS('Data_Line'!$F$2:$F$529,'Data_Line'!$A$2:$A$529,H$4,'Data_Line'!$B$2:$B$529,"Budget",'Data_Line'!$C$2:$C$529,$A31)/1000000</x:f>
        <x:v>2.66411388</x:v>
      </x:c>
      <x:c r="I31" s="149" t="n">
        <x:f>SUMIFS('Data_Line'!$F$2:$F$529,'Data_Line'!$A$2:$A$529,I$4,'Data_Line'!$B$2:$B$529,"Budget",'Data_Line'!$C$2:$C$529,$A31)/1000000</x:f>
        <x:v>2.70945154</x:v>
      </x:c>
      <x:c r="J31" s="149" t="n">
        <x:f>SUMIFS('Data_Line'!$F$2:$F$529,'Data_Line'!$A$2:$A$529,J$4,'Data_Line'!$B$2:$B$529,"Budget",'Data_Line'!$C$2:$C$529,$A31)/1000000</x:f>
        <x:v>2.70199263</x:v>
      </x:c>
      <x:c r="K31" s="149" t="n">
        <x:f>SUMIFS('Data_Line'!$F$2:$F$529,'Data_Line'!$A$2:$A$529,K$4,'Data_Line'!$B$2:$B$529,"Budget",'Data_Line'!$C$2:$C$529,$A31)/1000000</x:f>
        <x:v>2.8989682</x:v>
      </x:c>
      <x:c r="L31" s="149" t="n">
        <x:f>SUMIFS('Data_Line'!$F$2:$F$529,'Data_Line'!$A$2:$A$529,L$4,'Data_Line'!$B$2:$B$529,"Budget",'Data_Line'!$C$2:$C$529,$A31)/1000000</x:f>
        <x:v>2.92335552</x:v>
      </x:c>
      <x:c r="M31" s="149" t="n">
        <x:f>SUMIFS('Data_Line'!$F$2:$F$529,'Data_Line'!$A$2:$A$529,M$4,'Data_Line'!$B$2:$B$529,"Budget",'Data_Line'!$C$2:$C$529,$A31)/1000000</x:f>
        <x:v>2.8870045099999997</x:v>
      </x:c>
      <x:c r="N31" s="146" t="n">
        <x:f>SUM(B31:M31)</x:f>
        <x:v>32.73751907</x:v>
      </x:c>
    </x:row>
    <x:row r="32">
      <x:c r="A32" s="11" t="str">
        <x:v>Research &amp; Development</x:v>
      </x:c>
      <x:c r="B32" s="149" t="n">
        <x:f>SUMIFS('Data_Line'!$F$2:$F$529,'Data_Line'!$A$2:$A$529,B$4,'Data_Line'!$B$2:$B$529,"Budget",'Data_Line'!$C$2:$C$529,$A32)/1000000</x:f>
        <x:v>2.6160296</x:v>
      </x:c>
      <x:c r="C32" s="149" t="n">
        <x:f>SUMIFS('Data_Line'!$F$2:$F$529,'Data_Line'!$A$2:$A$529,C$4,'Data_Line'!$B$2:$B$529,"Budget",'Data_Line'!$C$2:$C$529,$A32)/1000000</x:f>
        <x:v>2.6306966000000003</x:v>
      </x:c>
      <x:c r="D32" s="149" t="n">
        <x:f>SUMIFS('Data_Line'!$F$2:$F$529,'Data_Line'!$A$2:$A$529,D$4,'Data_Line'!$B$2:$B$529,"Budget",'Data_Line'!$C$2:$C$529,$A32)/1000000</x:f>
        <x:v>2.65794691</x:v>
      </x:c>
      <x:c r="E32" s="149" t="n">
        <x:f>SUMIFS('Data_Line'!$F$2:$F$529,'Data_Line'!$A$2:$A$529,E$4,'Data_Line'!$B$2:$B$529,"Budget",'Data_Line'!$C$2:$C$529,$A32)/1000000</x:f>
        <x:v>2.69301022</x:v>
      </x:c>
      <x:c r="F32" s="149" t="n">
        <x:f>SUMIFS('Data_Line'!$F$2:$F$529,'Data_Line'!$A$2:$A$529,F$4,'Data_Line'!$B$2:$B$529,"Budget",'Data_Line'!$C$2:$C$529,$A32)/1000000</x:f>
        <x:v>2.6939770299999997</x:v>
      </x:c>
      <x:c r="G32" s="149" t="n">
        <x:f>SUMIFS('Data_Line'!$F$2:$F$529,'Data_Line'!$A$2:$A$529,G$4,'Data_Line'!$B$2:$B$529,"Budget",'Data_Line'!$C$2:$C$529,$A32)/1000000</x:f>
        <x:v>2.69518798</x:v>
      </x:c>
      <x:c r="H32" s="149" t="n">
        <x:f>SUMIFS('Data_Line'!$F$2:$F$529,'Data_Line'!$A$2:$A$529,H$4,'Data_Line'!$B$2:$B$529,"Budget",'Data_Line'!$C$2:$C$529,$A32)/1000000</x:f>
        <x:v>2.71067233</x:v>
      </x:c>
      <x:c r="I32" s="149" t="n">
        <x:f>SUMIFS('Data_Line'!$F$2:$F$529,'Data_Line'!$A$2:$A$529,I$4,'Data_Line'!$B$2:$B$529,"Budget",'Data_Line'!$C$2:$C$529,$A32)/1000000</x:f>
        <x:v>2.7553471600000004</x:v>
      </x:c>
      <x:c r="J32" s="149" t="n">
        <x:f>SUMIFS('Data_Line'!$F$2:$F$529,'Data_Line'!$A$2:$A$529,J$4,'Data_Line'!$B$2:$B$529,"Budget",'Data_Line'!$C$2:$C$529,$A32)/1000000</x:f>
        <x:v>2.77475868</x:v>
      </x:c>
      <x:c r="K32" s="149" t="n">
        <x:f>SUMIFS('Data_Line'!$F$2:$F$529,'Data_Line'!$A$2:$A$529,K$4,'Data_Line'!$B$2:$B$529,"Budget",'Data_Line'!$C$2:$C$529,$A32)/1000000</x:f>
        <x:v>2.73441937</x:v>
      </x:c>
      <x:c r="L32" s="149" t="n">
        <x:f>SUMIFS('Data_Line'!$F$2:$F$529,'Data_Line'!$A$2:$A$529,L$4,'Data_Line'!$B$2:$B$529,"Budget",'Data_Line'!$C$2:$C$529,$A32)/1000000</x:f>
        <x:v>2.76924667</x:v>
      </x:c>
      <x:c r="M32" s="149" t="n">
        <x:f>SUMIFS('Data_Line'!$F$2:$F$529,'Data_Line'!$A$2:$A$529,M$4,'Data_Line'!$B$2:$B$529,"Budget",'Data_Line'!$C$2:$C$529,$A32)/1000000</x:f>
        <x:v>2.75486379</x:v>
      </x:c>
      <x:c r="N32" s="146" t="n">
        <x:f>SUM(B32:M32)</x:f>
        <x:v>32.48615634</x:v>
      </x:c>
    </x:row>
    <x:row r="33">
      <x:c r="A33" s="11" t="str">
        <x:v>General &amp; Administrative</x:v>
      </x:c>
      <x:c r="B33" s="149" t="n">
        <x:f>SUMIFS('Data_Line'!$F$2:$F$529,'Data_Line'!$A$2:$A$529,B$4,'Data_Line'!$B$2:$B$529,"Budget",'Data_Line'!$C$2:$C$529,$A33)/1000000</x:f>
        <x:v>1.79773304</x:v>
      </x:c>
      <x:c r="C33" s="149" t="n">
        <x:f>SUMIFS('Data_Line'!$F$2:$F$529,'Data_Line'!$A$2:$A$529,C$4,'Data_Line'!$B$2:$B$529,"Budget",'Data_Line'!$C$2:$C$529,$A33)/1000000</x:f>
        <x:v>1.84047109</x:v>
      </x:c>
      <x:c r="D33" s="149" t="n">
        <x:f>SUMIFS('Data_Line'!$F$2:$F$529,'Data_Line'!$A$2:$A$529,D$4,'Data_Line'!$B$2:$B$529,"Budget",'Data_Line'!$C$2:$C$529,$A33)/1000000</x:f>
        <x:v>1.88498268</x:v>
      </x:c>
      <x:c r="E33" s="149" t="n">
        <x:f>SUMIFS('Data_Line'!$F$2:$F$529,'Data_Line'!$A$2:$A$529,E$4,'Data_Line'!$B$2:$B$529,"Budget",'Data_Line'!$C$2:$C$529,$A33)/1000000</x:f>
        <x:v>1.7373428899999999</x:v>
      </x:c>
      <x:c r="F33" s="149" t="n">
        <x:f>SUMIFS('Data_Line'!$F$2:$F$529,'Data_Line'!$A$2:$A$529,F$4,'Data_Line'!$B$2:$B$529,"Budget",'Data_Line'!$C$2:$C$529,$A33)/1000000</x:f>
        <x:v>1.74531496</x:v>
      </x:c>
      <x:c r="G33" s="149" t="n">
        <x:f>SUMIFS('Data_Line'!$F$2:$F$529,'Data_Line'!$A$2:$A$529,G$4,'Data_Line'!$B$2:$B$529,"Budget",'Data_Line'!$C$2:$C$529,$A33)/1000000</x:f>
        <x:v>1.8206513500000001</x:v>
      </x:c>
      <x:c r="H33" s="149" t="n">
        <x:f>SUMIFS('Data_Line'!$F$2:$F$529,'Data_Line'!$A$2:$A$529,H$4,'Data_Line'!$B$2:$B$529,"Budget",'Data_Line'!$C$2:$C$529,$A33)/1000000</x:f>
        <x:v>1.78292051</x:v>
      </x:c>
      <x:c r="I33" s="149" t="n">
        <x:f>SUMIFS('Data_Line'!$F$2:$F$529,'Data_Line'!$A$2:$A$529,I$4,'Data_Line'!$B$2:$B$529,"Budget",'Data_Line'!$C$2:$C$529,$A33)/1000000</x:f>
        <x:v>1.82489277</x:v>
      </x:c>
      <x:c r="J33" s="149" t="n">
        <x:f>SUMIFS('Data_Line'!$F$2:$F$529,'Data_Line'!$A$2:$A$529,J$4,'Data_Line'!$B$2:$B$529,"Budget",'Data_Line'!$C$2:$C$529,$A33)/1000000</x:f>
        <x:v>1.8003926200000002</x:v>
      </x:c>
      <x:c r="K33" s="149" t="n">
        <x:f>SUMIFS('Data_Line'!$F$2:$F$529,'Data_Line'!$A$2:$A$529,K$4,'Data_Line'!$B$2:$B$529,"Budget",'Data_Line'!$C$2:$C$529,$A33)/1000000</x:f>
        <x:v>1.8248713799999998</x:v>
      </x:c>
      <x:c r="L33" s="149" t="n">
        <x:f>SUMIFS('Data_Line'!$F$2:$F$529,'Data_Line'!$A$2:$A$529,L$4,'Data_Line'!$B$2:$B$529,"Budget",'Data_Line'!$C$2:$C$529,$A33)/1000000</x:f>
        <x:v>1.83355239</x:v>
      </x:c>
      <x:c r="M33" s="149" t="n">
        <x:f>SUMIFS('Data_Line'!$F$2:$F$529,'Data_Line'!$A$2:$A$529,M$4,'Data_Line'!$B$2:$B$529,"Budget",'Data_Line'!$C$2:$C$529,$A33)/1000000</x:f>
        <x:v>1.78893039</x:v>
      </x:c>
      <x:c r="N33" s="146" t="n">
        <x:f>SUM(B33:M33)</x:f>
        <x:v>21.682056070000005</x:v>
      </x:c>
    </x:row>
    <x:row r="34">
      <x:c r="A34" s="157" t="str">
        <x:v>Adjusted EBITDA</x:v>
      </x:c>
      <x:c r="B34" s="158" t="n">
        <x:f>B29-SUM(B31:B33)</x:f>
        <x:v>1.5788211600000013</x:v>
      </x:c>
      <x:c r="C34" s="158" t="n">
        <x:f>C29-SUM(C31:C33)</x:f>
        <x:v>1.768861929999999</x:v>
      </x:c>
      <x:c r="D34" s="158" t="n">
        <x:f>D29-SUM(D31:D33)</x:f>
        <x:v>1.53899732</x:v>
      </x:c>
      <x:c r="E34" s="158" t="n">
        <x:f>E29-SUM(E31:E33)</x:f>
        <x:v>1.4773023100000007</x:v>
      </x:c>
      <x:c r="F34" s="158" t="n">
        <x:f>F29-SUM(F31:F33)</x:f>
        <x:v>1.377158979999999</x:v>
      </x:c>
      <x:c r="G34" s="158" t="n">
        <x:f>G29-SUM(G31:G33)</x:f>
        <x:v>1.61882735</x:v>
      </x:c>
      <x:c r="H34" s="158" t="n">
        <x:f>H29-SUM(H31:H33)</x:f>
        <x:v>1.6957607500000016</x:v>
      </x:c>
      <x:c r="I34" s="158" t="n">
        <x:f>I29-SUM(I31:I33)</x:f>
        <x:v>1.99257827</x:v>
      </x:c>
      <x:c r="J34" s="158" t="n">
        <x:f>J29-SUM(J31:J33)</x:f>
        <x:v>2.16946554</x:v>
      </x:c>
      <x:c r="K34" s="158" t="n">
        <x:f>K29-SUM(K31:K33)</x:f>
        <x:v>2.575965610000001</x:v>
      </x:c>
      <x:c r="L34" s="158" t="n">
        <x:f>L29-SUM(L31:L33)</x:f>
        <x:v>2.7927909900000003</x:v>
      </x:c>
      <x:c r="M34" s="158" t="n">
        <x:f>M29-SUM(M31:M33)</x:f>
        <x:v>1.9975977399999998</x:v>
      </x:c>
      <x:c r="N34" s="158" t="n">
        <x:f>SUM(B34:M34)</x:f>
        <x:v>22.584127950000003</x:v>
      </x:c>
    </x:row>
    <x:row r="35">
      <x:c r="A35" s="11" t="str">
        <x:v>Adjusted EBITDA Margin</x:v>
      </x:c>
      <x:c r="B35" s="151" t="n">
        <x:f>IFERROR(B34/B26,0)</x:f>
        <x:v>0.1288350799740304</x:v>
      </x:c>
      <x:c r="C35" s="151" t="n">
        <x:f>IFERROR(C34/C26,0)</x:f>
        <x:v>0.14051218680107547</x:v>
      </x:c>
      <x:c r="D35" s="151" t="n">
        <x:f>IFERROR(D34/D26,0)</x:f>
        <x:v>0.1245239235382034</x:v>
      </x:c>
      <x:c r="E35" s="151" t="n">
        <x:f>IFERROR(E34/E26,0)</x:f>
        <x:v>0.12260575193084633</x:v>
      </x:c>
      <x:c r="F35" s="151" t="n">
        <x:f>IFERROR(F34/F26,0)</x:f>
        <x:v>0.1148820600299616</x:v>
      </x:c>
      <x:c r="G35" s="151" t="n">
        <x:f>IFERROR(G34/G26,0)</x:f>
        <x:v>0.1306357278350628</x:v>
      </x:c>
      <x:c r="H35" s="151" t="n">
        <x:f>IFERROR(H34/H26,0)</x:f>
        <x:v>0.13596987111176304</x:v>
      </x:c>
      <x:c r="I35" s="151" t="n">
        <x:f>IFERROR(I34/I26,0)</x:f>
        <x:v>0.1538906079937767</x:v>
      </x:c>
      <x:c r="J35" s="151" t="n">
        <x:f>IFERROR(J34/J26,0)</x:f>
        <x:v>0.165161099663951</x:v>
      </x:c>
      <x:c r="K35" s="151" t="n">
        <x:f>IFERROR(K34/K26,0)</x:f>
        <x:v>0.18713314970216846</x:v>
      </x:c>
      <x:c r="L35" s="151" t="n">
        <x:f>IFERROR(L34/L26,0)</x:f>
        <x:v>0.19932041681622084</x:v>
      </x:c>
      <x:c r="M35" s="151" t="n">
        <x:f>IFERROR(M34/M26,0)</x:f>
        <x:v>0.15210210845382804</x:v>
      </x:c>
      <x:c r="N35" s="151" t="n">
        <x:f>IFERROR(SUM(B34:M34)/SUM(B26:M26),0)</x:f>
        <x:v>0.14751579349880986</x:v>
      </x:c>
    </x:row>
    <x:row r="36">
      <x:c r="A36" s="11" t="str">
        <x:v>Depreciation &amp; Amortization</x:v>
      </x:c>
      <x:c r="B36" s="149" t="n">
        <x:f>SUMIFS('Data_Line'!$F$2:$F$529,'Data_Line'!$A$2:$A$529,B$4,'Data_Line'!$B$2:$B$529,"Budget",'Data_Line'!$C$2:$C$529,$A36)/1000000</x:f>
        <x:v>0.2069759</x:v>
      </x:c>
      <x:c r="C36" s="149" t="n">
        <x:f>SUMIFS('Data_Line'!$F$2:$F$529,'Data_Line'!$A$2:$A$529,C$4,'Data_Line'!$B$2:$B$529,"Budget",'Data_Line'!$C$2:$C$529,$A36)/1000000</x:f>
        <x:v>0.21272453</x:v>
      </x:c>
      <x:c r="D36" s="149" t="n">
        <x:f>SUMIFS('Data_Line'!$F$2:$F$529,'Data_Line'!$A$2:$A$529,D$4,'Data_Line'!$B$2:$B$529,"Budget",'Data_Line'!$C$2:$C$529,$A36)/1000000</x:f>
        <x:v>0.20868306</x:v>
      </x:c>
      <x:c r="E36" s="149" t="n">
        <x:f>SUMIFS('Data_Line'!$F$2:$F$529,'Data_Line'!$A$2:$A$529,E$4,'Data_Line'!$B$2:$B$529,"Budget",'Data_Line'!$C$2:$C$529,$A36)/1000000</x:f>
        <x:v>0.20323884</x:v>
      </x:c>
      <x:c r="F36" s="149" t="n">
        <x:f>SUMIFS('Data_Line'!$F$2:$F$529,'Data_Line'!$A$2:$A$529,F$4,'Data_Line'!$B$2:$B$529,"Budget",'Data_Line'!$C$2:$C$529,$A36)/1000000</x:f>
        <x:v>0.20203532999999999</x:v>
      </x:c>
      <x:c r="G36" s="149" t="n">
        <x:f>SUMIFS('Data_Line'!$F$2:$F$529,'Data_Line'!$A$2:$A$529,G$4,'Data_Line'!$B$2:$B$529,"Budget",'Data_Line'!$C$2:$C$529,$A36)/1000000</x:f>
        <x:v>0.20889097</x:v>
      </x:c>
      <x:c r="H36" s="149" t="n">
        <x:f>SUMIFS('Data_Line'!$F$2:$F$529,'Data_Line'!$A$2:$A$529,H$4,'Data_Line'!$B$2:$B$529,"Budget",'Data_Line'!$C$2:$C$529,$A36)/1000000</x:f>
        <x:v>0.21018769</x:v>
      </x:c>
      <x:c r="I36" s="149" t="n">
        <x:f>SUMIFS('Data_Line'!$F$2:$F$529,'Data_Line'!$A$2:$A$529,I$4,'Data_Line'!$B$2:$B$529,"Budget",'Data_Line'!$C$2:$C$529,$A36)/1000000</x:f>
        <x:v>0.21840083999999998</x:v>
      </x:c>
      <x:c r="J36" s="149" t="n">
        <x:f>SUMIFS('Data_Line'!$F$2:$F$529,'Data_Line'!$A$2:$A$529,J$4,'Data_Line'!$B$2:$B$529,"Budget",'Data_Line'!$C$2:$C$529,$A36)/1000000</x:f>
        <x:v>0.22157512</x:v>
      </x:c>
      <x:c r="K36" s="149" t="n">
        <x:f>SUMIFS('Data_Line'!$F$2:$F$529,'Data_Line'!$A$2:$A$529,K$4,'Data_Line'!$B$2:$B$529,"Budget",'Data_Line'!$C$2:$C$529,$A36)/1000000</x:f>
        <x:v>0.23246535000000002</x:v>
      </x:c>
      <x:c r="L36" s="149" t="n">
        <x:f>SUMIFS('Data_Line'!$F$2:$F$529,'Data_Line'!$A$2:$A$529,L$4,'Data_Line'!$B$2:$B$529,"Budget",'Data_Line'!$C$2:$C$529,$A36)/1000000</x:f>
        <x:v>0.23672721</x:v>
      </x:c>
      <x:c r="M36" s="149" t="n">
        <x:f>SUMIFS('Data_Line'!$F$2:$F$529,'Data_Line'!$A$2:$A$529,M$4,'Data_Line'!$B$2:$B$529,"Budget",'Data_Line'!$C$2:$C$529,$A36)/1000000</x:f>
        <x:v>0.22143034</x:v>
      </x:c>
      <x:c r="N36" s="146" t="n">
        <x:f>SUM(B36:M36)</x:f>
        <x:v>2.5833351799999997</x:v>
      </x:c>
    </x:row>
    <x:row r="37">
      <x:c r="A37" s="157" t="str">
        <x:v>Operating Income</x:v>
      </x:c>
      <x:c r="B37" s="158" t="n">
        <x:f>B34-B36</x:f>
        <x:v>1.3718452600000013</x:v>
      </x:c>
      <x:c r="C37" s="158" t="n">
        <x:f>C34-C36</x:f>
        <x:v>1.556137399999999</x:v>
      </x:c>
      <x:c r="D37" s="158" t="n">
        <x:f>D34-D36</x:f>
        <x:v>1.33031426</x:v>
      </x:c>
      <x:c r="E37" s="158" t="n">
        <x:f>E34-E36</x:f>
        <x:v>1.2740634700000006</x:v>
      </x:c>
      <x:c r="F37" s="158" t="n">
        <x:f>F34-F36</x:f>
        <x:v>1.175123649999999</x:v>
      </x:c>
      <x:c r="G37" s="158" t="n">
        <x:f>G34-G36</x:f>
        <x:v>1.40993638</x:v>
      </x:c>
      <x:c r="H37" s="158" t="n">
        <x:f>H34-H36</x:f>
        <x:v>1.4855730600000017</x:v>
      </x:c>
      <x:c r="I37" s="158" t="n">
        <x:f>I34-I36</x:f>
        <x:v>1.7741774300000002</x:v>
      </x:c>
      <x:c r="J37" s="158" t="n">
        <x:f>J34-J36</x:f>
        <x:v>1.94789042</x:v>
      </x:c>
      <x:c r="K37" s="158" t="n">
        <x:f>K34-K36</x:f>
        <x:v>2.343500260000001</x:v>
      </x:c>
      <x:c r="L37" s="158" t="n">
        <x:f>L34-L36</x:f>
        <x:v>2.55606378</x:v>
      </x:c>
      <x:c r="M37" s="158" t="n">
        <x:f>M34-M36</x:f>
        <x:v>1.7761673999999998</x:v>
      </x:c>
      <x:c r="N37" s="158" t="n">
        <x:f>SUM(B37:M37)</x:f>
        <x:v>20.00079277</x:v>
      </x:c>
    </x:row>
    <x:row r="38">
      <x:c r="A38" s="11"/>
      <x:c r="B38" s="11"/>
      <x:c r="C38" s="11"/>
      <x:c r="D38" s="11"/>
      <x:c r="E38" s="11"/>
      <x:c r="F38" s="11"/>
      <x:c r="G38" s="11"/>
      <x:c r="H38" s="11"/>
      <x:c r="I38" s="11"/>
      <x:c r="J38" s="11"/>
      <x:c r="K38" s="11"/>
      <x:c r="L38" s="11"/>
      <x:c r="M38" s="11"/>
      <x:c r="N38" s="11"/>
    </x:row>
    <x:row r="39">
      <x:c r="A39" s="11"/>
      <x:c r="B39" s="11"/>
      <x:c r="C39" s="11"/>
      <x:c r="D39" s="11"/>
      <x:c r="E39" s="11"/>
      <x:c r="F39" s="11"/>
      <x:c r="G39" s="11"/>
      <x:c r="H39" s="11"/>
      <x:c r="I39" s="11"/>
      <x:c r="J39" s="11"/>
      <x:c r="K39" s="11"/>
      <x:c r="L39" s="11"/>
      <x:c r="M39" s="11"/>
      <x:c r="N39" s="11"/>
    </x:row>
    <x:row r="40">
      <x:c r="A40" s="112" t="str">
        <x:v>Q2 Forecast</x:v>
      </x:c>
      <x:c r="B40" s="112" t="str">
        <x:v>Q2 Forecast</x:v>
      </x:c>
      <x:c r="C40" s="112" t="str">
        <x:v>Q2 Forecast</x:v>
      </x:c>
      <x:c r="D40" s="112" t="str">
        <x:v>Q2 Forecast</x:v>
      </x:c>
      <x:c r="E40" s="112" t="str">
        <x:v>Q2 Forecast</x:v>
      </x:c>
      <x:c r="F40" s="112" t="str">
        <x:v>Q2 Forecast</x:v>
      </x:c>
      <x:c r="G40" s="112" t="str">
        <x:v>Q2 Forecast</x:v>
      </x:c>
      <x:c r="H40" s="112" t="str">
        <x:v>Q2 Forecast</x:v>
      </x:c>
      <x:c r="I40" s="112" t="str">
        <x:v>Q2 Forecast</x:v>
      </x:c>
      <x:c r="J40" s="112" t="str">
        <x:v>Q2 Forecast</x:v>
      </x:c>
      <x:c r="K40" s="112" t="str">
        <x:v>Q2 Forecast</x:v>
      </x:c>
      <x:c r="L40" s="112" t="str">
        <x:v>Q2 Forecast</x:v>
      </x:c>
      <x:c r="M40" s="112" t="str">
        <x:v>Q2 Forecast</x:v>
      </x:c>
      <x:c r="N40" s="112" t="str">
        <x:v>Q2 Forecast</x:v>
      </x:c>
    </x:row>
    <x:row r="41">
      <x:c r="A41" s="11" t="str">
        <x:v>Subscription Revenue</x:v>
      </x:c>
      <x:c r="B41" s="149" t="n">
        <x:f>SUMIFS('Data_Line'!$F$2:$F$529,'Data_Line'!$A$2:$A$529,B$4,'Data_Line'!$B$2:$B$529,"Q2 Forecast",'Data_Line'!$C$2:$C$529,$A41)/1000000</x:f>
        <x:v>9.72359824</x:v>
      </x:c>
      <x:c r="C41" s="149" t="n">
        <x:f>SUMIFS('Data_Line'!$F$2:$F$529,'Data_Line'!$A$2:$A$529,C$4,'Data_Line'!$B$2:$B$529,"Q2 Forecast",'Data_Line'!$C$2:$C$529,$A41)/1000000</x:f>
        <x:v>9.8723495</x:v>
      </x:c>
      <x:c r="D41" s="149" t="n">
        <x:f>SUMIFS('Data_Line'!$F$2:$F$529,'Data_Line'!$A$2:$A$529,D$4,'Data_Line'!$B$2:$B$529,"Q2 Forecast",'Data_Line'!$C$2:$C$529,$A41)/1000000</x:f>
        <x:v>9.961728130000001</x:v>
      </x:c>
      <x:c r="E41" s="149" t="n">
        <x:f>SUMIFS('Data_Line'!$F$2:$F$529,'Data_Line'!$A$2:$A$529,E$4,'Data_Line'!$B$2:$B$529,"Q2 Forecast",'Data_Line'!$C$2:$C$529,$A41)/1000000</x:f>
        <x:v>9.869587730000001</x:v>
      </x:c>
      <x:c r="F41" s="149" t="n">
        <x:f>SUMIFS('Data_Line'!$F$2:$F$529,'Data_Line'!$A$2:$A$529,F$4,'Data_Line'!$B$2:$B$529,"Q2 Forecast",'Data_Line'!$C$2:$C$529,$A41)/1000000</x:f>
        <x:v>9.862711130000001</x:v>
      </x:c>
      <x:c r="G41" s="149" t="n">
        <x:f>SUMIFS('Data_Line'!$F$2:$F$529,'Data_Line'!$A$2:$A$529,G$4,'Data_Line'!$B$2:$B$529,"Q2 Forecast",'Data_Line'!$C$2:$C$529,$A41)/1000000</x:f>
        <x:v>9.87605254</x:v>
      </x:c>
      <x:c r="H41" s="149" t="n">
        <x:f>SUMIFS('Data_Line'!$F$2:$F$529,'Data_Line'!$A$2:$A$529,H$4,'Data_Line'!$B$2:$B$529,"Q2 Forecast",'Data_Line'!$C$2:$C$529,$A41)/1000000</x:f>
        <x:v>10.42034838</x:v>
      </x:c>
      <x:c r="I41" s="149" t="n">
        <x:f>SUMIFS('Data_Line'!$F$2:$F$529,'Data_Line'!$A$2:$A$529,I$4,'Data_Line'!$B$2:$B$529,"Q2 Forecast",'Data_Line'!$C$2:$C$529,$A41)/1000000</x:f>
        <x:v>10.5202666</x:v>
      </x:c>
      <x:c r="J41" s="149" t="n">
        <x:f>SUMIFS('Data_Line'!$F$2:$F$529,'Data_Line'!$A$2:$A$529,J$4,'Data_Line'!$B$2:$B$529,"Q2 Forecast",'Data_Line'!$C$2:$C$529,$A41)/1000000</x:f>
        <x:v>10.651899519999999</x:v>
      </x:c>
      <x:c r="K41" s="149" t="n">
        <x:f>SUMIFS('Data_Line'!$F$2:$F$529,'Data_Line'!$A$2:$A$529,K$4,'Data_Line'!$B$2:$B$529,"Q2 Forecast",'Data_Line'!$C$2:$C$529,$A41)/1000000</x:f>
        <x:v>10.73504683</x:v>
      </x:c>
      <x:c r="L41" s="149" t="n">
        <x:f>SUMIFS('Data_Line'!$F$2:$F$529,'Data_Line'!$A$2:$A$529,L$4,'Data_Line'!$B$2:$B$529,"Q2 Forecast",'Data_Line'!$C$2:$C$529,$A41)/1000000</x:f>
        <x:v>10.7567287</x:v>
      </x:c>
      <x:c r="M41" s="149" t="n">
        <x:f>SUMIFS('Data_Line'!$F$2:$F$529,'Data_Line'!$A$2:$A$529,M$4,'Data_Line'!$B$2:$B$529,"Q2 Forecast",'Data_Line'!$C$2:$C$529,$A41)/1000000</x:f>
        <x:v>10.82524326</x:v>
      </x:c>
      <x:c r="N41" s="146" t="n">
        <x:f>SUM(B41:M41)</x:f>
        <x:v>123.07556056000001</x:v>
      </x:c>
    </x:row>
    <x:row r="42">
      <x:c r="A42" s="11" t="str">
        <x:v>Professional Services Revenue</x:v>
      </x:c>
      <x:c r="B42" s="149" t="n">
        <x:f>SUMIFS('Data_Line'!$F$2:$F$529,'Data_Line'!$A$2:$A$529,B$4,'Data_Line'!$B$2:$B$529,"Q2 Forecast",'Data_Line'!$C$2:$C$529,$A42)/1000000</x:f>
        <x:v>1.66859253</x:v>
      </x:c>
      <x:c r="C42" s="149" t="n">
        <x:f>SUMIFS('Data_Line'!$F$2:$F$529,'Data_Line'!$A$2:$A$529,C$4,'Data_Line'!$B$2:$B$529,"Q2 Forecast",'Data_Line'!$C$2:$C$529,$A42)/1000000</x:f>
        <x:v>1.8210568200000001</x:v>
      </x:c>
      <x:c r="D42" s="149" t="n">
        <x:f>SUMIFS('Data_Line'!$F$2:$F$529,'Data_Line'!$A$2:$A$529,D$4,'Data_Line'!$B$2:$B$529,"Q2 Forecast",'Data_Line'!$C$2:$C$529,$A42)/1000000</x:f>
        <x:v>1.6372038100000001</x:v>
      </x:c>
      <x:c r="E42" s="149" t="n">
        <x:f>SUMIFS('Data_Line'!$F$2:$F$529,'Data_Line'!$A$2:$A$529,E$4,'Data_Line'!$B$2:$B$529,"Q2 Forecast",'Data_Line'!$C$2:$C$529,$A42)/1000000</x:f>
        <x:v>1.65005573</x:v>
      </x:c>
      <x:c r="F42" s="149" t="n">
        <x:f>SUMIFS('Data_Line'!$F$2:$F$529,'Data_Line'!$A$2:$A$529,F$4,'Data_Line'!$B$2:$B$529,"Q2 Forecast",'Data_Line'!$C$2:$C$529,$A42)/1000000</x:f>
        <x:v>1.97403018</x:v>
      </x:c>
      <x:c r="G42" s="149" t="n">
        <x:f>SUMIFS('Data_Line'!$F$2:$F$529,'Data_Line'!$A$2:$A$529,G$4,'Data_Line'!$B$2:$B$529,"Q2 Forecast",'Data_Line'!$C$2:$C$529,$A42)/1000000</x:f>
        <x:v>1.64906086</x:v>
      </x:c>
      <x:c r="H42" s="149" t="n">
        <x:f>SUMIFS('Data_Line'!$F$2:$F$529,'Data_Line'!$A$2:$A$529,H$4,'Data_Line'!$B$2:$B$529,"Q2 Forecast",'Data_Line'!$C$2:$C$529,$A42)/1000000</x:f>
        <x:v>1.4354137900000001</x:v>
      </x:c>
      <x:c r="I42" s="149" t="n">
        <x:f>SUMIFS('Data_Line'!$F$2:$F$529,'Data_Line'!$A$2:$A$529,I$4,'Data_Line'!$B$2:$B$529,"Q2 Forecast",'Data_Line'!$C$2:$C$529,$A42)/1000000</x:f>
        <x:v>1.78004706</x:v>
      </x:c>
      <x:c r="J42" s="149" t="n">
        <x:f>SUMIFS('Data_Line'!$F$2:$F$529,'Data_Line'!$A$2:$A$529,J$4,'Data_Line'!$B$2:$B$529,"Q2 Forecast",'Data_Line'!$C$2:$C$529,$A42)/1000000</x:f>
        <x:v>1.8230992099999999</x:v>
      </x:c>
      <x:c r="K42" s="149" t="n">
        <x:f>SUMIFS('Data_Line'!$F$2:$F$529,'Data_Line'!$A$2:$A$529,K$4,'Data_Line'!$B$2:$B$529,"Q2 Forecast",'Data_Line'!$C$2:$C$529,$A42)/1000000</x:f>
        <x:v>2.32256672</x:v>
      </x:c>
      <x:c r="L42" s="149" t="n">
        <x:f>SUMIFS('Data_Line'!$F$2:$F$529,'Data_Line'!$A$2:$A$529,L$4,'Data_Line'!$B$2:$B$529,"Q2 Forecast",'Data_Line'!$C$2:$C$529,$A42)/1000000</x:f>
        <x:v>2.5281368300000002</x:v>
      </x:c>
      <x:c r="M42" s="149" t="n">
        <x:f>SUMIFS('Data_Line'!$F$2:$F$529,'Data_Line'!$A$2:$A$529,M$4,'Data_Line'!$B$2:$B$529,"Q2 Forecast",'Data_Line'!$C$2:$C$529,$A42)/1000000</x:f>
        <x:v>1.65409988</x:v>
      </x:c>
      <x:c r="N42" s="146" t="n">
        <x:f>SUM(B42:M42)</x:f>
        <x:v>21.943363420000004</x:v>
      </x:c>
    </x:row>
    <x:row r="43">
      <x:c r="A43" s="157" t="str">
        <x:v>Total Revenue</x:v>
      </x:c>
      <x:c r="B43" s="158" t="n">
        <x:f>SUM(B41:B42)</x:f>
        <x:v>11.39219077</x:v>
      </x:c>
      <x:c r="C43" s="158" t="n">
        <x:f>SUM(C41:C42)</x:f>
        <x:v>11.693406320000001</x:v>
      </x:c>
      <x:c r="D43" s="158" t="n">
        <x:f>SUM(D41:D42)</x:f>
        <x:v>11.598931940000002</x:v>
      </x:c>
      <x:c r="E43" s="158" t="n">
        <x:f>SUM(E41:E42)</x:f>
        <x:v>11.519643460000001</x:v>
      </x:c>
      <x:c r="F43" s="158" t="n">
        <x:f>SUM(F41:F42)</x:f>
        <x:v>11.83674131</x:v>
      </x:c>
      <x:c r="G43" s="158" t="n">
        <x:f>SUM(G41:G42)</x:f>
        <x:v>11.5251134</x:v>
      </x:c>
      <x:c r="H43" s="158" t="n">
        <x:f>SUM(H41:H42)</x:f>
        <x:v>11.85576217</x:v>
      </x:c>
      <x:c r="I43" s="158" t="n">
        <x:f>SUM(I41:I42)</x:f>
        <x:v>12.300313659999999</x:v>
      </x:c>
      <x:c r="J43" s="158" t="n">
        <x:f>SUM(J41:J42)</x:f>
        <x:v>12.47499873</x:v>
      </x:c>
      <x:c r="K43" s="158" t="n">
        <x:f>SUM(K41:K42)</x:f>
        <x:v>13.05761355</x:v>
      </x:c>
      <x:c r="L43" s="158" t="n">
        <x:f>SUM(L41:L42)</x:f>
        <x:v>13.284865530000001</x:v>
      </x:c>
      <x:c r="M43" s="158" t="n">
        <x:f>SUM(M41:M42)</x:f>
        <x:v>12.479343140000001</x:v>
      </x:c>
      <x:c r="N43" s="158" t="n">
        <x:f>SUM(B43:M43)</x:f>
        <x:v>145.01892398</x:v>
      </x:c>
    </x:row>
    <x:row r="44">
      <x:c r="A44" s="11" t="str">
        <x:v>Cost of Subscription</x:v>
      </x:c>
      <x:c r="B44" s="149" t="n">
        <x:f>SUMIFS('Data_Line'!$F$2:$F$529,'Data_Line'!$A$2:$A$529,B$4,'Data_Line'!$B$2:$B$529,"Q2 Forecast",'Data_Line'!$C$2:$C$529,$A44)/1000000</x:f>
        <x:v>2.26975503</x:v>
      </x:c>
      <x:c r="C44" s="149" t="n">
        <x:f>SUMIFS('Data_Line'!$F$2:$F$529,'Data_Line'!$A$2:$A$529,C$4,'Data_Line'!$B$2:$B$529,"Q2 Forecast",'Data_Line'!$C$2:$C$529,$A44)/1000000</x:f>
        <x:v>2.29533631</x:v>
      </x:c>
      <x:c r="D44" s="149" t="n">
        <x:f>SUMIFS('Data_Line'!$F$2:$F$529,'Data_Line'!$A$2:$A$529,D$4,'Data_Line'!$B$2:$B$529,"Q2 Forecast",'Data_Line'!$C$2:$C$529,$A44)/1000000</x:f>
        <x:v>2.3231792400000004</x:v>
      </x:c>
      <x:c r="E44" s="149" t="n">
        <x:f>SUMIFS('Data_Line'!$F$2:$F$529,'Data_Line'!$A$2:$A$529,E$4,'Data_Line'!$B$2:$B$529,"Q2 Forecast",'Data_Line'!$C$2:$C$529,$A44)/1000000</x:f>
        <x:v>2.28525393</x:v>
      </x:c>
      <x:c r="F44" s="149" t="n">
        <x:f>SUMIFS('Data_Line'!$F$2:$F$529,'Data_Line'!$A$2:$A$529,F$4,'Data_Line'!$B$2:$B$529,"Q2 Forecast",'Data_Line'!$C$2:$C$529,$A44)/1000000</x:f>
        <x:v>2.20505297</x:v>
      </x:c>
      <x:c r="G44" s="149" t="n">
        <x:f>SUMIFS('Data_Line'!$F$2:$F$529,'Data_Line'!$A$2:$A$529,G$4,'Data_Line'!$B$2:$B$529,"Q2 Forecast",'Data_Line'!$C$2:$C$529,$A44)/1000000</x:f>
        <x:v>2.19395909</x:v>
      </x:c>
      <x:c r="H44" s="149" t="n">
        <x:f>SUMIFS('Data_Line'!$F$2:$F$529,'Data_Line'!$A$2:$A$529,H$4,'Data_Line'!$B$2:$B$529,"Q2 Forecast",'Data_Line'!$C$2:$C$529,$A44)/1000000</x:f>
        <x:v>2.21291965</x:v>
      </x:c>
      <x:c r="I44" s="149" t="n">
        <x:f>SUMIFS('Data_Line'!$F$2:$F$529,'Data_Line'!$A$2:$A$529,I$4,'Data_Line'!$B$2:$B$529,"Q2 Forecast",'Data_Line'!$C$2:$C$529,$A44)/1000000</x:f>
        <x:v>2.25170257</x:v>
      </x:c>
      <x:c r="J44" s="149" t="n">
        <x:f>SUMIFS('Data_Line'!$F$2:$F$529,'Data_Line'!$A$2:$A$529,J$4,'Data_Line'!$B$2:$B$529,"Q2 Forecast",'Data_Line'!$C$2:$C$529,$A44)/1000000</x:f>
        <x:v>2.2579130899999997</x:v>
      </x:c>
      <x:c r="K44" s="149" t="n">
        <x:f>SUMIFS('Data_Line'!$F$2:$F$529,'Data_Line'!$A$2:$A$529,K$4,'Data_Line'!$B$2:$B$529,"Q2 Forecast",'Data_Line'!$C$2:$C$529,$A44)/1000000</x:f>
        <x:v>2.27723792</x:v>
      </x:c>
      <x:c r="L44" s="149" t="n">
        <x:f>SUMIFS('Data_Line'!$F$2:$F$529,'Data_Line'!$A$2:$A$529,L$4,'Data_Line'!$B$2:$B$529,"Q2 Forecast",'Data_Line'!$C$2:$C$529,$A44)/1000000</x:f>
        <x:v>2.2712014</x:v>
      </x:c>
      <x:c r="M44" s="149" t="n">
        <x:f>SUMIFS('Data_Line'!$F$2:$F$529,'Data_Line'!$A$2:$A$529,M$4,'Data_Line'!$B$2:$B$529,"Q2 Forecast",'Data_Line'!$C$2:$C$529,$A44)/1000000</x:f>
        <x:v>2.30826283</x:v>
      </x:c>
      <x:c r="N44" s="146" t="n">
        <x:f>SUM(B44:M44)</x:f>
        <x:v>27.15177403</x:v>
      </x:c>
    </x:row>
    <x:row r="45">
      <x:c r="A45" s="11" t="str">
        <x:v>Cost of Services</x:v>
      </x:c>
      <x:c r="B45" s="149" t="n">
        <x:f>SUMIFS('Data_Line'!$F$2:$F$529,'Data_Line'!$A$2:$A$529,B$4,'Data_Line'!$B$2:$B$529,"Q2 Forecast",'Data_Line'!$C$2:$C$529,$A45)/1000000</x:f>
        <x:v>1.2288118000000001</x:v>
      </x:c>
      <x:c r="C45" s="149" t="n">
        <x:f>SUMIFS('Data_Line'!$F$2:$F$529,'Data_Line'!$A$2:$A$529,C$4,'Data_Line'!$B$2:$B$529,"Q2 Forecast",'Data_Line'!$C$2:$C$529,$A45)/1000000</x:f>
        <x:v>1.2270888</x:v>
      </x:c>
      <x:c r="D45" s="149" t="n">
        <x:f>SUMIFS('Data_Line'!$F$2:$F$529,'Data_Line'!$A$2:$A$529,D$4,'Data_Line'!$B$2:$B$529,"Q2 Forecast",'Data_Line'!$C$2:$C$529,$A45)/1000000</x:f>
        <x:v>1.19837777</x:v>
      </x:c>
      <x:c r="E45" s="149" t="n">
        <x:f>SUMIFS('Data_Line'!$F$2:$F$529,'Data_Line'!$A$2:$A$529,E$4,'Data_Line'!$B$2:$B$529,"Q2 Forecast",'Data_Line'!$C$2:$C$529,$A45)/1000000</x:f>
        <x:v>1.20463187</x:v>
      </x:c>
      <x:c r="F45" s="149" t="n">
        <x:f>SUMIFS('Data_Line'!$F$2:$F$529,'Data_Line'!$A$2:$A$529,F$4,'Data_Line'!$B$2:$B$529,"Q2 Forecast",'Data_Line'!$C$2:$C$529,$A45)/1000000</x:f>
        <x:v>1.24022952</x:v>
      </x:c>
      <x:c r="G45" s="149" t="n">
        <x:f>SUMIFS('Data_Line'!$F$2:$F$529,'Data_Line'!$A$2:$A$529,G$4,'Data_Line'!$B$2:$B$529,"Q2 Forecast",'Data_Line'!$C$2:$C$529,$A45)/1000000</x:f>
        <x:v>1.21025841</x:v>
      </x:c>
      <x:c r="H45" s="149" t="n">
        <x:f>SUMIFS('Data_Line'!$F$2:$F$529,'Data_Line'!$A$2:$A$529,H$4,'Data_Line'!$B$2:$B$529,"Q2 Forecast",'Data_Line'!$C$2:$C$529,$A45)/1000000</x:f>
        <x:v>1.23599797</x:v>
      </x:c>
      <x:c r="I45" s="149" t="n">
        <x:f>SUMIFS('Data_Line'!$F$2:$F$529,'Data_Line'!$A$2:$A$529,I$4,'Data_Line'!$B$2:$B$529,"Q2 Forecast",'Data_Line'!$C$2:$C$529,$A45)/1000000</x:f>
        <x:v>1.2423203999999999</x:v>
      </x:c>
      <x:c r="J45" s="149" t="n">
        <x:f>SUMIFS('Data_Line'!$F$2:$F$529,'Data_Line'!$A$2:$A$529,J$4,'Data_Line'!$B$2:$B$529,"Q2 Forecast",'Data_Line'!$C$2:$C$529,$A45)/1000000</x:f>
        <x:v>1.25837207</x:v>
      </x:c>
      <x:c r="K45" s="149" t="n">
        <x:f>SUMIFS('Data_Line'!$F$2:$F$529,'Data_Line'!$A$2:$A$529,K$4,'Data_Line'!$B$2:$B$529,"Q2 Forecast",'Data_Line'!$C$2:$C$529,$A45)/1000000</x:f>
        <x:v>1.27869221</x:v>
      </x:c>
      <x:c r="L45" s="149" t="n">
        <x:f>SUMIFS('Data_Line'!$F$2:$F$529,'Data_Line'!$A$2:$A$529,L$4,'Data_Line'!$B$2:$B$529,"Q2 Forecast",'Data_Line'!$C$2:$C$529,$A45)/1000000</x:f>
        <x:v>1.24912589</x:v>
      </x:c>
      <x:c r="M45" s="149" t="n">
        <x:f>SUMIFS('Data_Line'!$F$2:$F$529,'Data_Line'!$A$2:$A$529,M$4,'Data_Line'!$B$2:$B$529,"Q2 Forecast",'Data_Line'!$C$2:$C$529,$A45)/1000000</x:f>
        <x:v>1.22322199</x:v>
      </x:c>
      <x:c r="N45" s="146" t="n">
        <x:f>SUM(B45:M45)</x:f>
        <x:v>14.797128700000002</x:v>
      </x:c>
    </x:row>
    <x:row r="46">
      <x:c r="A46" s="157" t="str">
        <x:v>Gross Profit</x:v>
      </x:c>
      <x:c r="B46" s="158" t="n">
        <x:f>B43-SUM(B44:B45)</x:f>
        <x:v>7.8936239399999995</x:v>
      </x:c>
      <x:c r="C46" s="158" t="n">
        <x:f>C43-SUM(C44:C45)</x:f>
        <x:v>8.17098121</x:v>
      </x:c>
      <x:c r="D46" s="158" t="n">
        <x:f>D43-SUM(D44:D45)</x:f>
        <x:v>8.077374930000001</x:v>
      </x:c>
      <x:c r="E46" s="158" t="n">
        <x:f>E43-SUM(E44:E45)</x:f>
        <x:v>8.029757660000001</x:v>
      </x:c>
      <x:c r="F46" s="158" t="n">
        <x:f>F43-SUM(F44:F45)</x:f>
        <x:v>8.39145882</x:v>
      </x:c>
      <x:c r="G46" s="158" t="n">
        <x:f>G43-SUM(G44:G45)</x:f>
        <x:v>8.1208959</x:v>
      </x:c>
      <x:c r="H46" s="158" t="n">
        <x:f>H43-SUM(H44:H45)</x:f>
        <x:v>8.40684455</x:v>
      </x:c>
      <x:c r="I46" s="158" t="n">
        <x:f>I43-SUM(I44:I45)</x:f>
        <x:v>8.806290689999999</x:v>
      </x:c>
      <x:c r="J46" s="158" t="n">
        <x:f>J43-SUM(J44:J45)</x:f>
        <x:v>8.95871357</x:v>
      </x:c>
      <x:c r="K46" s="158" t="n">
        <x:f>K43-SUM(K44:K45)</x:f>
        <x:v>9.501683419999999</x:v>
      </x:c>
      <x:c r="L46" s="158" t="n">
        <x:f>L43-SUM(L44:L45)</x:f>
        <x:v>9.76453824</x:v>
      </x:c>
      <x:c r="M46" s="158" t="n">
        <x:f>M43-SUM(M44:M45)</x:f>
        <x:v>8.947858320000002</x:v>
      </x:c>
      <x:c r="N46" s="158" t="n">
        <x:f>SUM(B46:M46)</x:f>
        <x:v>103.07002125</x:v>
      </x:c>
    </x:row>
    <x:row r="47">
      <x:c r="A47" s="11" t="str">
        <x:v>Gross Margin</x:v>
      </x:c>
      <x:c r="B47" s="151" t="n">
        <x:f>IFERROR(B46/B43,0)</x:f>
        <x:v>0.6928978016051955</x:v>
      </x:c>
      <x:c r="C47" s="151" t="n">
        <x:f>IFERROR(C46/C43,0)</x:f>
        <x:v>0.6987682619071087</x:v>
      </x:c>
      <x:c r="D47" s="151" t="n">
        <x:f>IFERROR(D46/D43,0)</x:f>
        <x:v>0.696389544466971</x:v>
      </x:c>
      <x:c r="E47" s="151" t="n">
        <x:f>IFERROR(E46/E43,0)</x:f>
        <x:v>0.69704914808188</x:v>
      </x:c>
      <x:c r="F47" s="151" t="n">
        <x:f>IFERROR(F46/F43,0)</x:f>
        <x:v>0.7089331937085309</x:v>
      </x:c>
      <x:c r="G47" s="151" t="n">
        <x:f>IFERROR(G46/G43,0)</x:f>
        <x:v>0.7046261167373851</x:v>
      </x:c>
      <x:c r="H47" s="151" t="n">
        <x:f>IFERROR(H46/H43,0)</x:f>
        <x:v>0.7090935554757337</x:v>
      </x:c>
      <x:c r="I47" s="151" t="n">
        <x:f>IFERROR(I46/I43,0)</x:f>
        <x:v>0.7159403356223032</x:v>
      </x:c>
      <x:c r="J47" s="151" t="n">
        <x:f>IFERROR(J46/J43,0)</x:f>
        <x:v>0.7181334254131825</x:v>
      </x:c>
      <x:c r="K47" s="151" t="n">
        <x:f>IFERROR(K46/K43,0)</x:f>
        <x:v>0.7276738114216896</x:v>
      </x:c>
      <x:c r="L47" s="151" t="n">
        <x:f>IFERROR(L46/L43,0)</x:f>
        <x:v>0.7350122000068148</x:v>
      </x:c>
      <x:c r="M47" s="151" t="n">
        <x:f>IFERROR(M46/M43,0)</x:f>
        <x:v>0.7170135655072628</x:v>
      </x:c>
      <x:c r="N47" s="151" t="n">
        <x:f>IFERROR(SUM(B46:M46)/SUM(B43:M43),0)</x:f>
        <x:v>0.7107349745900382</x:v>
      </x:c>
    </x:row>
    <x:row r="48">
      <x:c r="A48" s="11" t="str">
        <x:v>Sales &amp; Marketing</x:v>
      </x:c>
      <x:c r="B48" s="149" t="n">
        <x:f>SUMIFS('Data_Line'!$F$2:$F$529,'Data_Line'!$A$2:$A$529,B$4,'Data_Line'!$B$2:$B$529,"Q2 Forecast",'Data_Line'!$C$2:$C$529,$A48)/1000000</x:f>
        <x:v>2.60351197</x:v>
      </x:c>
      <x:c r="C48" s="149" t="n">
        <x:f>SUMIFS('Data_Line'!$F$2:$F$529,'Data_Line'!$A$2:$A$529,C$4,'Data_Line'!$B$2:$B$529,"Q2 Forecast",'Data_Line'!$C$2:$C$529,$A48)/1000000</x:f>
        <x:v>2.59961561</x:v>
      </x:c>
      <x:c r="D48" s="149" t="n">
        <x:f>SUMIFS('Data_Line'!$F$2:$F$529,'Data_Line'!$A$2:$A$529,D$4,'Data_Line'!$B$2:$B$529,"Q2 Forecast",'Data_Line'!$C$2:$C$529,$A48)/1000000</x:f>
        <x:v>2.59650211</x:v>
      </x:c>
      <x:c r="E48" s="149" t="n">
        <x:f>SUMIFS('Data_Line'!$F$2:$F$529,'Data_Line'!$A$2:$A$529,E$4,'Data_Line'!$B$2:$B$529,"Q2 Forecast",'Data_Line'!$C$2:$C$529,$A48)/1000000</x:f>
        <x:v>2.5272175</x:v>
      </x:c>
      <x:c r="F48" s="149" t="n">
        <x:f>SUMIFS('Data_Line'!$F$2:$F$529,'Data_Line'!$A$2:$A$529,F$4,'Data_Line'!$B$2:$B$529,"Q2 Forecast",'Data_Line'!$C$2:$C$529,$A48)/1000000</x:f>
        <x:v>2.54722854</x:v>
      </x:c>
      <x:c r="G48" s="149" t="n">
        <x:f>SUMIFS('Data_Line'!$F$2:$F$529,'Data_Line'!$A$2:$A$529,G$4,'Data_Line'!$B$2:$B$529,"Q2 Forecast",'Data_Line'!$C$2:$C$529,$A48)/1000000</x:f>
        <x:v>2.55350527</x:v>
      </x:c>
      <x:c r="H48" s="149" t="n">
        <x:f>SUMIFS('Data_Line'!$F$2:$F$529,'Data_Line'!$A$2:$A$529,H$4,'Data_Line'!$B$2:$B$529,"Q2 Forecast",'Data_Line'!$C$2:$C$529,$A48)/1000000</x:f>
        <x:v>2.5773127999999996</x:v>
      </x:c>
      <x:c r="I48" s="149" t="n">
        <x:f>SUMIFS('Data_Line'!$F$2:$F$529,'Data_Line'!$A$2:$A$529,I$4,'Data_Line'!$B$2:$B$529,"Q2 Forecast",'Data_Line'!$C$2:$C$529,$A48)/1000000</x:f>
        <x:v>2.6215955699999998</x:v>
      </x:c>
      <x:c r="J48" s="149" t="n">
        <x:f>SUMIFS('Data_Line'!$F$2:$F$529,'Data_Line'!$A$2:$A$529,J$4,'Data_Line'!$B$2:$B$529,"Q2 Forecast",'Data_Line'!$C$2:$C$529,$A48)/1000000</x:f>
        <x:v>2.61449807</x:v>
      </x:c>
      <x:c r="K48" s="149" t="n">
        <x:f>SUMIFS('Data_Line'!$F$2:$F$529,'Data_Line'!$A$2:$A$529,K$4,'Data_Line'!$B$2:$B$529,"Q2 Forecast",'Data_Line'!$C$2:$C$529,$A48)/1000000</x:f>
        <x:v>2.81347186</x:v>
      </x:c>
      <x:c r="L48" s="149" t="n">
        <x:f>SUMIFS('Data_Line'!$F$2:$F$529,'Data_Line'!$A$2:$A$529,L$4,'Data_Line'!$B$2:$B$529,"Q2 Forecast",'Data_Line'!$C$2:$C$529,$A48)/1000000</x:f>
        <x:v>2.83753038</x:v>
      </x:c>
      <x:c r="M48" s="149" t="n">
        <x:f>SUMIFS('Data_Line'!$F$2:$F$529,'Data_Line'!$A$2:$A$529,M$4,'Data_Line'!$B$2:$B$529,"Q2 Forecast",'Data_Line'!$C$2:$C$529,$A48)/1000000</x:f>
        <x:v>2.80057928</x:v>
      </x:c>
      <x:c r="N48" s="146" t="n">
        <x:f>SUM(B48:M48)</x:f>
        <x:v>31.69256896</x:v>
      </x:c>
    </x:row>
    <x:row r="49">
      <x:c r="A49" s="11" t="str">
        <x:v>Research &amp; Development</x:v>
      </x:c>
      <x:c r="B49" s="149" t="n">
        <x:f>SUMIFS('Data_Line'!$F$2:$F$529,'Data_Line'!$A$2:$A$529,B$4,'Data_Line'!$B$2:$B$529,"Q2 Forecast",'Data_Line'!$C$2:$C$529,$A49)/1000000</x:f>
        <x:v>2.5581441600000003</x:v>
      </x:c>
      <x:c r="C49" s="149" t="n">
        <x:f>SUMIFS('Data_Line'!$F$2:$F$529,'Data_Line'!$A$2:$A$529,C$4,'Data_Line'!$B$2:$B$529,"Q2 Forecast",'Data_Line'!$C$2:$C$529,$A49)/1000000</x:f>
        <x:v>2.59781204</x:v>
      </x:c>
      <x:c r="D49" s="149" t="n">
        <x:f>SUMIFS('Data_Line'!$F$2:$F$529,'Data_Line'!$A$2:$A$529,D$4,'Data_Line'!$B$2:$B$529,"Q2 Forecast",'Data_Line'!$C$2:$C$529,$A49)/1000000</x:f>
        <x:v>2.62073302</x:v>
      </x:c>
      <x:c r="E49" s="149" t="n">
        <x:f>SUMIFS('Data_Line'!$F$2:$F$529,'Data_Line'!$A$2:$A$529,E$4,'Data_Line'!$B$2:$B$529,"Q2 Forecast",'Data_Line'!$C$2:$C$529,$A49)/1000000</x:f>
        <x:v>2.63711945</x:v>
      </x:c>
      <x:c r="F49" s="149" t="n">
        <x:f>SUMIFS('Data_Line'!$F$2:$F$529,'Data_Line'!$A$2:$A$529,F$4,'Data_Line'!$B$2:$B$529,"Q2 Forecast",'Data_Line'!$C$2:$C$529,$A49)/1000000</x:f>
        <x:v>2.63708851</x:v>
      </x:c>
      <x:c r="G49" s="149" t="n">
        <x:f>SUMIFS('Data_Line'!$F$2:$F$529,'Data_Line'!$A$2:$A$529,G$4,'Data_Line'!$B$2:$B$529,"Q2 Forecast",'Data_Line'!$C$2:$C$529,$A49)/1000000</x:f>
        <x:v>2.6113752900000002</x:v>
      </x:c>
      <x:c r="H49" s="149" t="n">
        <x:f>SUMIFS('Data_Line'!$F$2:$F$529,'Data_Line'!$A$2:$A$529,H$4,'Data_Line'!$B$2:$B$529,"Q2 Forecast",'Data_Line'!$C$2:$C$529,$A49)/1000000</x:f>
        <x:v>2.59539502</x:v>
      </x:c>
      <x:c r="I49" s="149" t="n">
        <x:f>SUMIFS('Data_Line'!$F$2:$F$529,'Data_Line'!$A$2:$A$529,I$4,'Data_Line'!$B$2:$B$529,"Q2 Forecast",'Data_Line'!$C$2:$C$529,$A49)/1000000</x:f>
        <x:v>2.6381518500000003</x:v>
      </x:c>
      <x:c r="J49" s="149" t="n">
        <x:f>SUMIFS('Data_Line'!$F$2:$F$529,'Data_Line'!$A$2:$A$529,J$4,'Data_Line'!$B$2:$B$529,"Q2 Forecast",'Data_Line'!$C$2:$C$529,$A49)/1000000</x:f>
        <x:v>2.65674519</x:v>
      </x:c>
      <x:c r="K49" s="149" t="n">
        <x:f>SUMIFS('Data_Line'!$F$2:$F$529,'Data_Line'!$A$2:$A$529,K$4,'Data_Line'!$B$2:$B$529,"Q2 Forecast",'Data_Line'!$C$2:$C$529,$A49)/1000000</x:f>
        <x:v>2.6181492299999998</x:v>
      </x:c>
      <x:c r="L49" s="149" t="n">
        <x:f>SUMIFS('Data_Line'!$F$2:$F$529,'Data_Line'!$A$2:$A$529,L$4,'Data_Line'!$B$2:$B$529,"Q2 Forecast",'Data_Line'!$C$2:$C$529,$A49)/1000000</x:f>
        <x:v>2.65153352</x:v>
      </x:c>
      <x:c r="M49" s="149" t="n">
        <x:f>SUMIFS('Data_Line'!$F$2:$F$529,'Data_Line'!$A$2:$A$529,M$4,'Data_Line'!$B$2:$B$529,"Q2 Forecast",'Data_Line'!$C$2:$C$529,$A49)/1000000</x:f>
        <x:v>2.63776495</x:v>
      </x:c>
      <x:c r="N49" s="146" t="n">
        <x:f>SUM(B49:M49)</x:f>
        <x:v>31.46001223</x:v>
      </x:c>
    </x:row>
    <x:row r="50">
      <x:c r="A50" s="11" t="str">
        <x:v>General &amp; Administrative</x:v>
      </x:c>
      <x:c r="B50" s="149" t="n">
        <x:f>SUMIFS('Data_Line'!$F$2:$F$529,'Data_Line'!$A$2:$A$529,B$4,'Data_Line'!$B$2:$B$529,"Q2 Forecast",'Data_Line'!$C$2:$C$529,$A50)/1000000</x:f>
        <x:v>1.78173732</x:v>
      </x:c>
      <x:c r="C50" s="149" t="n">
        <x:f>SUMIFS('Data_Line'!$F$2:$F$529,'Data_Line'!$A$2:$A$529,C$4,'Data_Line'!$B$2:$B$529,"Q2 Forecast",'Data_Line'!$C$2:$C$529,$A50)/1000000</x:f>
        <x:v>1.75358318</x:v>
      </x:c>
      <x:c r="D50" s="149" t="n">
        <x:f>SUMIFS('Data_Line'!$F$2:$F$529,'Data_Line'!$A$2:$A$529,D$4,'Data_Line'!$B$2:$B$529,"Q2 Forecast",'Data_Line'!$C$2:$C$529,$A50)/1000000</x:f>
        <x:v>1.71934231</x:v>
      </x:c>
      <x:c r="E50" s="149" t="n">
        <x:f>SUMIFS('Data_Line'!$F$2:$F$529,'Data_Line'!$A$2:$A$529,E$4,'Data_Line'!$B$2:$B$529,"Q2 Forecast",'Data_Line'!$C$2:$C$529,$A50)/1000000</x:f>
        <x:v>1.67511774</x:v>
      </x:c>
      <x:c r="F50" s="149" t="n">
        <x:f>SUMIFS('Data_Line'!$F$2:$F$529,'Data_Line'!$A$2:$A$529,F$4,'Data_Line'!$B$2:$B$529,"Q2 Forecast",'Data_Line'!$C$2:$C$529,$A50)/1000000</x:f>
        <x:v>1.73732402</x:v>
      </x:c>
      <x:c r="G50" s="149" t="n">
        <x:f>SUMIFS('Data_Line'!$F$2:$F$529,'Data_Line'!$A$2:$A$529,G$4,'Data_Line'!$B$2:$B$529,"Q2 Forecast",'Data_Line'!$C$2:$C$529,$A50)/1000000</x:f>
        <x:v>1.72091382</x:v>
      </x:c>
      <x:c r="H50" s="149" t="n">
        <x:f>SUMIFS('Data_Line'!$F$2:$F$529,'Data_Line'!$A$2:$A$529,H$4,'Data_Line'!$B$2:$B$529,"Q2 Forecast",'Data_Line'!$C$2:$C$529,$A50)/1000000</x:f>
        <x:v>1.77074654</x:v>
      </x:c>
      <x:c r="I50" s="149" t="n">
        <x:f>SUMIFS('Data_Line'!$F$2:$F$529,'Data_Line'!$A$2:$A$529,I$4,'Data_Line'!$B$2:$B$529,"Q2 Forecast",'Data_Line'!$C$2:$C$529,$A50)/1000000</x:f>
        <x:v>1.80546941</x:v>
      </x:c>
      <x:c r="J50" s="149" t="n">
        <x:f>SUMIFS('Data_Line'!$F$2:$F$529,'Data_Line'!$A$2:$A$529,J$4,'Data_Line'!$B$2:$B$529,"Q2 Forecast",'Data_Line'!$C$2:$C$529,$A50)/1000000</x:f>
        <x:v>1.79129354</x:v>
      </x:c>
      <x:c r="K50" s="149" t="n">
        <x:f>SUMIFS('Data_Line'!$F$2:$F$529,'Data_Line'!$A$2:$A$529,K$4,'Data_Line'!$B$2:$B$529,"Q2 Forecast",'Data_Line'!$C$2:$C$529,$A50)/1000000</x:f>
        <x:v>1.8098718999999999</x:v>
      </x:c>
      <x:c r="L50" s="149" t="n">
        <x:f>SUMIFS('Data_Line'!$F$2:$F$529,'Data_Line'!$A$2:$A$529,L$4,'Data_Line'!$B$2:$B$529,"Q2 Forecast",'Data_Line'!$C$2:$C$529,$A50)/1000000</x:f>
        <x:v>1.80787059</x:v>
      </x:c>
      <x:c r="M50" s="149" t="n">
        <x:f>SUMIFS('Data_Line'!$F$2:$F$529,'Data_Line'!$A$2:$A$529,M$4,'Data_Line'!$B$2:$B$529,"Q2 Forecast",'Data_Line'!$C$2:$C$529,$A50)/1000000</x:f>
        <x:v>1.7722138500000002</x:v>
      </x:c>
      <x:c r="N50" s="146" t="n">
        <x:f>SUM(B50:M50)</x:f>
        <x:v>21.14548422</x:v>
      </x:c>
    </x:row>
    <x:row r="51">
      <x:c r="A51" s="157" t="str">
        <x:v>Adjusted EBITDA</x:v>
      </x:c>
      <x:c r="B51" s="158" t="n">
        <x:f>B46-SUM(B48:B50)</x:f>
        <x:v>0.9502304899999992</x:v>
      </x:c>
      <x:c r="C51" s="158" t="n">
        <x:f>C46-SUM(C48:C50)</x:f>
        <x:v>1.2199703800000012</x:v>
      </x:c>
      <x:c r="D51" s="158" t="n">
        <x:f>D46-SUM(D48:D50)</x:f>
        <x:v>1.1407974900000015</x:v>
      </x:c>
      <x:c r="E51" s="158" t="n">
        <x:f>E46-SUM(E48:E50)</x:f>
        <x:v>1.1903029700000012</x:v>
      </x:c>
      <x:c r="F51" s="158" t="n">
        <x:f>F46-SUM(F48:F50)</x:f>
        <x:v>1.4698177500000007</x:v>
      </x:c>
      <x:c r="G51" s="158" t="n">
        <x:f>G46-SUM(G48:G50)</x:f>
        <x:v>1.2351015200000006</x:v>
      </x:c>
      <x:c r="H51" s="158" t="n">
        <x:f>H46-SUM(H48:H50)</x:f>
        <x:v>1.463390190000001</x:v>
      </x:c>
      <x:c r="I51" s="158" t="n">
        <x:f>I46-SUM(I48:I50)</x:f>
        <x:v>1.7410738599999993</x:v>
      </x:c>
      <x:c r="J51" s="158" t="n">
        <x:f>J46-SUM(J48:J50)</x:f>
        <x:v>1.8961767700000003</x:v>
      </x:c>
      <x:c r="K51" s="158" t="n">
        <x:f>K46-SUM(K48:K50)</x:f>
        <x:v>2.260190429999999</x:v>
      </x:c>
      <x:c r="L51" s="158" t="n">
        <x:f>L46-SUM(L48:L50)</x:f>
        <x:v>2.4676037500000003</x:v>
      </x:c>
      <x:c r="M51" s="158" t="n">
        <x:f>M46-SUM(M48:M50)</x:f>
        <x:v>1.7373002400000015</x:v>
      </x:c>
      <x:c r="N51" s="158" t="n">
        <x:f>SUM(B51:M51)</x:f>
        <x:v>18.771955840000004</x:v>
      </x:c>
    </x:row>
    <x:row r="52">
      <x:c r="A52" s="11" t="str">
        <x:v>Adjusted EBITDA Margin</x:v>
      </x:c>
      <x:c r="B52" s="151" t="n">
        <x:f>IFERROR(B51/B43,0)</x:f>
        <x:v>0.08341068975971855</x:v>
      </x:c>
      <x:c r="C52" s="151" t="n">
        <x:f>IFERROR(C51/C43,0)</x:f>
        <x:v>0.10432976898385937</x:v>
      </x:c>
      <x:c r="D52" s="151" t="n">
        <x:f>IFERROR(D51/D43,0)</x:f>
        <x:v>0.09835366703600136</x:v>
      </x:c>
      <x:c r="E52" s="151" t="n">
        <x:f>IFERROR(E51/E43,0)</x:f>
        <x:v>0.10332810855935996</x:v>
      </x:c>
      <x:c r="F52" s="151" t="n">
        <x:f>IFERROR(F51/F43,0)</x:f>
        <x:v>0.1241741887827065</x:v>
      </x:c>
      <x:c r="G52" s="151" t="n">
        <x:f>IFERROR(G51/G43,0)</x:f>
        <x:v>0.10716610562808003</x:v>
      </x:c>
      <x:c r="H52" s="151" t="n">
        <x:f>IFERROR(H51/H43,0)</x:f>
        <x:v>0.12343282270818368</x:v>
      </x:c>
      <x:c r="I52" s="151" t="n">
        <x:f>IFERROR(I51/I43,0)</x:f>
        <x:v>0.14154711075879992</x:v>
      </x:c>
      <x:c r="J52" s="151" t="n">
        <x:f>IFERROR(J51/J43,0)</x:f>
        <x:v>0.15199815334971184</x:v>
      </x:c>
      <x:c r="K52" s="151" t="n">
        <x:f>IFERROR(K51/K43,0)</x:f>
        <x:v>0.17309368372293413</x:v>
      </x:c>
      <x:c r="L52" s="151" t="n">
        <x:f>IFERROR(L51/L43,0)</x:f>
        <x:v>0.18574548191155082</x:v>
      </x:c>
      <x:c r="M52" s="151" t="n">
        <x:f>IFERROR(M51/M43,0)</x:f>
        <x:v>0.13921407725631313</x:v>
      </x:c>
      <x:c r="N52" s="151" t="n">
        <x:f>IFERROR(SUM(B51:M51)/SUM(B43:M43),0)</x:f>
        <x:v>0.12944487053695763</x:v>
      </x:c>
    </x:row>
    <x:row r="53">
      <x:c r="A53" s="11" t="str">
        <x:v>Depreciation &amp; Amortization</x:v>
      </x:c>
      <x:c r="B53" s="149" t="n">
        <x:f>SUMIFS('Data_Line'!$F$2:$F$529,'Data_Line'!$A$2:$A$529,B$4,'Data_Line'!$B$2:$B$529,"Q2 Forecast",'Data_Line'!$C$2:$C$529,$A53)/1000000</x:f>
        <x:v>0.20505943</x:v>
      </x:c>
      <x:c r="C53" s="149" t="n">
        <x:f>SUMIFS('Data_Line'!$F$2:$F$529,'Data_Line'!$A$2:$A$529,C$4,'Data_Line'!$B$2:$B$529,"Q2 Forecast",'Data_Line'!$C$2:$C$529,$A53)/1000000</x:f>
        <x:v>0.21048131</x:v>
      </x:c>
      <x:c r="D53" s="149" t="n">
        <x:f>SUMIFS('Data_Line'!$F$2:$F$529,'Data_Line'!$A$2:$A$529,D$4,'Data_Line'!$B$2:$B$529,"Q2 Forecast",'Data_Line'!$C$2:$C$529,$A53)/1000000</x:f>
        <x:v>0.20878076999999998</x:v>
      </x:c>
      <x:c r="E53" s="149" t="n">
        <x:f>SUMIFS('Data_Line'!$F$2:$F$529,'Data_Line'!$A$2:$A$529,E$4,'Data_Line'!$B$2:$B$529,"Q2 Forecast",'Data_Line'!$C$2:$C$529,$A53)/1000000</x:f>
        <x:v>0.20735357999999998</x:v>
      </x:c>
      <x:c r="F53" s="149" t="n">
        <x:f>SUMIFS('Data_Line'!$F$2:$F$529,'Data_Line'!$A$2:$A$529,F$4,'Data_Line'!$B$2:$B$529,"Q2 Forecast",'Data_Line'!$C$2:$C$529,$A53)/1000000</x:f>
        <x:v>0.21306134</x:v>
      </x:c>
      <x:c r="G53" s="149" t="n">
        <x:f>SUMIFS('Data_Line'!$F$2:$F$529,'Data_Line'!$A$2:$A$529,G$4,'Data_Line'!$B$2:$B$529,"Q2 Forecast",'Data_Line'!$C$2:$C$529,$A53)/1000000</x:f>
        <x:v>0.20745204</x:v>
      </x:c>
      <x:c r="H53" s="149" t="n">
        <x:f>SUMIFS('Data_Line'!$F$2:$F$529,'Data_Line'!$A$2:$A$529,H$4,'Data_Line'!$B$2:$B$529,"Q2 Forecast",'Data_Line'!$C$2:$C$529,$A53)/1000000</x:f>
        <x:v>0.20808581</x:v>
      </x:c>
      <x:c r="I53" s="149" t="n">
        <x:f>SUMIFS('Data_Line'!$F$2:$F$529,'Data_Line'!$A$2:$A$529,I$4,'Data_Line'!$B$2:$B$529,"Q2 Forecast",'Data_Line'!$C$2:$C$529,$A53)/1000000</x:f>
        <x:v>0.21621683</x:v>
      </x:c>
      <x:c r="J53" s="149" t="n">
        <x:f>SUMIFS('Data_Line'!$F$2:$F$529,'Data_Line'!$A$2:$A$529,J$4,'Data_Line'!$B$2:$B$529,"Q2 Forecast",'Data_Line'!$C$2:$C$529,$A53)/1000000</x:f>
        <x:v>0.21935937</x:v>
      </x:c>
      <x:c r="K53" s="149" t="n">
        <x:f>SUMIFS('Data_Line'!$F$2:$F$529,'Data_Line'!$A$2:$A$529,K$4,'Data_Line'!$B$2:$B$529,"Q2 Forecast",'Data_Line'!$C$2:$C$529,$A53)/1000000</x:f>
        <x:v>0.2301407</x:v>
      </x:c>
      <x:c r="L53" s="149" t="n">
        <x:f>SUMIFS('Data_Line'!$F$2:$F$529,'Data_Line'!$A$2:$A$529,L$4,'Data_Line'!$B$2:$B$529,"Q2 Forecast",'Data_Line'!$C$2:$C$529,$A53)/1000000</x:f>
        <x:v>0.23435994</x:v>
      </x:c>
      <x:c r="M53" s="149" t="n">
        <x:f>SUMIFS('Data_Line'!$F$2:$F$529,'Data_Line'!$A$2:$A$529,M$4,'Data_Line'!$B$2:$B$529,"Q2 Forecast",'Data_Line'!$C$2:$C$529,$A53)/1000000</x:f>
        <x:v>0.21921604</x:v>
      </x:c>
      <x:c r="N53" s="146" t="n">
        <x:f>SUM(B53:M53)</x:f>
        <x:v>2.5795671600000003</x:v>
      </x:c>
    </x:row>
    <x:row r="54">
      <x:c r="A54" s="157" t="str">
        <x:v>Operating Income</x:v>
      </x:c>
      <x:c r="B54" s="158" t="n">
        <x:f>B51-B53</x:f>
        <x:v>0.7451710599999992</x:v>
      </x:c>
      <x:c r="C54" s="158" t="n">
        <x:f>C51-C53</x:f>
        <x:v>1.0094890700000012</x:v>
      </x:c>
      <x:c r="D54" s="158" t="n">
        <x:f>D51-D53</x:f>
        <x:v>0.9320167200000016</x:v>
      </x:c>
      <x:c r="E54" s="158" t="n">
        <x:f>E51-E53</x:f>
        <x:v>0.9829493900000013</x:v>
      </x:c>
      <x:c r="F54" s="158" t="n">
        <x:f>F51-F53</x:f>
        <x:v>1.2567564100000008</x:v>
      </x:c>
      <x:c r="G54" s="158" t="n">
        <x:f>G51-G53</x:f>
        <x:v>1.0276494800000007</x:v>
      </x:c>
      <x:c r="H54" s="158" t="n">
        <x:f>H51-H53</x:f>
        <x:v>1.255304380000001</x:v>
      </x:c>
      <x:c r="I54" s="158" t="n">
        <x:f>I51-I53</x:f>
        <x:v>1.5248570299999993</x:v>
      </x:c>
      <x:c r="J54" s="158" t="n">
        <x:f>J51-J53</x:f>
        <x:v>1.6768174000000002</x:v>
      </x:c>
      <x:c r="K54" s="158" t="n">
        <x:f>K51-K53</x:f>
        <x:v>2.0300497299999987</x:v>
      </x:c>
      <x:c r="L54" s="158" t="n">
        <x:f>L51-L53</x:f>
        <x:v>2.2332438100000003</x:v>
      </x:c>
      <x:c r="M54" s="158" t="n">
        <x:f>M51-M53</x:f>
        <x:v>1.5180842000000014</x:v>
      </x:c>
      <x:c r="N54" s="158" t="n">
        <x:f>SUM(B54:M54)</x:f>
        <x:v>16.192388680000004</x:v>
      </x:c>
    </x:row>
    <x:row r="55">
      <x:c r="A55" s="11"/>
      <x:c r="B55" s="11"/>
      <x:c r="C55" s="11"/>
      <x:c r="D55" s="11"/>
      <x:c r="E55" s="11"/>
      <x:c r="F55" s="11"/>
      <x:c r="G55" s="11"/>
      <x:c r="H55" s="11"/>
      <x:c r="I55" s="11"/>
      <x:c r="J55" s="11"/>
      <x:c r="K55" s="11"/>
      <x:c r="L55" s="11"/>
      <x:c r="M55" s="11"/>
      <x:c r="N55" s="11"/>
    </x:row>
    <x:row r="56">
      <x:c r="A56" s="11"/>
      <x:c r="B56" s="11"/>
      <x:c r="C56" s="11"/>
      <x:c r="D56" s="11"/>
      <x:c r="E56" s="11"/>
      <x:c r="F56" s="11"/>
      <x:c r="G56" s="11"/>
      <x:c r="H56" s="11"/>
      <x:c r="I56" s="11"/>
      <x:c r="J56" s="11"/>
      <x:c r="K56" s="11"/>
      <x:c r="L56" s="11"/>
      <x:c r="M56" s="11"/>
      <x:c r="N56" s="11"/>
    </x:row>
    <x:row r="57">
      <x:c r="A57" s="11"/>
      <x:c r="B57" s="11"/>
      <x:c r="C57" s="11"/>
      <x:c r="D57" s="11"/>
      <x:c r="E57" s="11"/>
      <x:c r="F57" s="11"/>
      <x:c r="G57" s="11"/>
      <x:c r="H57" s="11"/>
      <x:c r="I57" s="11"/>
      <x:c r="J57" s="11"/>
      <x:c r="K57" s="11"/>
      <x:c r="L57" s="11"/>
      <x:c r="M57" s="11"/>
      <x:c r="N57" s="11"/>
    </x:row>
    <x:row r="58">
      <x:c r="A58" s="11"/>
      <x:c r="B58" s="11"/>
      <x:c r="C58" s="11"/>
      <x:c r="D58" s="11"/>
      <x:c r="E58" s="11"/>
      <x:c r="F58" s="11"/>
      <x:c r="G58" s="11"/>
      <x:c r="H58" s="11"/>
      <x:c r="I58" s="11"/>
      <x:c r="J58" s="11"/>
      <x:c r="K58" s="11"/>
      <x:c r="L58" s="11"/>
      <x:c r="M58" s="11"/>
      <x:c r="N58" s="11"/>
    </x:row>
    <x:row r="59">
      <x:c r="A59" s="11"/>
      <x:c r="B59" s="11"/>
      <x:c r="C59" s="11"/>
      <x:c r="D59" s="11"/>
      <x:c r="E59" s="11"/>
      <x:c r="F59" s="11"/>
      <x:c r="G59" s="11"/>
      <x:c r="H59" s="11"/>
      <x:c r="I59" s="11"/>
      <x:c r="J59" s="11"/>
      <x:c r="K59" s="11"/>
      <x:c r="L59" s="11"/>
      <x:c r="M59" s="11"/>
      <x:c r="N59" s="11"/>
    </x:row>
    <x:row r="60">
      <x:c r="A60" s="11"/>
      <x:c r="B60" s="11"/>
      <x:c r="C60" s="11"/>
      <x:c r="D60" s="11"/>
      <x:c r="E60" s="11"/>
      <x:c r="F60" s="11"/>
      <x:c r="G60" s="11"/>
      <x:c r="H60" s="11"/>
      <x:c r="I60" s="11"/>
      <x:c r="J60" s="11"/>
      <x:c r="K60" s="11"/>
      <x:c r="L60" s="11"/>
      <x:c r="M60" s="11"/>
      <x:c r="N60" s="11"/>
    </x:row>
  </x:sheetData>
  <x:mergeCells>
    <x:mergeCell ref="A1:N2"/>
    <x:mergeCell ref="A3:N3"/>
    <x:mergeCell ref="A6:N6"/>
    <x:mergeCell ref="A23:N23"/>
    <x:mergeCell ref="A40:N40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10" max="10" width="8" hidden="0" customWidth="1"/>
    <x:col min="11" max="11" width="25" hidden="0" customWidth="1"/>
    <x:col min="12" max="12" width="14" hidden="0" customWidth="1"/>
    <x:col min="13" max="13" width="14" hidden="0" customWidth="1"/>
    <x:col min="14" max="14" width="14" hidden="0" customWidth="1"/>
  </x:cols>
  <x:sheetData>
    <x:row r="1">
      <x:c r="A1" s="14" t="str">
        <x:v>Revenue &amp; ARR</x:v>
      </x:c>
      <x:c r="B1" s="14" t="str">
        <x:v>Revenue &amp; ARR</x:v>
      </x:c>
      <x:c r="C1" s="14" t="str">
        <x:v>Revenue &amp; ARR</x:v>
      </x:c>
      <x:c r="D1" s="14" t="str">
        <x:v>Revenue &amp; ARR</x:v>
      </x:c>
      <x:c r="E1" s="14" t="str">
        <x:v>Revenue &amp; ARR</x:v>
      </x:c>
      <x:c r="F1" s="14" t="str">
        <x:v>Revenue &amp; ARR</x:v>
      </x:c>
      <x:c r="G1" s="14" t="str">
        <x:v>Revenue &amp; ARR</x:v>
      </x:c>
      <x:c r="H1" s="14" t="str">
        <x:v>Revenue &amp; ARR</x:v>
      </x:c>
      <x:c r="I1" s="14" t="str">
        <x:v>Revenue &amp; ARR</x:v>
      </x:c>
      <x:c r="J1" s="14" t="str">
        <x:v>Revenue &amp; ARR</x:v>
      </x:c>
      <x:c r="K1" s="14" t="str">
        <x:v>Revenue &amp; ARR</x:v>
      </x:c>
      <x:c r="L1" s="14" t="str">
        <x:v>Revenue &amp; ARR</x:v>
      </x:c>
      <x:c r="M1" s="14" t="str">
        <x:v>Revenue &amp; ARR</x:v>
      </x:c>
      <x:c r="N1" s="14" t="str">
        <x:v>Revenue &amp; ARR</x:v>
      </x:c>
    </x:row>
    <x:row r="2">
      <x:c r="A2" s="14" t="str">
        <x:v>Revenue &amp; ARR</x:v>
      </x:c>
      <x:c r="B2" s="14" t="str">
        <x:v>Revenue &amp; ARR</x:v>
      </x:c>
      <x:c r="C2" s="14" t="str">
        <x:v>Revenue &amp; ARR</x:v>
      </x:c>
      <x:c r="D2" s="14" t="str">
        <x:v>Revenue &amp; ARR</x:v>
      </x:c>
      <x:c r="E2" s="14" t="str">
        <x:v>Revenue &amp; ARR</x:v>
      </x:c>
      <x:c r="F2" s="14" t="str">
        <x:v>Revenue &amp; ARR</x:v>
      </x:c>
      <x:c r="G2" s="14" t="str">
        <x:v>Revenue &amp; ARR</x:v>
      </x:c>
      <x:c r="H2" s="14" t="str">
        <x:v>Revenue &amp; ARR</x:v>
      </x:c>
      <x:c r="I2" s="14" t="str">
        <x:v>Revenue &amp; ARR</x:v>
      </x:c>
      <x:c r="J2" s="14" t="str">
        <x:v>Revenue &amp; ARR</x:v>
      </x:c>
      <x:c r="K2" s="14" t="str">
        <x:v>Revenue &amp; ARR</x:v>
      </x:c>
      <x:c r="L2" s="14" t="str">
        <x:v>Revenue &amp; ARR</x:v>
      </x:c>
      <x:c r="M2" s="14" t="str">
        <x:v>Revenue &amp; ARR</x:v>
      </x:c>
      <x:c r="N2" s="14" t="str">
        <x:v>Revenue &amp; ARR</x:v>
      </x:c>
    </x:row>
    <x:row r="3">
      <x:c r="A3" s="17" t="str">
        <x:v>Recurring revenue movement, retention, mix, and customer concentration | June 2026</x:v>
      </x:c>
      <x:c r="B3" s="17" t="str">
        <x:v>Recurring revenue movement, retention, mix, and customer concentration | June 2026</x:v>
      </x:c>
      <x:c r="C3" s="17" t="str">
        <x:v>Recurring revenue movement, retention, mix, and customer concentration | June 2026</x:v>
      </x:c>
      <x:c r="D3" s="17" t="str">
        <x:v>Recurring revenue movement, retention, mix, and customer concentration | June 2026</x:v>
      </x:c>
      <x:c r="E3" s="17" t="str">
        <x:v>Recurring revenue movement, retention, mix, and customer concentration | June 2026</x:v>
      </x:c>
      <x:c r="F3" s="17" t="str">
        <x:v>Recurring revenue movement, retention, mix, and customer concentration | June 2026</x:v>
      </x:c>
      <x:c r="G3" s="17" t="str">
        <x:v>Recurring revenue movement, retention, mix, and customer concentration | June 2026</x:v>
      </x:c>
      <x:c r="H3" s="17" t="str">
        <x:v>Recurring revenue movement, retention, mix, and customer concentration | June 2026</x:v>
      </x:c>
      <x:c r="I3" s="17" t="str">
        <x:v>Recurring revenue movement, retention, mix, and customer concentration | June 2026</x:v>
      </x:c>
      <x:c r="J3" s="17" t="str">
        <x:v>Recurring revenue movement, retention, mix, and customer concentration | June 2026</x:v>
      </x:c>
      <x:c r="K3" s="17" t="str">
        <x:v>Recurring revenue movement, retention, mix, and customer concentration | June 2026</x:v>
      </x:c>
      <x:c r="L3" s="17" t="str">
        <x:v>Recurring revenue movement, retention, mix, and customer concentration | June 2026</x:v>
      </x:c>
      <x:c r="M3" s="17" t="str">
        <x:v>Recurring revenue movement, retention, mix, and customer concentration | June 2026</x:v>
      </x:c>
      <x:c r="N3" s="17" t="str">
        <x:v>Recurring revenue movement, retention, mix, and customer concentration | June 2026</x:v>
      </x:c>
    </x:row>
    <x:row r="4">
      <x:c r="A4" s="11"/>
      <x:c r="B4" s="11"/>
      <x:c r="C4" s="11"/>
      <x:c r="D4" s="11"/>
      <x:c r="E4" s="11"/>
      <x:c r="F4" s="11"/>
      <x:c r="G4" s="11"/>
      <x:c r="H4" s="11"/>
      <x:c r="I4" s="11"/>
      <x:c r="J4" s="11"/>
      <x:c r="K4" s="11"/>
      <x:c r="L4" s="11"/>
      <x:c r="M4" s="11"/>
      <x:c r="N4" s="11"/>
    </x:row>
    <x:row r="5">
      <x:c r="A5" s="25" t="str">
        <x:v>Ending ARR</x:v>
      </x:c>
      <x:c r="B5" s="25" t="str">
        <x:v>Ending ARR</x:v>
      </x:c>
      <x:c r="C5" s="25" t="str">
        <x:v>Ending ARR</x:v>
      </x:c>
      <x:c r="D5" s="25" t="str">
        <x:v>6-Month GRR</x:v>
      </x:c>
      <x:c r="E5" s="25" t="str">
        <x:v>6-Month GRR</x:v>
      </x:c>
      <x:c r="F5" s="25" t="str">
        <x:v>6-Month GRR</x:v>
      </x:c>
      <x:c r="G5" s="46" t="str">
        <x:v>6-Month NRR</x:v>
      </x:c>
      <x:c r="H5" s="46" t="str">
        <x:v>6-Month NRR</x:v>
      </x:c>
      <x:c r="I5" s="46" t="str">
        <x:v>6-Month NRR</x:v>
      </x:c>
      <x:c r="J5" s="25" t="str">
        <x:v>Top-10 Revenue Share</x:v>
      </x:c>
      <x:c r="K5" s="25" t="str">
        <x:v>Top-10 Revenue Share</x:v>
      </x:c>
      <x:c r="L5" s="25" t="str">
        <x:v>Top-10 Revenue Share</x:v>
      </x:c>
      <x:c r="M5" s="11"/>
      <x:c r="N5" s="11"/>
    </x:row>
    <x:row r="6">
      <x:c r="A6" s="38" t="n">
        <x:f>SUMIFS('Data_ARR'!$G$2:$G$43,'Data_ARR'!$A$2:$A$43,DATE(2026,6,1))/1000000</x:f>
        <x:v>117.76191048</x:v>
      </x:c>
      <x:c r="B6" s="39"/>
      <x:c r="C6" s="40"/>
      <x:c r="D6" s="71" t="n">
        <x:f>(SUMIFS('Data_ARR'!$B$2:$B$43,'Data_ARR'!$A$2:$A$43,DATE(2026,1,1))-SUMIFS('Data_ARR'!$E$2:$E$43,'Data_ARR'!$A$2:$A$43,"&gt;="&amp;DATE(2026,1,1),'Data_ARR'!$A$2:$A$43,"&lt;="&amp;DATE(2026,6,1))-SUMIFS('Data_ARR'!$F$2:$F$43,'Data_ARR'!$A$2:$A$43,"&gt;="&amp;DATE(2026,1,1),'Data_ARR'!$A$2:$A$43,"&lt;="&amp;DATE(2026,6,1)))/SUMIFS('Data_ARR'!$B$2:$B$43,'Data_ARR'!$A$2:$A$43,DATE(2026,1,1))</x:f>
        <x:v>0.9350106749895434</x:v>
      </x:c>
      <x:c r="E6" s="72"/>
      <x:c r="F6" s="73"/>
      <x:c r="G6" s="59" t="n">
        <x:f>(SUMIFS('Data_ARR'!$B$2:$B$43,'Data_ARR'!$A$2:$A$43,DATE(2026,1,1))+SUMIFS('Data_ARR'!$D$2:$D$43,'Data_ARR'!$A$2:$A$43,"&gt;="&amp;DATE(2026,1,1),'Data_ARR'!$A$2:$A$43,"&lt;="&amp;DATE(2026,6,1))-SUMIFS('Data_ARR'!$E$2:$E$43,'Data_ARR'!$A$2:$A$43,"&gt;="&amp;DATE(2026,1,1),'Data_ARR'!$A$2:$A$43,"&lt;="&amp;DATE(2026,6,1))-SUMIFS('Data_ARR'!$F$2:$F$43,'Data_ARR'!$A$2:$A$43,"&gt;="&amp;DATE(2026,1,1),'Data_ARR'!$A$2:$A$43,"&lt;="&amp;DATE(2026,6,1)))/SUMIFS('Data_ARR'!$B$2:$B$43,'Data_ARR'!$A$2:$A$43,DATE(2026,1,1))</x:f>
        <x:v>0.9796323937482418</x:v>
      </x:c>
      <x:c r="H6" s="60"/>
      <x:c r="I6" s="61"/>
      <x:c r="J6" s="71" t="n">
        <x:f>SUM('Data_Customer'!$J$2:$J$11)</x:f>
        <x:v>0.1617</x:v>
      </x:c>
      <x:c r="K6" s="72"/>
      <x:c r="L6" s="73"/>
      <x:c r="M6" s="11"/>
      <x:c r="N6" s="11"/>
    </x:row>
    <x:row r="7">
      <x:c r="A7" s="41"/>
      <x:c r="B7" s="42"/>
      <x:c r="C7" s="43"/>
      <x:c r="D7" s="74"/>
      <x:c r="E7" s="75"/>
      <x:c r="F7" s="76"/>
      <x:c r="G7" s="62"/>
      <x:c r="H7" s="63"/>
      <x:c r="I7" s="64"/>
      <x:c r="J7" s="74"/>
      <x:c r="K7" s="75"/>
      <x:c r="L7" s="76"/>
      <x:c r="M7" s="11"/>
      <x:c r="N7" s="11"/>
    </x:row>
    <x:row r="8">
      <x:c r="A8" s="11"/>
      <x:c r="B8" s="11"/>
      <x:c r="C8" s="11"/>
      <x:c r="D8" s="11"/>
      <x:c r="E8" s="11"/>
      <x:c r="F8" s="11"/>
      <x:c r="G8" s="11"/>
      <x:c r="H8" s="11"/>
      <x:c r="I8" s="11"/>
      <x:c r="J8" s="11"/>
      <x:c r="K8" s="11"/>
      <x:c r="L8" s="11"/>
      <x:c r="M8" s="11"/>
      <x:c r="N8" s="11"/>
    </x:row>
    <x:row r="9">
      <x:c r="A9" s="11"/>
      <x:c r="B9" s="11"/>
      <x:c r="C9" s="11"/>
      <x:c r="D9" s="11"/>
      <x:c r="E9" s="11"/>
      <x:c r="F9" s="11"/>
      <x:c r="G9" s="11"/>
      <x:c r="H9" s="11"/>
      <x:c r="I9" s="11"/>
      <x:c r="J9" s="11"/>
      <x:c r="K9" s="11"/>
      <x:c r="L9" s="11"/>
      <x:c r="M9" s="11"/>
      <x:c r="N9" s="11"/>
    </x:row>
    <x:row r="10">
      <x:c r="A10" s="112" t="str">
        <x:v>ARR Bridge</x:v>
      </x:c>
      <x:c r="B10" s="112" t="str">
        <x:v>ARR Bridge</x:v>
      </x:c>
      <x:c r="C10" s="112" t="str">
        <x:v>ARR Bridge</x:v>
      </x:c>
      <x:c r="D10" s="112" t="str">
        <x:v>ARR Bridge</x:v>
      </x:c>
      <x:c r="E10" s="112" t="str">
        <x:v>ARR Bridge</x:v>
      </x:c>
      <x:c r="F10" s="112" t="str">
        <x:v>ARR Bridge</x:v>
      </x:c>
      <x:c r="G10" s="112" t="str">
        <x:v>ARR Bridge</x:v>
      </x:c>
      <x:c r="H10" s="112" t="str">
        <x:v>ARR Bridge</x:v>
      </x:c>
      <x:c r="I10" s="11"/>
      <x:c r="J10" s="112" t="str">
        <x:v>Top Customers (TTM)</x:v>
      </x:c>
      <x:c r="K10" s="112" t="str">
        <x:v>Top Customers (TTM)</x:v>
      </x:c>
      <x:c r="L10" s="112" t="str">
        <x:v>Top Customers (TTM)</x:v>
      </x:c>
      <x:c r="M10" s="112" t="str">
        <x:v>Top Customers (TTM)</x:v>
      </x:c>
      <x:c r="N10" s="112" t="str">
        <x:v>Top Customers (TTM)</x:v>
      </x:c>
    </x:row>
    <x:row r="11">
      <x:c r="A11" s="144" t="str">
        <x:v>Month</x:v>
      </x:c>
      <x:c r="B11" s="144" t="str">
        <x:v>Opening ARR</x:v>
      </x:c>
      <x:c r="C11" s="144" t="str">
        <x:v>New</x:v>
      </x:c>
      <x:c r="D11" s="144" t="str">
        <x:v>Expansion</x:v>
      </x:c>
      <x:c r="E11" s="144" t="str">
        <x:v>Contraction</x:v>
      </x:c>
      <x:c r="F11" s="144" t="str">
        <x:v>Churn</x:v>
      </x:c>
      <x:c r="G11" s="144" t="str">
        <x:v>Ending ARR</x:v>
      </x:c>
      <x:c r="H11" s="144" t="str">
        <x:v>Customers</x:v>
      </x:c>
      <x:c r="I11" s="11"/>
      <x:c r="J11" s="144" t="str">
        <x:v>Rank</x:v>
      </x:c>
      <x:c r="K11" s="144" t="str">
        <x:v>Customer</x:v>
      </x:c>
      <x:c r="L11" s="144" t="str">
        <x:v>Segment</x:v>
      </x:c>
      <x:c r="M11" s="144" t="str">
        <x:v>Revenue ($m)</x:v>
      </x:c>
      <x:c r="N11" s="144" t="str">
        <x:v>Share</x:v>
      </x:c>
    </x:row>
    <x:row r="12">
      <x:c r="A12" s="11" t="str">
        <x:v>Jan</x:v>
      </x:c>
      <x:c r="B12" s="146" t="n">
        <x:f>SUMIFS('Data_ARR'!$B$2:$B$43,'Data_ARR'!$A$2:$A$43,DATE(2026,1,1))/1000000</x:f>
        <x:v>116.08305516</x:v>
      </x:c>
      <x:c r="C12" s="146" t="n">
        <x:f>SUMIFS('Data_ARR'!$C$2:$C$43,'Data_ARR'!$A$2:$A$43,DATE(2026,1,1))/1000000</x:f>
        <x:v>0.632364</x:v>
      </x:c>
      <x:c r="D12" s="146" t="n">
        <x:f>SUMIFS('Data_ARR'!$D$2:$D$43,'Data_ARR'!$A$2:$A$43,DATE(2026,1,1))/1000000</x:f>
        <x:v>0.71853948</x:v>
      </x:c>
      <x:c r="E12" s="146" t="n">
        <x:f>-SUMIFS('Data_ARR'!$E$2:$E$43,'Data_ARR'!$A$2:$A$43,DATE(2026,1,1))/1000000</x:f>
        <x:v>-0.00096972</x:v>
      </x:c>
      <x:c r="F12" s="146" t="n">
        <x:f>-SUMIFS('Data_ARR'!$F$2:$F$43,'Data_ARR'!$A$2:$A$43,DATE(2026,1,1))/1000000</x:f>
        <x:v>-0.14968632</x:v>
      </x:c>
      <x:c r="G12" s="146" t="n">
        <x:f>SUMIFS('Data_ARR'!$G$2:$G$43,'Data_ARR'!$A$2:$A$43,DATE(2026,1,1))/1000000</x:f>
        <x:v>117.28330272</x:v>
      </x:c>
      <x:c r="H12" s="161" t="n">
        <x:f>SUMIFS('Data_ARR'!$H$2:$H$43,'Data_ARR'!$A$2:$A$43,DATE(2026,1,1))</x:f>
        <x:v>270</x:v>
      </x:c>
      <x:c r="I12" s="11"/>
      <x:c r="J12" s="11" t="n">
        <x:v>1</x:v>
      </x:c>
      <x:c r="K12" s="11" t="str">
        <x:v>Northstar Technology 028</x:v>
      </x:c>
      <x:c r="L12" s="11" t="str">
        <x:v>Enterprise</x:v>
      </x:c>
      <x:c r="M12" s="146" t="n">
        <x:v>2.9651801200000003</x:v>
      </x:c>
      <x:c r="N12" s="162" t="n">
        <x:v>0.0216</x:v>
      </x:c>
    </x:row>
    <x:row r="13">
      <x:c r="A13" s="11" t="str">
        <x:v>Feb</x:v>
      </x:c>
      <x:c r="B13" s="146" t="n">
        <x:f>SUMIFS('Data_ARR'!$B$2:$B$43,'Data_ARR'!$A$2:$A$43,DATE(2026,2,1))/1000000</x:f>
        <x:v>117.28330272</x:v>
      </x:c>
      <x:c r="C13" s="146" t="n">
        <x:f>SUMIFS('Data_ARR'!$C$2:$C$43,'Data_ARR'!$A$2:$A$43,DATE(2026,2,1))/1000000</x:f>
        <x:v>1.3889976000000002</x:v>
      </x:c>
      <x:c r="D13" s="146" t="n">
        <x:f>SUMIFS('Data_ARR'!$D$2:$D$43,'Data_ARR'!$A$2:$A$43,DATE(2026,2,1))/1000000</x:f>
        <x:v>0.99496812</x:v>
      </x:c>
      <x:c r="E13" s="146" t="n">
        <x:f>-SUMIFS('Data_ARR'!$E$2:$E$43,'Data_ARR'!$A$2:$A$43,DATE(2026,2,1))/1000000</x:f>
        <x:v>-0.014182440000000001</x:v>
      </x:c>
      <x:c r="F13" s="146" t="n">
        <x:f>-SUMIFS('Data_ARR'!$F$2:$F$43,'Data_ARR'!$A$2:$A$43,DATE(2026,2,1))/1000000</x:f>
        <x:v>0</x:v>
      </x:c>
      <x:c r="G13" s="146" t="n">
        <x:f>SUMIFS('Data_ARR'!$G$2:$G$43,'Data_ARR'!$A$2:$A$43,DATE(2026,2,1))/1000000</x:f>
        <x:v>119.65308587999999</x:v>
      </x:c>
      <x:c r="H13" s="161" t="n">
        <x:f>SUMIFS('Data_ARR'!$H$2:$H$43,'Data_ARR'!$A$2:$A$43,DATE(2026,2,1))</x:f>
        <x:v>273</x:v>
      </x:c>
      <x:c r="I13" s="11"/>
      <x:c r="J13" s="11" t="n">
        <x:v>2</x:v>
      </x:c>
      <x:c r="K13" s="11" t="str">
        <x:v>Highland Manufacturing 106</x:v>
      </x:c>
      <x:c r="L13" s="11" t="str">
        <x:v>Enterprise</x:v>
      </x:c>
      <x:c r="M13" s="146" t="n">
        <x:v>2.50320026</x:v>
      </x:c>
      <x:c r="N13" s="162" t="n">
        <x:v>0.0182</x:v>
      </x:c>
    </x:row>
    <x:row r="14">
      <x:c r="A14" s="11" t="str">
        <x:v>Mar</x:v>
      </x:c>
      <x:c r="B14" s="146" t="n">
        <x:f>SUMIFS('Data_ARR'!$B$2:$B$43,'Data_ARR'!$A$2:$A$43,DATE(2026,3,1))/1000000</x:f>
        <x:v>119.65308587999999</x:v>
      </x:c>
      <x:c r="C14" s="146" t="n">
        <x:f>SUMIFS('Data_ARR'!$C$2:$C$43,'Data_ARR'!$A$2:$A$43,DATE(2026,3,1))/1000000</x:f>
        <x:v>0.97673736</x:v>
      </x:c>
      <x:c r="D14" s="146" t="n">
        <x:f>SUMIFS('Data_ARR'!$D$2:$D$43,'Data_ARR'!$A$2:$A$43,DATE(2026,3,1))/1000000</x:f>
        <x:v>0.8290185600000001</x:v>
      </x:c>
      <x:c r="E14" s="146" t="n">
        <x:f>-SUMIFS('Data_ARR'!$E$2:$E$43,'Data_ARR'!$A$2:$A$43,DATE(2026,3,1))/1000000</x:f>
        <x:v>-0.09376944</x:v>
      </x:c>
      <x:c r="F14" s="146" t="n">
        <x:f>-SUMIFS('Data_ARR'!$F$2:$F$43,'Data_ARR'!$A$2:$A$43,DATE(2026,3,1))/1000000</x:f>
        <x:v>-1.93668252</x:v>
      </x:c>
      <x:c r="G14" s="146" t="n">
        <x:f>SUMIFS('Data_ARR'!$G$2:$G$43,'Data_ARR'!$A$2:$A$43,DATE(2026,3,1))/1000000</x:f>
        <x:v>119.42838972</x:v>
      </x:c>
      <x:c r="H14" s="161" t="n">
        <x:f>SUMIFS('Data_ARR'!$H$2:$H$43,'Data_ARR'!$A$2:$A$43,DATE(2026,3,1))</x:f>
        <x:v>274</x:v>
      </x:c>
      <x:c r="I14" s="11"/>
      <x:c r="J14" s="11" t="n">
        <x:v>3</x:v>
      </x:c>
      <x:c r="K14" s="11" t="str">
        <x:v>Redwood Mobility 114</x:v>
      </x:c>
      <x:c r="L14" s="11" t="str">
        <x:v>Enterprise</x:v>
      </x:c>
      <x:c r="M14" s="146" t="n">
        <x:v>2.28511388</x:v>
      </x:c>
      <x:c r="N14" s="162" t="n">
        <x:v>0.0166</x:v>
      </x:c>
    </x:row>
    <x:row r="15">
      <x:c r="A15" s="11" t="str">
        <x:v>Apr</x:v>
      </x:c>
      <x:c r="B15" s="146" t="n">
        <x:f>SUMIFS('Data_ARR'!$B$2:$B$43,'Data_ARR'!$A$2:$A$43,DATE(2026,4,1))/1000000</x:f>
        <x:v>119.42838972</x:v>
      </x:c>
      <x:c r="C15" s="146" t="n">
        <x:f>SUMIFS('Data_ARR'!$C$2:$C$43,'Data_ARR'!$A$2:$A$43,DATE(2026,4,1))/1000000</x:f>
        <x:v>0.15957684</x:v>
      </x:c>
      <x:c r="D15" s="146" t="n">
        <x:f>SUMIFS('Data_ARR'!$D$2:$D$43,'Data_ARR'!$A$2:$A$43,DATE(2026,4,1))/1000000</x:f>
        <x:v>0.82924812</x:v>
      </x:c>
      <x:c r="E15" s="146" t="n">
        <x:f>-SUMIFS('Data_ARR'!$E$2:$E$43,'Data_ARR'!$A$2:$A$43,DATE(2026,4,1))/1000000</x:f>
        <x:v>-0.09206376</x:v>
      </x:c>
      <x:c r="F15" s="146" t="n">
        <x:f>-SUMIFS('Data_ARR'!$F$2:$F$43,'Data_ARR'!$A$2:$A$43,DATE(2026,4,1))/1000000</x:f>
        <x:v>-2.88343404</x:v>
      </x:c>
      <x:c r="G15" s="146" t="n">
        <x:f>SUMIFS('Data_ARR'!$G$2:$G$43,'Data_ARR'!$A$2:$A$43,DATE(2026,4,1))/1000000</x:f>
        <x:v>117.44171664</x:v>
      </x:c>
      <x:c r="H15" s="161" t="n">
        <x:f>SUMIFS('Data_ARR'!$H$2:$H$43,'Data_ARR'!$A$2:$A$43,DATE(2026,4,1))</x:f>
        <x:v>273</x:v>
      </x:c>
      <x:c r="I15" s="11"/>
      <x:c r="J15" s="11" t="n">
        <x:v>4</x:v>
      </x:c>
      <x:c r="K15" s="11" t="str">
        <x:v>Atlas Foods 149</x:v>
      </x:c>
      <x:c r="L15" s="11" t="str">
        <x:v>Enterprise</x:v>
      </x:c>
      <x:c r="M15" s="146" t="n">
        <x:v>2.26028062</x:v>
      </x:c>
      <x:c r="N15" s="162" t="n">
        <x:v>0.0165</x:v>
      </x:c>
    </x:row>
    <x:row r="16">
      <x:c r="A16" s="11" t="str">
        <x:v>May</x:v>
      </x:c>
      <x:c r="B16" s="146" t="n">
        <x:f>SUMIFS('Data_ARR'!$B$2:$B$43,'Data_ARR'!$A$2:$A$43,DATE(2026,5,1))/1000000</x:f>
        <x:v>117.44171664</x:v>
      </x:c>
      <x:c r="C16" s="146" t="n">
        <x:f>SUMIFS('Data_ARR'!$C$2:$C$43,'Data_ARR'!$A$2:$A$43,DATE(2026,5,1))/1000000</x:f>
        <x:v>0.88551432</x:v>
      </x:c>
      <x:c r="D16" s="146" t="n">
        <x:f>SUMIFS('Data_ARR'!$D$2:$D$43,'Data_ARR'!$A$2:$A$43,DATE(2026,5,1))/1000000</x:f>
        <x:v>1.1810043600000002</x:v>
      </x:c>
      <x:c r="E16" s="146" t="n">
        <x:f>-SUMIFS('Data_ARR'!$E$2:$E$43,'Data_ARR'!$A$2:$A$43,DATE(2026,5,1))/1000000</x:f>
        <x:v>-0.028101599999999997</x:v>
      </x:c>
      <x:c r="F16" s="146" t="n">
        <x:f>-SUMIFS('Data_ARR'!$F$2:$F$43,'Data_ARR'!$A$2:$A$43,DATE(2026,5,1))/1000000</x:f>
        <x:v>-0.21678312</x:v>
      </x:c>
      <x:c r="G16" s="146" t="n">
        <x:f>SUMIFS('Data_ARR'!$G$2:$G$43,'Data_ARR'!$A$2:$A$43,DATE(2026,5,1))/1000000</x:f>
        <x:v>119.26335024</x:v>
      </x:c>
      <x:c r="H16" s="161" t="n">
        <x:f>SUMIFS('Data_ARR'!$H$2:$H$43,'Data_ARR'!$A$2:$A$43,DATE(2026,5,1))</x:f>
        <x:v>273</x:v>
      </x:c>
      <x:c r="I16" s="11"/>
      <x:c r="J16" s="11" t="n">
        <x:v>5</x:v>
      </x:c>
      <x:c r="K16" s="11" t="str">
        <x:v>Highland Insurance 037</x:v>
      </x:c>
      <x:c r="L16" s="11" t="str">
        <x:v>Enterprise</x:v>
      </x:c>
      <x:c r="M16" s="146" t="n">
        <x:v>2.14860179</x:v>
      </x:c>
      <x:c r="N16" s="162" t="n">
        <x:v>0.0157</x:v>
      </x:c>
    </x:row>
    <x:row r="17">
      <x:c r="A17" s="11" t="str">
        <x:v>Jun</x:v>
      </x:c>
      <x:c r="B17" s="146" t="n">
        <x:f>SUMIFS('Data_ARR'!$B$2:$B$43,'Data_ARR'!$A$2:$A$43,DATE(2026,6,1))/1000000</x:f>
        <x:v>119.26335024</x:v>
      </x:c>
      <x:c r="C17" s="146" t="n">
        <x:f>SUMIFS('Data_ARR'!$C$2:$C$43,'Data_ARR'!$A$2:$A$43,DATE(2026,6,1))/1000000</x:f>
        <x:v>0</x:v>
      </x:c>
      <x:c r="D17" s="146" t="n">
        <x:f>SUMIFS('Data_ARR'!$D$2:$D$43,'Data_ARR'!$A$2:$A$43,DATE(2026,6,1))/1000000</x:f>
        <x:v>0.6270468</x:v>
      </x:c>
      <x:c r="E17" s="146" t="n">
        <x:f>-SUMIFS('Data_ARR'!$E$2:$E$43,'Data_ARR'!$A$2:$A$43,DATE(2026,6,1))/1000000</x:f>
        <x:v>-0.02630004</x:v>
      </x:c>
      <x:c r="F17" s="146" t="n">
        <x:f>-SUMIFS('Data_ARR'!$F$2:$F$43,'Data_ARR'!$A$2:$A$43,DATE(2026,6,1))/1000000</x:f>
        <x:v>-2.1021864</x:v>
      </x:c>
      <x:c r="G17" s="146" t="n">
        <x:f>SUMIFS('Data_ARR'!$G$2:$G$43,'Data_ARR'!$A$2:$A$43,DATE(2026,6,1))/1000000</x:f>
        <x:v>117.76191048</x:v>
      </x:c>
      <x:c r="H17" s="161" t="n">
        <x:f>SUMIFS('Data_ARR'!$H$2:$H$43,'Data_ARR'!$A$2:$A$43,DATE(2026,6,1))</x:f>
        <x:v>272</x:v>
      </x:c>
      <x:c r="I17" s="11"/>
      <x:c r="J17" s="11" t="n">
        <x:v>6</x:v>
      </x:c>
      <x:c r="K17" s="11" t="str">
        <x:v>BluePeak Financial 278</x:v>
      </x:c>
      <x:c r="L17" s="11" t="str">
        <x:v>Enterprise</x:v>
      </x:c>
      <x:c r="M17" s="146" t="n">
        <x:v>2.1434596200000002</x:v>
      </x:c>
      <x:c r="N17" s="162" t="n">
        <x:v>0.0156</x:v>
      </x:c>
    </x:row>
    <x:row r="18">
      <x:c r="A18" s="11"/>
      <x:c r="B18" s="11"/>
      <x:c r="C18" s="11"/>
      <x:c r="D18" s="11"/>
      <x:c r="E18" s="11"/>
      <x:c r="F18" s="11"/>
      <x:c r="G18" s="11"/>
      <x:c r="H18" s="11"/>
      <x:c r="I18" s="11"/>
      <x:c r="J18" s="11" t="n">
        <x:v>7</x:v>
      </x:c>
      <x:c r="K18" s="11" t="str">
        <x:v>Evergreen Retail 163</x:v>
      </x:c>
      <x:c r="L18" s="11" t="str">
        <x:v>Enterprise</x:v>
      </x:c>
      <x:c r="M18" s="146" t="n">
        <x:v>1.97823818</x:v>
      </x:c>
      <x:c r="N18" s="162" t="n">
        <x:v>0.0144</x:v>
      </x:c>
    </x:row>
    <x:row r="19">
      <x:c r="A19" s="11"/>
      <x:c r="B19" s="11"/>
      <x:c r="C19" s="11"/>
      <x:c r="D19" s="11"/>
      <x:c r="E19" s="11"/>
      <x:c r="F19" s="11"/>
      <x:c r="G19" s="11"/>
      <x:c r="H19" s="11"/>
      <x:c r="I19" s="11"/>
      <x:c r="J19" s="11" t="n">
        <x:v>8</x:v>
      </x:c>
      <x:c r="K19" s="11" t="str">
        <x:v>Evergreen Energy 190</x:v>
      </x:c>
      <x:c r="L19" s="11" t="str">
        <x:v>Enterprise</x:v>
      </x:c>
      <x:c r="M19" s="146" t="n">
        <x:v>1.97748101</x:v>
      </x:c>
      <x:c r="N19" s="162" t="n">
        <x:v>0.0144</x:v>
      </x:c>
    </x:row>
    <x:row r="20">
      <x:c r="A20" s="11"/>
      <x:c r="B20" s="11"/>
      <x:c r="C20" s="11"/>
      <x:c r="D20" s="11"/>
      <x:c r="E20" s="11"/>
      <x:c r="F20" s="11"/>
      <x:c r="G20" s="11"/>
      <x:c r="H20" s="11"/>
      <x:c r="I20" s="11"/>
      <x:c r="J20" s="11" t="n">
        <x:v>9</x:v>
      </x:c>
      <x:c r="K20" s="11" t="str">
        <x:v>Meridian Manufacturing 300</x:v>
      </x:c>
      <x:c r="L20" s="11" t="str">
        <x:v>Enterprise</x:v>
      </x:c>
      <x:c r="M20" s="146" t="n">
        <x:v>1.9727215</x:v>
      </x:c>
      <x:c r="N20" s="162" t="n">
        <x:v>0.0144</x:v>
      </x:c>
    </x:row>
    <x:row r="21">
      <x:c r="A21" s="11"/>
      <x:c r="B21" s="11"/>
      <x:c r="C21" s="11"/>
      <x:c r="D21" s="11"/>
      <x:c r="E21" s="11"/>
      <x:c r="F21" s="11"/>
      <x:c r="G21" s="11"/>
      <x:c r="H21" s="11"/>
      <x:c r="I21" s="11"/>
      <x:c r="J21" s="11" t="n">
        <x:v>10</x:v>
      </x:c>
      <x:c r="K21" s="11" t="str">
        <x:v>Vantage Retail 211</x:v>
      </x:c>
      <x:c r="L21" s="11" t="str">
        <x:v>Enterprise</x:v>
      </x:c>
      <x:c r="M21" s="146" t="n">
        <x:v>1.9607676299999999</x:v>
      </x:c>
      <x:c r="N21" s="162" t="n">
        <x:v>0.0143</x:v>
      </x:c>
    </x:row>
    <x:row r="22">
      <x:c r="A22" s="11"/>
      <x:c r="B22" s="11"/>
      <x:c r="C22" s="11"/>
      <x:c r="D22" s="11"/>
      <x:c r="E22" s="11"/>
      <x:c r="F22" s="11"/>
      <x:c r="G22" s="11"/>
      <x:c r="H22" s="11"/>
      <x:c r="I22" s="11"/>
      <x:c r="J22" s="11"/>
      <x:c r="K22" s="11"/>
      <x:c r="L22" s="11"/>
      <x:c r="M22" s="11"/>
      <x:c r="N22" s="11"/>
    </x:row>
    <x:row r="23">
      <x:c r="A23" s="11"/>
      <x:c r="B23" s="11"/>
      <x:c r="C23" s="11"/>
      <x:c r="D23" s="11"/>
      <x:c r="E23" s="11"/>
      <x:c r="F23" s="11"/>
      <x:c r="G23" s="11"/>
      <x:c r="H23" s="11"/>
      <x:c r="I23" s="11"/>
      <x:c r="J23" s="11"/>
      <x:c r="K23" s="11"/>
      <x:c r="L23" s="11"/>
      <x:c r="M23" s="11"/>
      <x:c r="N23" s="11"/>
    </x:row>
    <x:row r="24">
      <x:c r="A24" s="11"/>
      <x:c r="B24" s="11"/>
      <x:c r="C24" s="11"/>
      <x:c r="D24" s="11"/>
      <x:c r="E24" s="11"/>
      <x:c r="F24" s="11"/>
      <x:c r="G24" s="11"/>
      <x:c r="H24" s="11"/>
      <x:c r="I24" s="11"/>
      <x:c r="J24" s="11"/>
      <x:c r="K24" s="11"/>
      <x:c r="L24" s="11"/>
      <x:c r="M24" s="11"/>
      <x:c r="N24" s="11"/>
    </x:row>
    <x:row r="25">
      <x:c r="A25" s="11"/>
      <x:c r="B25" s="11"/>
      <x:c r="C25" s="11"/>
      <x:c r="D25" s="11"/>
      <x:c r="E25" s="11"/>
      <x:c r="F25" s="11"/>
      <x:c r="G25" s="11"/>
      <x:c r="H25" s="11"/>
      <x:c r="I25" s="11"/>
      <x:c r="J25" s="11"/>
      <x:c r="K25" s="11"/>
      <x:c r="L25" s="11"/>
      <x:c r="M25" s="11"/>
      <x:c r="N25" s="11"/>
    </x:row>
    <x:row r="26">
      <x:c r="A26" s="11"/>
      <x:c r="B26" s="11"/>
      <x:c r="C26" s="11"/>
      <x:c r="D26" s="11"/>
      <x:c r="E26" s="11"/>
      <x:c r="F26" s="11"/>
      <x:c r="G26" s="11"/>
      <x:c r="H26" s="11"/>
      <x:c r="I26" s="11"/>
      <x:c r="J26" s="11"/>
      <x:c r="K26" s="11"/>
      <x:c r="L26" s="11"/>
      <x:c r="M26" s="11"/>
      <x:c r="N26" s="11"/>
    </x:row>
    <x:row r="27">
      <x:c r="A27" s="11"/>
      <x:c r="B27" s="11"/>
      <x:c r="C27" s="11"/>
      <x:c r="D27" s="11"/>
      <x:c r="E27" s="11"/>
      <x:c r="F27" s="11"/>
      <x:c r="G27" s="11"/>
      <x:c r="H27" s="11"/>
      <x:c r="I27" s="11"/>
      <x:c r="J27" s="11"/>
      <x:c r="K27" s="11"/>
      <x:c r="L27" s="11"/>
      <x:c r="M27" s="11"/>
      <x:c r="N27" s="11"/>
    </x:row>
    <x:row r="28">
      <x:c r="A28" s="11"/>
      <x:c r="B28" s="11"/>
      <x:c r="C28" s="11"/>
      <x:c r="D28" s="11"/>
      <x:c r="E28" s="11"/>
      <x:c r="F28" s="11"/>
      <x:c r="G28" s="11"/>
      <x:c r="H28" s="11"/>
      <x:c r="I28" s="11"/>
      <x:c r="J28" s="11"/>
      <x:c r="K28" s="11"/>
      <x:c r="L28" s="11"/>
      <x:c r="M28" s="11"/>
      <x:c r="N28" s="11"/>
    </x:row>
    <x:row r="29">
      <x:c r="A29" s="11"/>
      <x:c r="B29" s="11"/>
      <x:c r="C29" s="11"/>
      <x:c r="D29" s="11"/>
      <x:c r="E29" s="11"/>
      <x:c r="F29" s="11"/>
      <x:c r="G29" s="11"/>
      <x:c r="H29" s="11"/>
      <x:c r="I29" s="11"/>
      <x:c r="J29" s="11"/>
      <x:c r="K29" s="11"/>
      <x:c r="L29" s="11"/>
      <x:c r="M29" s="11"/>
      <x:c r="N29" s="11"/>
    </x:row>
    <x:row r="30">
      <x:c r="A30" s="11"/>
      <x:c r="B30" s="11"/>
      <x:c r="C30" s="11"/>
      <x:c r="D30" s="11"/>
      <x:c r="E30" s="11"/>
      <x:c r="F30" s="11"/>
      <x:c r="G30" s="11"/>
      <x:c r="H30" s="11"/>
      <x:c r="I30" s="11"/>
      <x:c r="J30" s="11"/>
      <x:c r="K30" s="11"/>
      <x:c r="L30" s="11"/>
      <x:c r="M30" s="11"/>
      <x:c r="N30" s="11"/>
    </x:row>
    <x:row r="31">
      <x:c r="A31" s="11"/>
      <x:c r="B31" s="11"/>
      <x:c r="C31" s="11"/>
      <x:c r="D31" s="11"/>
      <x:c r="E31" s="11"/>
      <x:c r="F31" s="11"/>
      <x:c r="G31" s="11"/>
      <x:c r="H31" s="11"/>
      <x:c r="I31" s="11"/>
      <x:c r="J31" s="11"/>
      <x:c r="K31" s="11"/>
      <x:c r="L31" s="11"/>
      <x:c r="M31" s="11"/>
      <x:c r="N31" s="11"/>
    </x:row>
    <x:row r="32">
      <x:c r="A32" s="11"/>
      <x:c r="B32" s="11"/>
      <x:c r="C32" s="11"/>
      <x:c r="D32" s="11"/>
      <x:c r="E32" s="11"/>
      <x:c r="F32" s="11"/>
      <x:c r="G32" s="11"/>
      <x:c r="H32" s="11"/>
      <x:c r="I32" s="11"/>
      <x:c r="J32" s="11"/>
      <x:c r="K32" s="11"/>
      <x:c r="L32" s="11"/>
      <x:c r="M32" s="11"/>
      <x:c r="N32" s="11"/>
    </x:row>
    <x:row r="33">
      <x:c r="A33" s="11"/>
      <x:c r="B33" s="11"/>
      <x:c r="C33" s="11"/>
      <x:c r="D33" s="11"/>
      <x:c r="E33" s="11"/>
      <x:c r="F33" s="11"/>
      <x:c r="G33" s="11"/>
      <x:c r="H33" s="11"/>
      <x:c r="I33" s="11"/>
      <x:c r="J33" s="11"/>
      <x:c r="K33" s="11"/>
      <x:c r="L33" s="11"/>
      <x:c r="M33" s="11"/>
      <x:c r="N33" s="11"/>
    </x:row>
    <x:row r="34">
      <x:c r="A34" s="11"/>
      <x:c r="B34" s="11"/>
      <x:c r="C34" s="11"/>
      <x:c r="D34" s="11"/>
      <x:c r="E34" s="11"/>
      <x:c r="F34" s="11"/>
      <x:c r="G34" s="11"/>
      <x:c r="H34" s="11"/>
      <x:c r="I34" s="11"/>
      <x:c r="J34" s="11"/>
      <x:c r="K34" s="11"/>
      <x:c r="L34" s="11"/>
      <x:c r="M34" s="11"/>
      <x:c r="N34" s="11"/>
    </x:row>
    <x:row r="35">
      <x:c r="A35" s="11"/>
      <x:c r="B35" s="11"/>
      <x:c r="C35" s="11"/>
      <x:c r="D35" s="11"/>
      <x:c r="E35" s="11"/>
      <x:c r="F35" s="11"/>
      <x:c r="G35" s="11"/>
      <x:c r="H35" s="11"/>
      <x:c r="I35" s="11"/>
      <x:c r="J35" s="11"/>
      <x:c r="K35" s="11"/>
      <x:c r="L35" s="11"/>
      <x:c r="M35" s="11"/>
      <x:c r="N35" s="11"/>
    </x:row>
    <x:row r="36">
      <x:c r="A36" s="11"/>
      <x:c r="B36" s="11"/>
      <x:c r="C36" s="11"/>
      <x:c r="D36" s="11"/>
      <x:c r="E36" s="11"/>
      <x:c r="F36" s="11"/>
      <x:c r="G36" s="11"/>
      <x:c r="H36" s="11"/>
      <x:c r="I36" s="11"/>
      <x:c r="J36" s="11"/>
      <x:c r="K36" s="11"/>
      <x:c r="L36" s="11"/>
      <x:c r="M36" s="11"/>
      <x:c r="N36" s="11"/>
    </x:row>
    <x:row r="37">
      <x:c r="A37" s="11"/>
      <x:c r="B37" s="11"/>
      <x:c r="C37" s="11"/>
      <x:c r="D37" s="11"/>
      <x:c r="E37" s="11"/>
      <x:c r="F37" s="11"/>
      <x:c r="G37" s="11"/>
      <x:c r="H37" s="11"/>
      <x:c r="I37" s="11"/>
      <x:c r="J37" s="11"/>
      <x:c r="K37" s="11"/>
      <x:c r="L37" s="11"/>
      <x:c r="M37" s="11"/>
      <x:c r="N37" s="11"/>
    </x:row>
    <x:row r="38">
      <x:c r="A38" s="11"/>
      <x:c r="B38" s="11"/>
      <x:c r="C38" s="11"/>
      <x:c r="D38" s="11"/>
      <x:c r="E38" s="11"/>
      <x:c r="F38" s="11"/>
      <x:c r="G38" s="11"/>
      <x:c r="H38" s="11"/>
      <x:c r="I38" s="11"/>
      <x:c r="J38" s="11"/>
      <x:c r="K38" s="11"/>
      <x:c r="L38" s="11"/>
      <x:c r="M38" s="11"/>
      <x:c r="N38" s="11"/>
    </x:row>
    <x:row r="39">
      <x:c r="A39" s="11"/>
      <x:c r="B39" s="11"/>
      <x:c r="C39" s="11"/>
      <x:c r="D39" s="11"/>
      <x:c r="E39" s="11"/>
      <x:c r="F39" s="11"/>
      <x:c r="G39" s="11"/>
      <x:c r="H39" s="11"/>
      <x:c r="I39" s="11"/>
      <x:c r="J39" s="11"/>
      <x:c r="K39" s="11"/>
      <x:c r="L39" s="11"/>
      <x:c r="M39" s="11"/>
      <x:c r="N39" s="11"/>
    </x:row>
    <x:row r="40">
      <x:c r="A40" s="11"/>
      <x:c r="B40" s="11"/>
      <x:c r="C40" s="11"/>
      <x:c r="D40" s="11"/>
      <x:c r="E40" s="11"/>
      <x:c r="F40" s="11"/>
      <x:c r="G40" s="11"/>
      <x:c r="H40" s="11"/>
      <x:c r="I40" s="11"/>
      <x:c r="J40" s="11"/>
      <x:c r="K40" s="11"/>
      <x:c r="L40" s="11"/>
      <x:c r="M40" s="11"/>
      <x:c r="N40" s="11"/>
    </x:row>
    <x:row r="41">
      <x:c r="A41" s="11"/>
      <x:c r="B41" s="11"/>
      <x:c r="C41" s="11"/>
      <x:c r="D41" s="11"/>
      <x:c r="E41" s="11"/>
      <x:c r="F41" s="11"/>
      <x:c r="G41" s="11"/>
      <x:c r="H41" s="11"/>
      <x:c r="I41" s="11"/>
      <x:c r="J41" s="11"/>
      <x:c r="K41" s="11"/>
      <x:c r="L41" s="11"/>
      <x:c r="M41" s="11"/>
      <x:c r="N41" s="11"/>
    </x:row>
    <x:row r="42">
      <x:c r="A42" s="11"/>
      <x:c r="B42" s="11"/>
      <x:c r="C42" s="11"/>
      <x:c r="D42" s="11"/>
      <x:c r="E42" s="11"/>
      <x:c r="F42" s="11"/>
      <x:c r="G42" s="11"/>
      <x:c r="H42" s="11"/>
      <x:c r="I42" s="11"/>
      <x:c r="J42" s="11"/>
      <x:c r="K42" s="11"/>
      <x:c r="L42" s="11"/>
      <x:c r="M42" s="11"/>
      <x:c r="N42" s="11"/>
    </x:row>
    <x:row r="43">
      <x:c r="A43" s="11"/>
      <x:c r="B43" s="11"/>
      <x:c r="C43" s="11"/>
      <x:c r="D43" s="11"/>
      <x:c r="E43" s="11"/>
      <x:c r="F43" s="11"/>
      <x:c r="G43" s="11"/>
      <x:c r="H43" s="11"/>
      <x:c r="I43" s="11"/>
      <x:c r="J43" s="11"/>
      <x:c r="K43" s="11"/>
      <x:c r="L43" s="11"/>
      <x:c r="M43" s="11"/>
      <x:c r="N43" s="11"/>
    </x:row>
    <x:row r="44">
      <x:c r="A44" s="11"/>
      <x:c r="B44" s="11"/>
      <x:c r="C44" s="11"/>
      <x:c r="D44" s="11"/>
      <x:c r="E44" s="11"/>
      <x:c r="F44" s="11"/>
      <x:c r="G44" s="11"/>
      <x:c r="H44" s="11"/>
      <x:c r="I44" s="11"/>
      <x:c r="J44" s="11"/>
      <x:c r="K44" s="11"/>
      <x:c r="L44" s="11"/>
      <x:c r="M44" s="11"/>
      <x:c r="N44" s="11"/>
    </x:row>
    <x:row r="45">
      <x:c r="A45" s="11"/>
      <x:c r="B45" s="11"/>
      <x:c r="C45" s="11"/>
      <x:c r="D45" s="11"/>
      <x:c r="E45" s="11"/>
      <x:c r="F45" s="11"/>
      <x:c r="G45" s="11"/>
      <x:c r="H45" s="11"/>
      <x:c r="I45" s="11"/>
      <x:c r="J45" s="11"/>
      <x:c r="K45" s="11"/>
      <x:c r="L45" s="11"/>
      <x:c r="M45" s="11"/>
      <x:c r="N45" s="11"/>
    </x:row>
    <x:row r="46">
      <x:c r="A46" s="11"/>
      <x:c r="B46" s="11"/>
      <x:c r="C46" s="11"/>
      <x:c r="D46" s="11"/>
      <x:c r="E46" s="11"/>
      <x:c r="F46" s="11"/>
      <x:c r="G46" s="11"/>
      <x:c r="H46" s="11"/>
      <x:c r="I46" s="11"/>
      <x:c r="J46" s="11"/>
      <x:c r="K46" s="11"/>
      <x:c r="L46" s="11"/>
      <x:c r="M46" s="11"/>
      <x:c r="N46" s="11"/>
    </x:row>
    <x:row r="47">
      <x:c r="A47" s="11"/>
      <x:c r="B47" s="11"/>
      <x:c r="C47" s="11"/>
      <x:c r="D47" s="11"/>
      <x:c r="E47" s="11"/>
      <x:c r="F47" s="11"/>
      <x:c r="G47" s="11"/>
      <x:c r="H47" s="11"/>
      <x:c r="I47" s="11"/>
      <x:c r="J47" s="11"/>
      <x:c r="K47" s="11"/>
      <x:c r="L47" s="11"/>
      <x:c r="M47" s="11"/>
      <x:c r="N47" s="11"/>
    </x:row>
    <x:row r="48">
      <x:c r="A48" s="11"/>
      <x:c r="B48" s="11"/>
      <x:c r="C48" s="11"/>
      <x:c r="D48" s="11"/>
      <x:c r="E48" s="11"/>
      <x:c r="F48" s="11"/>
      <x:c r="G48" s="11"/>
      <x:c r="H48" s="11"/>
      <x:c r="I48" s="11"/>
      <x:c r="J48" s="11"/>
      <x:c r="K48" s="11"/>
      <x:c r="L48" s="11"/>
      <x:c r="M48" s="11"/>
      <x:c r="N48" s="11"/>
    </x:row>
    <x:row r="49">
      <x:c r="A49" s="11"/>
      <x:c r="B49" s="11"/>
      <x:c r="C49" s="11"/>
      <x:c r="D49" s="11"/>
      <x:c r="E49" s="11"/>
      <x:c r="F49" s="11"/>
      <x:c r="G49" s="11"/>
      <x:c r="H49" s="11"/>
      <x:c r="I49" s="11"/>
      <x:c r="J49" s="11"/>
      <x:c r="K49" s="11"/>
      <x:c r="L49" s="11"/>
      <x:c r="M49" s="11"/>
      <x:c r="N49" s="11"/>
    </x:row>
    <x:row r="50">
      <x:c r="A50" s="11"/>
      <x:c r="B50" s="11"/>
      <x:c r="C50" s="11"/>
      <x:c r="D50" s="11"/>
      <x:c r="E50" s="11"/>
      <x:c r="F50" s="11"/>
      <x:c r="G50" s="11"/>
      <x:c r="H50" s="11"/>
      <x:c r="I50" s="11"/>
      <x:c r="J50" s="11"/>
      <x:c r="K50" s="11"/>
      <x:c r="L50" s="11"/>
      <x:c r="M50" s="11"/>
      <x:c r="N50" s="11"/>
    </x:row>
    <x:row r="51">
      <x:c r="A51" s="11"/>
      <x:c r="B51" s="11"/>
      <x:c r="C51" s="11"/>
      <x:c r="D51" s="11"/>
      <x:c r="E51" s="11"/>
      <x:c r="F51" s="11"/>
      <x:c r="G51" s="11"/>
      <x:c r="H51" s="11"/>
      <x:c r="I51" s="11"/>
      <x:c r="J51" s="11"/>
      <x:c r="K51" s="11"/>
      <x:c r="L51" s="11"/>
      <x:c r="M51" s="11"/>
      <x:c r="N51" s="11"/>
    </x:row>
    <x:row r="52">
      <x:c r="A52" s="11"/>
      <x:c r="B52" s="11"/>
      <x:c r="C52" s="11"/>
      <x:c r="D52" s="11"/>
      <x:c r="E52" s="11"/>
      <x:c r="F52" s="11"/>
      <x:c r="G52" s="11"/>
      <x:c r="H52" s="11"/>
      <x:c r="I52" s="11"/>
      <x:c r="J52" s="11"/>
      <x:c r="K52" s="11"/>
      <x:c r="L52" s="11"/>
      <x:c r="M52" s="11"/>
      <x:c r="N52" s="11"/>
    </x:row>
    <x:row r="53">
      <x:c r="A53" s="11"/>
      <x:c r="B53" s="11"/>
      <x:c r="C53" s="11"/>
      <x:c r="D53" s="11"/>
      <x:c r="E53" s="11"/>
      <x:c r="F53" s="11"/>
      <x:c r="G53" s="11"/>
      <x:c r="H53" s="11"/>
      <x:c r="I53" s="11"/>
      <x:c r="J53" s="11"/>
      <x:c r="K53" s="11"/>
      <x:c r="L53" s="11"/>
      <x:c r="M53" s="11"/>
      <x:c r="N53" s="11"/>
    </x:row>
    <x:row r="54">
      <x:c r="A54" s="11"/>
      <x:c r="B54" s="11"/>
      <x:c r="C54" s="11"/>
      <x:c r="D54" s="11"/>
      <x:c r="E54" s="11"/>
      <x:c r="F54" s="11"/>
      <x:c r="G54" s="11"/>
      <x:c r="H54" s="11"/>
      <x:c r="I54" s="11"/>
      <x:c r="J54" s="11"/>
      <x:c r="K54" s="11"/>
      <x:c r="L54" s="11"/>
      <x:c r="M54" s="11"/>
      <x:c r="N54" s="11"/>
    </x:row>
    <x:row r="55">
      <x:c r="A55" s="11"/>
      <x:c r="B55" s="11"/>
      <x:c r="C55" s="11"/>
      <x:c r="D55" s="11"/>
      <x:c r="E55" s="11"/>
      <x:c r="F55" s="11"/>
      <x:c r="G55" s="11"/>
      <x:c r="H55" s="11"/>
      <x:c r="I55" s="11"/>
      <x:c r="J55" s="11"/>
      <x:c r="K55" s="11"/>
      <x:c r="L55" s="11"/>
      <x:c r="M55" s="11"/>
      <x:c r="N55" s="11"/>
    </x:row>
    <x:row r="56">
      <x:c r="A56" s="11"/>
      <x:c r="B56" s="11"/>
      <x:c r="C56" s="11"/>
      <x:c r="D56" s="11"/>
      <x:c r="E56" s="11"/>
      <x:c r="F56" s="11"/>
      <x:c r="G56" s="11"/>
      <x:c r="H56" s="11"/>
      <x:c r="I56" s="11"/>
      <x:c r="J56" s="11"/>
      <x:c r="K56" s="11"/>
      <x:c r="L56" s="11"/>
      <x:c r="M56" s="11"/>
      <x:c r="N56" s="11"/>
    </x:row>
    <x:row r="57">
      <x:c r="A57" s="11"/>
      <x:c r="B57" s="11"/>
      <x:c r="C57" s="11"/>
      <x:c r="D57" s="11"/>
      <x:c r="E57" s="11"/>
      <x:c r="F57" s="11"/>
      <x:c r="G57" s="11"/>
      <x:c r="H57" s="11"/>
      <x:c r="I57" s="11"/>
      <x:c r="J57" s="11"/>
      <x:c r="K57" s="11"/>
      <x:c r="L57" s="11"/>
      <x:c r="M57" s="11"/>
      <x:c r="N57" s="11"/>
    </x:row>
    <x:row r="58">
      <x:c r="A58" s="11"/>
      <x:c r="B58" s="11"/>
      <x:c r="C58" s="11"/>
      <x:c r="D58" s="11"/>
      <x:c r="E58" s="11"/>
      <x:c r="F58" s="11"/>
      <x:c r="G58" s="11"/>
      <x:c r="H58" s="11"/>
      <x:c r="I58" s="11"/>
      <x:c r="J58" s="11"/>
      <x:c r="K58" s="11"/>
      <x:c r="L58" s="11"/>
      <x:c r="M58" s="11"/>
      <x:c r="N58" s="11"/>
    </x:row>
    <x:row r="59">
      <x:c r="A59" s="11"/>
      <x:c r="B59" s="11"/>
      <x:c r="C59" s="11"/>
      <x:c r="D59" s="11"/>
      <x:c r="E59" s="11"/>
      <x:c r="F59" s="11"/>
      <x:c r="G59" s="11"/>
      <x:c r="H59" s="11"/>
      <x:c r="I59" s="11"/>
      <x:c r="J59" s="11"/>
      <x:c r="K59" s="11"/>
      <x:c r="L59" s="11"/>
      <x:c r="M59" s="11"/>
      <x:c r="N59" s="11"/>
    </x:row>
    <x:row r="60">
      <x:c r="A60" s="11"/>
      <x:c r="B60" s="11"/>
      <x:c r="C60" s="11"/>
      <x:c r="D60" s="11"/>
      <x:c r="E60" s="11"/>
      <x:c r="F60" s="11"/>
      <x:c r="G60" s="11"/>
      <x:c r="H60" s="11"/>
      <x:c r="I60" s="11"/>
      <x:c r="J60" s="11"/>
      <x:c r="K60" s="11"/>
      <x:c r="L60" s="11"/>
      <x:c r="M60" s="11"/>
      <x:c r="N60" s="11"/>
    </x:row>
  </x:sheetData>
  <x:mergeCells>
    <x:mergeCell ref="A1:N2"/>
    <x:mergeCell ref="A3:N3"/>
    <x:mergeCell ref="A5:C5"/>
    <x:mergeCell ref="A6:C7"/>
    <x:mergeCell ref="D5:F5"/>
    <x:mergeCell ref="D6:F7"/>
    <x:mergeCell ref="G5:I5"/>
    <x:mergeCell ref="G6:I7"/>
    <x:mergeCell ref="J5:L5"/>
    <x:mergeCell ref="J6:L7"/>
    <x:mergeCell ref="A10:H10"/>
    <x:mergeCell ref="J10:N10"/>
  </x:mergeCells>
  <x:pageMargins left="0.7" right="0.7" top="0.75" bottom="0.75" header="0.3" footer="0.3"/>
  <x:drawing xmlns:r="http://schemas.openxmlformats.org/officeDocument/2006/relationships" r:id="R2537c5343da848ab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8" hidden="0" customWidth="1"/>
    <x:col min="3" max="3" width="18" hidden="0" customWidth="1"/>
    <x:col min="4" max="4" width="18" hidden="0" customWidth="1"/>
    <x:col min="6" max="6" width="28" hidden="0" customWidth="1"/>
    <x:col min="7" max="7" width="18" hidden="0" customWidth="1"/>
    <x:col min="8" max="8" width="18" hidden="0" customWidth="1"/>
  </x:cols>
  <x:sheetData>
    <x:row r="1">
      <x:c r="A1" s="14" t="str">
        <x:v>Headcount &amp; Utilization</x:v>
      </x:c>
      <x:c r="B1" s="14" t="str">
        <x:v>Headcount &amp; Utilization</x:v>
      </x:c>
      <x:c r="C1" s="14" t="str">
        <x:v>Headcount &amp; Utilization</x:v>
      </x:c>
      <x:c r="D1" s="14" t="str">
        <x:v>Headcount &amp; Utilization</x:v>
      </x:c>
      <x:c r="E1" s="14" t="str">
        <x:v>Headcount &amp; Utilization</x:v>
      </x:c>
      <x:c r="F1" s="14" t="str">
        <x:v>Headcount &amp; Utilization</x:v>
      </x:c>
      <x:c r="G1" s="14" t="str">
        <x:v>Headcount &amp; Utilization</x:v>
      </x:c>
      <x:c r="H1" s="14" t="str">
        <x:v>Headcount &amp; Utilization</x:v>
      </x:c>
      <x:c r="I1" s="14" t="str">
        <x:v>Headcount &amp; Utilization</x:v>
      </x:c>
      <x:c r="J1" s="14" t="str">
        <x:v>Headcount &amp; Utilization</x:v>
      </x:c>
      <x:c r="K1" s="14" t="str">
        <x:v>Headcount &amp; Utilization</x:v>
      </x:c>
      <x:c r="L1" s="14" t="str">
        <x:v>Headcount &amp; Utilization</x:v>
      </x:c>
      <x:c r="M1" s="14" t="str">
        <x:v>Headcount &amp; Utilization</x:v>
      </x:c>
      <x:c r="N1" s="14" t="str">
        <x:v>Headcount &amp; Utilization</x:v>
      </x:c>
    </x:row>
    <x:row r="2">
      <x:c r="A2" s="14" t="str">
        <x:v>Headcount &amp; Utilization</x:v>
      </x:c>
      <x:c r="B2" s="14" t="str">
        <x:v>Headcount &amp; Utilization</x:v>
      </x:c>
      <x:c r="C2" s="14" t="str">
        <x:v>Headcount &amp; Utilization</x:v>
      </x:c>
      <x:c r="D2" s="14" t="str">
        <x:v>Headcount &amp; Utilization</x:v>
      </x:c>
      <x:c r="E2" s="14" t="str">
        <x:v>Headcount &amp; Utilization</x:v>
      </x:c>
      <x:c r="F2" s="14" t="str">
        <x:v>Headcount &amp; Utilization</x:v>
      </x:c>
      <x:c r="G2" s="14" t="str">
        <x:v>Headcount &amp; Utilization</x:v>
      </x:c>
      <x:c r="H2" s="14" t="str">
        <x:v>Headcount &amp; Utilization</x:v>
      </x:c>
      <x:c r="I2" s="14" t="str">
        <x:v>Headcount &amp; Utilization</x:v>
      </x:c>
      <x:c r="J2" s="14" t="str">
        <x:v>Headcount &amp; Utilization</x:v>
      </x:c>
      <x:c r="K2" s="14" t="str">
        <x:v>Headcount &amp; Utilization</x:v>
      </x:c>
      <x:c r="L2" s="14" t="str">
        <x:v>Headcount &amp; Utilization</x:v>
      </x:c>
      <x:c r="M2" s="14" t="str">
        <x:v>Headcount &amp; Utilization</x:v>
      </x:c>
      <x:c r="N2" s="14" t="str">
        <x:v>Headcount &amp; Utilization</x:v>
      </x:c>
    </x:row>
    <x:row r="3">
      <x:c r="A3" s="17" t="str">
        <x:v>Workforce cost, function mix, and services capacity | June 2026</x:v>
      </x:c>
      <x:c r="B3" s="17" t="str">
        <x:v>Workforce cost, function mix, and services capacity | June 2026</x:v>
      </x:c>
      <x:c r="C3" s="17" t="str">
        <x:v>Workforce cost, function mix, and services capacity | June 2026</x:v>
      </x:c>
      <x:c r="D3" s="17" t="str">
        <x:v>Workforce cost, function mix, and services capacity | June 2026</x:v>
      </x:c>
      <x:c r="E3" s="17" t="str">
        <x:v>Workforce cost, function mix, and services capacity | June 2026</x:v>
      </x:c>
      <x:c r="F3" s="17" t="str">
        <x:v>Workforce cost, function mix, and services capacity | June 2026</x:v>
      </x:c>
      <x:c r="G3" s="17" t="str">
        <x:v>Workforce cost, function mix, and services capacity | June 2026</x:v>
      </x:c>
      <x:c r="H3" s="17" t="str">
        <x:v>Workforce cost, function mix, and services capacity | June 2026</x:v>
      </x:c>
      <x:c r="I3" s="17" t="str">
        <x:v>Workforce cost, function mix, and services capacity | June 2026</x:v>
      </x:c>
      <x:c r="J3" s="17" t="str">
        <x:v>Workforce cost, function mix, and services capacity | June 2026</x:v>
      </x:c>
      <x:c r="K3" s="17" t="str">
        <x:v>Workforce cost, function mix, and services capacity | June 2026</x:v>
      </x:c>
      <x:c r="L3" s="17" t="str">
        <x:v>Workforce cost, function mix, and services capacity | June 2026</x:v>
      </x:c>
      <x:c r="M3" s="17" t="str">
        <x:v>Workforce cost, function mix, and services capacity | June 2026</x:v>
      </x:c>
      <x:c r="N3" s="17" t="str">
        <x:v>Workforce cost, function mix, and services capacity | June 2026</x:v>
      </x:c>
    </x:row>
    <x:row r="4">
      <x:c r="A4" s="11"/>
      <x:c r="B4" s="11"/>
      <x:c r="C4" s="11"/>
      <x:c r="D4" s="11"/>
      <x:c r="E4" s="11"/>
      <x:c r="F4" s="11"/>
      <x:c r="G4" s="11"/>
      <x:c r="H4" s="11"/>
      <x:c r="I4" s="11"/>
      <x:c r="J4" s="11"/>
      <x:c r="K4" s="11"/>
      <x:c r="L4" s="11"/>
      <x:c r="M4" s="11"/>
      <x:c r="N4" s="11"/>
    </x:row>
    <x:row r="5">
      <x:c r="A5" s="25" t="str">
        <x:v>June Headcount</x:v>
      </x:c>
      <x:c r="B5" s="25" t="str">
        <x:v>June Headcount</x:v>
      </x:c>
      <x:c r="C5" s="25" t="str">
        <x:v>June Headcount</x:v>
      </x:c>
      <x:c r="D5" s="25" t="str">
        <x:v>H1 Personnel Cost</x:v>
      </x:c>
      <x:c r="E5" s="25" t="str">
        <x:v>H1 Personnel Cost</x:v>
      </x:c>
      <x:c r="F5" s="25" t="str">
        <x:v>H1 Personnel Cost</x:v>
      </x:c>
      <x:c r="G5" s="25" t="str">
        <x:v>June Services Utilization</x:v>
      </x:c>
      <x:c r="H5" s="25" t="str">
        <x:v>June Services Utilization</x:v>
      </x:c>
      <x:c r="I5" s="25" t="str">
        <x:v>June Services Utilization</x:v>
      </x:c>
      <x:c r="J5" s="25" t="str">
        <x:v>Headcount Growth vs PY</x:v>
      </x:c>
      <x:c r="K5" s="25" t="str">
        <x:v>Headcount Growth vs PY</x:v>
      </x:c>
      <x:c r="L5" s="25" t="str">
        <x:v>Headcount Growth vs PY</x:v>
      </x:c>
      <x:c r="M5" s="11"/>
      <x:c r="N5" s="11"/>
    </x:row>
    <x:row r="6">
      <x:c r="A6" s="104" t="n">
        <x:f>SUMIFS('Data_KPI'!$H$2:$H$43,'Data_KPI'!$A$2:$A$43,DATE(2026,6,1))</x:f>
        <x:v>422.6</x:v>
      </x:c>
      <x:c r="B6" s="105"/>
      <x:c r="C6" s="106"/>
      <x:c r="D6" s="38" t="n">
        <x:f>SUMIFS('Data_HC'!$F$2:$F$1732,'Data_HC'!$A$2:$A$1732,"&gt;="&amp;DATE(2026,1,1),'Data_HC'!$A$2:$A$1732,"&lt;="&amp;DATE(2026,6,1))/1000000</x:f>
        <x:v>42.959596729999944</x:v>
      </x:c>
      <x:c r="E6" s="39"/>
      <x:c r="F6" s="40"/>
      <x:c r="G6" s="71" t="n">
        <x:f>SUMIFS('Data_KPI'!$I$2:$I$43,'Data_KPI'!$A$2:$A$43,DATE(2026,6,1))</x:f>
        <x:v>0.7728</x:v>
      </x:c>
      <x:c r="H6" s="72"/>
      <x:c r="I6" s="73"/>
      <x:c r="J6" s="71" t="n">
        <x:f>SUMIFS('Data_KPI'!$H$2:$H$43,'Data_KPI'!$A$2:$A$43,DATE(2026,6,1))/SUMIFS('Data_KPI'!$H$2:$H$43,'Data_KPI'!$A$2:$A$43,DATE(2025,6,1))-1</x:f>
        <x:v>0.05229083665338652</x:v>
      </x:c>
      <x:c r="K6" s="72"/>
      <x:c r="L6" s="73"/>
      <x:c r="M6" s="11"/>
      <x:c r="N6" s="11"/>
    </x:row>
    <x:row r="7">
      <x:c r="A7" s="107"/>
      <x:c r="B7" s="108"/>
      <x:c r="C7" s="109"/>
      <x:c r="D7" s="41"/>
      <x:c r="E7" s="42"/>
      <x:c r="F7" s="43"/>
      <x:c r="G7" s="74"/>
      <x:c r="H7" s="75"/>
      <x:c r="I7" s="76"/>
      <x:c r="J7" s="74"/>
      <x:c r="K7" s="75"/>
      <x:c r="L7" s="76"/>
      <x:c r="M7" s="11"/>
      <x:c r="N7" s="11"/>
    </x:row>
    <x:row r="8">
      <x:c r="A8" s="11"/>
      <x:c r="B8" s="11"/>
      <x:c r="C8" s="11"/>
      <x:c r="D8" s="11"/>
      <x:c r="E8" s="11"/>
      <x:c r="F8" s="11"/>
      <x:c r="G8" s="11"/>
      <x:c r="H8" s="11"/>
      <x:c r="I8" s="11"/>
      <x:c r="J8" s="11"/>
      <x:c r="K8" s="11"/>
      <x:c r="L8" s="11"/>
      <x:c r="M8" s="11"/>
      <x:c r="N8" s="11"/>
    </x:row>
    <x:row r="9">
      <x:c r="A9" s="11"/>
      <x:c r="B9" s="11"/>
      <x:c r="C9" s="11"/>
      <x:c r="D9" s="11"/>
      <x:c r="E9" s="11"/>
      <x:c r="F9" s="11"/>
      <x:c r="G9" s="11"/>
      <x:c r="H9" s="11"/>
      <x:c r="I9" s="11"/>
      <x:c r="J9" s="11"/>
      <x:c r="K9" s="11"/>
      <x:c r="L9" s="11"/>
      <x:c r="M9" s="11"/>
      <x:c r="N9" s="11"/>
    </x:row>
    <x:row r="10">
      <x:c r="A10" s="112" t="str">
        <x:v>Monthly Workforce Trend</x:v>
      </x:c>
      <x:c r="B10" s="112" t="str">
        <x:v>Monthly Workforce Trend</x:v>
      </x:c>
      <x:c r="C10" s="112" t="str">
        <x:v>Monthly Workforce Trend</x:v>
      </x:c>
      <x:c r="D10" s="112" t="str">
        <x:v>Monthly Workforce Trend</x:v>
      </x:c>
      <x:c r="E10" s="11"/>
      <x:c r="F10" s="112" t="str">
        <x:v>June Function Mix</x:v>
      </x:c>
      <x:c r="G10" s="112" t="str">
        <x:v>June Function Mix</x:v>
      </x:c>
      <x:c r="H10" s="112" t="str">
        <x:v>June Function Mix</x:v>
      </x:c>
      <x:c r="I10" s="112" t="str">
        <x:v>June Function Mix</x:v>
      </x:c>
      <x:c r="J10" s="112" t="str">
        <x:v>June Function Mix</x:v>
      </x:c>
      <x:c r="K10" s="11"/>
      <x:c r="L10" s="11"/>
      <x:c r="M10" s="11"/>
      <x:c r="N10" s="11"/>
    </x:row>
    <x:row r="11">
      <x:c r="A11" s="144" t="str">
        <x:v>Month</x:v>
      </x:c>
      <x:c r="B11" s="144" t="str">
        <x:v>FTE</x:v>
      </x:c>
      <x:c r="C11" s="144" t="str">
        <x:v>Personnel Cost ($m)</x:v>
      </x:c>
      <x:c r="D11" s="144" t="str">
        <x:v>Services Util.</x:v>
      </x:c>
      <x:c r="E11" s="11"/>
      <x:c r="F11" s="144" t="str">
        <x:v>Function</x:v>
      </x:c>
      <x:c r="G11" s="144" t="str">
        <x:v>FTE</x:v>
      </x:c>
      <x:c r="H11" s="144" t="str">
        <x:v>Personnel Cost ($m)</x:v>
      </x:c>
      <x:c r="I11" s="11"/>
      <x:c r="J11" s="11"/>
      <x:c r="K11" s="11"/>
      <x:c r="L11" s="11"/>
      <x:c r="M11" s="11"/>
      <x:c r="N11" s="11"/>
    </x:row>
    <x:row r="12">
      <x:c r="A12" s="11" t="str">
        <x:v>Jan</x:v>
      </x:c>
      <x:c r="B12" s="163" t="n">
        <x:f>SUMIFS('Data_KPI'!$H$2:$H$43,'Data_KPI'!$A$2:$A$43,DATE(2026,1,1))</x:f>
        <x:v>414.6</x:v>
      </x:c>
      <x:c r="C12" s="146" t="n">
        <x:f>SUMIFS('Data_HC'!$F$2:$F$1732,'Data_HC'!$A$2:$A$1732,DATE(2026,1,1))/1000000</x:f>
        <x:v>7.103689540000001</x:v>
      </x:c>
      <x:c r="D12" s="162" t="n">
        <x:f>SUMIFS('Data_KPI'!$I$2:$I$43,'Data_KPI'!$A$2:$A$43,DATE(2026,1,1))</x:f>
        <x:v>0.6795</x:v>
      </x:c>
      <x:c r="E12" s="11"/>
      <x:c r="F12" s="11" t="str">
        <x:v>Cost of Revenue</x:v>
      </x:c>
      <x:c r="G12" s="163" t="n">
        <x:f>SUMIFS('Data_HC'!$E$2:$E$1732,'Data_HC'!$A$2:$A$1732,DATE(2026,6,1),'Data_HC'!$C$2:$C$1732,F12)</x:f>
        <x:v>146</x:v>
      </x:c>
      <x:c r="H12" s="146" t="n">
        <x:f>SUMIFS('Data_HC'!$F$2:$F$1732,'Data_HC'!$A$2:$A$1732,DATE(2026,6,1),'Data_HC'!$C$2:$C$1732,F12)/1000000</x:f>
        <x:v>2.18434756</x:v>
      </x:c>
      <x:c r="I12" s="11"/>
      <x:c r="J12" s="11"/>
      <x:c r="K12" s="11"/>
      <x:c r="L12" s="11"/>
      <x:c r="M12" s="11"/>
      <x:c r="N12" s="11"/>
    </x:row>
    <x:row r="13">
      <x:c r="A13" s="11" t="str">
        <x:v>Feb</x:v>
      </x:c>
      <x:c r="B13" s="163" t="n">
        <x:f>SUMIFS('Data_KPI'!$H$2:$H$43,'Data_KPI'!$A$2:$A$43,DATE(2026,2,1))</x:f>
        <x:v>414.6</x:v>
      </x:c>
      <x:c r="C13" s="146" t="n">
        <x:f>SUMIFS('Data_HC'!$F$2:$F$1732,'Data_HC'!$A$2:$A$1732,DATE(2026,2,1))/1000000</x:f>
        <x:v>7.120244380000003</x:v>
      </x:c>
      <x:c r="D13" s="162" t="n">
        <x:f>SUMIFS('Data_KPI'!$I$2:$I$43,'Data_KPI'!$A$2:$A$43,DATE(2026,2,1))</x:f>
        <x:v>0.6816</x:v>
      </x:c>
      <x:c r="E13" s="11"/>
      <x:c r="F13" s="11" t="str">
        <x:v>Sales &amp; Marketing</x:v>
      </x:c>
      <x:c r="G13" s="163" t="n">
        <x:f>SUMIFS('Data_HC'!$E$2:$E$1732,'Data_HC'!$A$2:$A$1732,DATE(2026,6,1),'Data_HC'!$C$2:$C$1732,F13)</x:f>
        <x:v>103.6</x:v>
      </x:c>
      <x:c r="H13" s="146" t="n">
        <x:f>SUMIFS('Data_HC'!$F$2:$F$1732,'Data_HC'!$A$2:$A$1732,DATE(2026,6,1),'Data_HC'!$C$2:$C$1732,F13)/1000000</x:f>
        <x:v>1.68524094</x:v>
      </x:c>
      <x:c r="I13" s="11"/>
      <x:c r="J13" s="11"/>
      <x:c r="K13" s="11"/>
      <x:c r="L13" s="11"/>
      <x:c r="M13" s="11"/>
      <x:c r="N13" s="11"/>
    </x:row>
    <x:row r="14">
      <x:c r="A14" s="11" t="str">
        <x:v>Mar</x:v>
      </x:c>
      <x:c r="B14" s="163" t="n">
        <x:f>SUMIFS('Data_KPI'!$H$2:$H$43,'Data_KPI'!$A$2:$A$43,DATE(2026,3,1))</x:f>
        <x:v>413.6</x:v>
      </x:c>
      <x:c r="C14" s="146" t="n">
        <x:f>SUMIFS('Data_HC'!$F$2:$F$1732,'Data_HC'!$A$2:$A$1732,DATE(2026,3,1))/1000000</x:f>
        <x:v>7.121265360000003</x:v>
      </x:c>
      <x:c r="D14" s="162" t="n">
        <x:f>SUMIFS('Data_KPI'!$I$2:$I$43,'Data_KPI'!$A$2:$A$43,DATE(2026,3,1))</x:f>
        <x:v>0.7249</x:v>
      </x:c>
      <x:c r="E14" s="11"/>
      <x:c r="F14" s="11" t="str">
        <x:v>Research &amp; Development</x:v>
      </x:c>
      <x:c r="G14" s="163" t="n">
        <x:f>SUMIFS('Data_HC'!$E$2:$E$1732,'Data_HC'!$A$2:$A$1732,DATE(2026,6,1),'Data_HC'!$C$2:$C$1732,F14)</x:f>
        <x:v>115.4</x:v>
      </x:c>
      <x:c r="H14" s="146" t="n">
        <x:f>SUMIFS('Data_HC'!$F$2:$F$1732,'Data_HC'!$A$2:$A$1732,DATE(2026,6,1),'Data_HC'!$C$2:$C$1732,F14)/1000000</x:f>
        <x:v>2.3561030499999998</x:v>
      </x:c>
      <x:c r="I14" s="11"/>
      <x:c r="J14" s="11"/>
      <x:c r="K14" s="11"/>
      <x:c r="L14" s="11"/>
      <x:c r="M14" s="11"/>
      <x:c r="N14" s="11"/>
    </x:row>
    <x:row r="15">
      <x:c r="A15" s="11" t="str">
        <x:v>Apr</x:v>
      </x:c>
      <x:c r="B15" s="163" t="n">
        <x:f>SUMIFS('Data_KPI'!$H$2:$H$43,'Data_KPI'!$A$2:$A$43,DATE(2026,4,1))</x:f>
        <x:v>416.6</x:v>
      </x:c>
      <x:c r="C15" s="146" t="n">
        <x:f>SUMIFS('Data_HC'!$F$2:$F$1732,'Data_HC'!$A$2:$A$1732,DATE(2026,4,1))/1000000</x:f>
        <x:v>7.1629148700000025</x:v>
      </x:c>
      <x:c r="D15" s="162" t="n">
        <x:f>SUMIFS('Data_KPI'!$I$2:$I$43,'Data_KPI'!$A$2:$A$43,DATE(2026,4,1))</x:f>
        <x:v>0.7478</x:v>
      </x:c>
      <x:c r="E15" s="11"/>
      <x:c r="F15" s="11" t="str">
        <x:v>General &amp; Administrative</x:v>
      </x:c>
      <x:c r="G15" s="163" t="n">
        <x:f>SUMIFS('Data_HC'!$E$2:$E$1732,'Data_HC'!$A$2:$A$1732,DATE(2026,6,1),'Data_HC'!$C$2:$C$1732,F15)</x:f>
        <x:v>57.6</x:v>
      </x:c>
      <x:c r="H15" s="146" t="n">
        <x:f>SUMIFS('Data_HC'!$F$2:$F$1732,'Data_HC'!$A$2:$A$1732,DATE(2026,6,1),'Data_HC'!$C$2:$C$1732,F15)/1000000</x:f>
        <x:v>0.9987463700000001</x:v>
      </x:c>
      <x:c r="I15" s="11"/>
      <x:c r="J15" s="11"/>
      <x:c r="K15" s="11"/>
      <x:c r="L15" s="11"/>
      <x:c r="M15" s="11"/>
      <x:c r="N15" s="11"/>
    </x:row>
    <x:row r="16">
      <x:c r="A16" s="11" t="str">
        <x:v>May</x:v>
      </x:c>
      <x:c r="B16" s="163" t="n">
        <x:f>SUMIFS('Data_KPI'!$H$2:$H$43,'Data_KPI'!$A$2:$A$43,DATE(2026,5,1))</x:f>
        <x:v>421.6</x:v>
      </x:c>
      <x:c r="C16" s="146" t="n">
        <x:f>SUMIFS('Data_HC'!$F$2:$F$1732,'Data_HC'!$A$2:$A$1732,DATE(2026,5,1))/1000000</x:f>
        <x:v>7.2270446600000025</x:v>
      </x:c>
      <x:c r="D16" s="162" t="n">
        <x:f>SUMIFS('Data_KPI'!$I$2:$I$43,'Data_KPI'!$A$2:$A$43,DATE(2026,5,1))</x:f>
        <x:v>0.7833</x:v>
      </x:c>
      <x:c r="E16" s="11"/>
      <x:c r="F16" s="11"/>
      <x:c r="G16" s="11"/>
      <x:c r="H16" s="11"/>
      <x:c r="I16" s="11"/>
      <x:c r="J16" s="11"/>
      <x:c r="K16" s="11"/>
      <x:c r="L16" s="11"/>
      <x:c r="M16" s="11"/>
      <x:c r="N16" s="11"/>
    </x:row>
    <x:row r="17">
      <x:c r="A17" s="11" t="str">
        <x:v>Jun</x:v>
      </x:c>
      <x:c r="B17" s="163" t="n">
        <x:f>SUMIFS('Data_KPI'!$H$2:$H$43,'Data_KPI'!$A$2:$A$43,DATE(2026,6,1))</x:f>
        <x:v>422.6</x:v>
      </x:c>
      <x:c r="C17" s="146" t="n">
        <x:f>SUMIFS('Data_HC'!$F$2:$F$1732,'Data_HC'!$A$2:$A$1732,DATE(2026,6,1))/1000000</x:f>
        <x:v>7.224437920000002</x:v>
      </x:c>
      <x:c r="D17" s="162" t="n">
        <x:f>SUMIFS('Data_KPI'!$I$2:$I$43,'Data_KPI'!$A$2:$A$43,DATE(2026,6,1))</x:f>
        <x:v>0.7728</x:v>
      </x:c>
      <x:c r="E17" s="11"/>
      <x:c r="F17" s="11"/>
      <x:c r="G17" s="11"/>
      <x:c r="H17" s="11"/>
      <x:c r="I17" s="11"/>
      <x:c r="J17" s="11"/>
      <x:c r="K17" s="11"/>
      <x:c r="L17" s="11"/>
      <x:c r="M17" s="11"/>
      <x:c r="N17" s="11"/>
    </x:row>
    <x:row r="18">
      <x:c r="A18" s="11"/>
      <x:c r="B18" s="11"/>
      <x:c r="C18" s="11"/>
      <x:c r="D18" s="11"/>
      <x:c r="E18" s="11"/>
      <x:c r="F18" s="11"/>
      <x:c r="G18" s="11"/>
      <x:c r="H18" s="11"/>
      <x:c r="I18" s="11"/>
      <x:c r="J18" s="11"/>
      <x:c r="K18" s="11"/>
      <x:c r="L18" s="11"/>
      <x:c r="M18" s="11"/>
      <x:c r="N18" s="11"/>
    </x:row>
    <x:row r="19">
      <x:c r="A19" s="11"/>
      <x:c r="B19" s="11"/>
      <x:c r="C19" s="11"/>
      <x:c r="D19" s="11"/>
      <x:c r="E19" s="11"/>
      <x:c r="F19" s="11"/>
      <x:c r="G19" s="11"/>
      <x:c r="H19" s="11"/>
      <x:c r="I19" s="11"/>
      <x:c r="J19" s="11"/>
      <x:c r="K19" s="11"/>
      <x:c r="L19" s="11"/>
      <x:c r="M19" s="11"/>
      <x:c r="N19" s="11"/>
    </x:row>
    <x:row r="20">
      <x:c r="A20" s="11"/>
      <x:c r="B20" s="11"/>
      <x:c r="C20" s="11"/>
      <x:c r="D20" s="11"/>
      <x:c r="E20" s="11"/>
      <x:c r="F20" s="11"/>
      <x:c r="G20" s="11"/>
      <x:c r="H20" s="11"/>
      <x:c r="I20" s="11"/>
      <x:c r="J20" s="11"/>
      <x:c r="K20" s="11"/>
      <x:c r="L20" s="11"/>
      <x:c r="M20" s="11"/>
      <x:c r="N20" s="11"/>
    </x:row>
    <x:row r="21">
      <x:c r="A21" s="11"/>
      <x:c r="B21" s="11"/>
      <x:c r="C21" s="11"/>
      <x:c r="D21" s="11"/>
      <x:c r="E21" s="11"/>
      <x:c r="F21" s="11"/>
      <x:c r="G21" s="11"/>
      <x:c r="H21" s="11"/>
      <x:c r="I21" s="11"/>
      <x:c r="J21" s="11"/>
      <x:c r="K21" s="11"/>
      <x:c r="L21" s="11"/>
      <x:c r="M21" s="11"/>
      <x:c r="N21" s="11"/>
    </x:row>
    <x:row r="22">
      <x:c r="A22" s="11"/>
      <x:c r="B22" s="11"/>
      <x:c r="C22" s="11"/>
      <x:c r="D22" s="11"/>
      <x:c r="E22" s="11"/>
      <x:c r="F22" s="11"/>
      <x:c r="G22" s="11"/>
      <x:c r="H22" s="11"/>
      <x:c r="I22" s="11"/>
      <x:c r="J22" s="11"/>
      <x:c r="K22" s="11"/>
      <x:c r="L22" s="11"/>
      <x:c r="M22" s="11"/>
      <x:c r="N22" s="11"/>
    </x:row>
    <x:row r="23">
      <x:c r="A23" s="11"/>
      <x:c r="B23" s="11"/>
      <x:c r="C23" s="11"/>
      <x:c r="D23" s="11"/>
      <x:c r="E23" s="11"/>
      <x:c r="F23" s="11"/>
      <x:c r="G23" s="11"/>
      <x:c r="H23" s="11"/>
      <x:c r="I23" s="11"/>
      <x:c r="J23" s="11"/>
      <x:c r="K23" s="11"/>
      <x:c r="L23" s="11"/>
      <x:c r="M23" s="11"/>
      <x:c r="N23" s="11"/>
    </x:row>
    <x:row r="24">
      <x:c r="A24" s="11"/>
      <x:c r="B24" s="11"/>
      <x:c r="C24" s="11"/>
      <x:c r="D24" s="11"/>
      <x:c r="E24" s="11"/>
      <x:c r="F24" s="11"/>
      <x:c r="G24" s="11"/>
      <x:c r="H24" s="11"/>
      <x:c r="I24" s="11"/>
      <x:c r="J24" s="11"/>
      <x:c r="K24" s="11"/>
      <x:c r="L24" s="11"/>
      <x:c r="M24" s="11"/>
      <x:c r="N24" s="11"/>
    </x:row>
    <x:row r="25">
      <x:c r="A25" s="11"/>
      <x:c r="B25" s="11"/>
      <x:c r="C25" s="11"/>
      <x:c r="D25" s="11"/>
      <x:c r="E25" s="11"/>
      <x:c r="F25" s="11"/>
      <x:c r="G25" s="11"/>
      <x:c r="H25" s="11"/>
      <x:c r="I25" s="11"/>
      <x:c r="J25" s="11"/>
      <x:c r="K25" s="11"/>
      <x:c r="L25" s="11"/>
      <x:c r="M25" s="11"/>
      <x:c r="N25" s="11"/>
    </x:row>
    <x:row r="26">
      <x:c r="A26" s="11"/>
      <x:c r="B26" s="11"/>
      <x:c r="C26" s="11"/>
      <x:c r="D26" s="11"/>
      <x:c r="E26" s="11"/>
      <x:c r="F26" s="11"/>
      <x:c r="G26" s="11"/>
      <x:c r="H26" s="11"/>
      <x:c r="I26" s="11"/>
      <x:c r="J26" s="11"/>
      <x:c r="K26" s="11"/>
      <x:c r="L26" s="11"/>
      <x:c r="M26" s="11"/>
      <x:c r="N26" s="11"/>
    </x:row>
    <x:row r="27">
      <x:c r="A27" s="11"/>
      <x:c r="B27" s="11"/>
      <x:c r="C27" s="11"/>
      <x:c r="D27" s="11"/>
      <x:c r="E27" s="11"/>
      <x:c r="F27" s="11"/>
      <x:c r="G27" s="11"/>
      <x:c r="H27" s="11"/>
      <x:c r="I27" s="11"/>
      <x:c r="J27" s="11"/>
      <x:c r="K27" s="11"/>
      <x:c r="L27" s="11"/>
      <x:c r="M27" s="11"/>
      <x:c r="N27" s="11"/>
    </x:row>
    <x:row r="28">
      <x:c r="A28" s="11"/>
      <x:c r="B28" s="11"/>
      <x:c r="C28" s="11"/>
      <x:c r="D28" s="11"/>
      <x:c r="E28" s="11"/>
      <x:c r="F28" s="11"/>
      <x:c r="G28" s="11"/>
      <x:c r="H28" s="11"/>
      <x:c r="I28" s="11"/>
      <x:c r="J28" s="11"/>
      <x:c r="K28" s="11"/>
      <x:c r="L28" s="11"/>
      <x:c r="M28" s="11"/>
      <x:c r="N28" s="11"/>
    </x:row>
    <x:row r="29">
      <x:c r="A29" s="11"/>
      <x:c r="B29" s="11"/>
      <x:c r="C29" s="11"/>
      <x:c r="D29" s="11"/>
      <x:c r="E29" s="11"/>
      <x:c r="F29" s="11"/>
      <x:c r="G29" s="11"/>
      <x:c r="H29" s="11"/>
      <x:c r="I29" s="11"/>
      <x:c r="J29" s="11"/>
      <x:c r="K29" s="11"/>
      <x:c r="L29" s="11"/>
      <x:c r="M29" s="11"/>
      <x:c r="N29" s="11"/>
    </x:row>
    <x:row r="30">
      <x:c r="A30" s="11"/>
      <x:c r="B30" s="11"/>
      <x:c r="C30" s="11"/>
      <x:c r="D30" s="11"/>
      <x:c r="E30" s="11"/>
      <x:c r="F30" s="11"/>
      <x:c r="G30" s="11"/>
      <x:c r="H30" s="11"/>
      <x:c r="I30" s="11"/>
      <x:c r="J30" s="11"/>
      <x:c r="K30" s="11"/>
      <x:c r="L30" s="11"/>
      <x:c r="M30" s="11"/>
      <x:c r="N30" s="11"/>
    </x:row>
    <x:row r="31">
      <x:c r="A31" s="11"/>
      <x:c r="B31" s="11"/>
      <x:c r="C31" s="11"/>
      <x:c r="D31" s="11"/>
      <x:c r="E31" s="11"/>
      <x:c r="F31" s="11"/>
      <x:c r="G31" s="11"/>
      <x:c r="H31" s="11"/>
      <x:c r="I31" s="11"/>
      <x:c r="J31" s="11"/>
      <x:c r="K31" s="11"/>
      <x:c r="L31" s="11"/>
      <x:c r="M31" s="11"/>
      <x:c r="N31" s="11"/>
    </x:row>
    <x:row r="32">
      <x:c r="A32" s="11"/>
      <x:c r="B32" s="11"/>
      <x:c r="C32" s="11"/>
      <x:c r="D32" s="11"/>
      <x:c r="E32" s="11"/>
      <x:c r="F32" s="11"/>
      <x:c r="G32" s="11"/>
      <x:c r="H32" s="11"/>
      <x:c r="I32" s="11"/>
      <x:c r="J32" s="11"/>
      <x:c r="K32" s="11"/>
      <x:c r="L32" s="11"/>
      <x:c r="M32" s="11"/>
      <x:c r="N32" s="11"/>
    </x:row>
    <x:row r="33">
      <x:c r="A33" s="11"/>
      <x:c r="B33" s="11"/>
      <x:c r="C33" s="11"/>
      <x:c r="D33" s="11"/>
      <x:c r="E33" s="11"/>
      <x:c r="F33" s="11"/>
      <x:c r="G33" s="11"/>
      <x:c r="H33" s="11"/>
      <x:c r="I33" s="11"/>
      <x:c r="J33" s="11"/>
      <x:c r="K33" s="11"/>
      <x:c r="L33" s="11"/>
      <x:c r="M33" s="11"/>
      <x:c r="N33" s="11"/>
    </x:row>
    <x:row r="34">
      <x:c r="A34" s="11"/>
      <x:c r="B34" s="11"/>
      <x:c r="C34" s="11"/>
      <x:c r="D34" s="11"/>
      <x:c r="E34" s="11"/>
      <x:c r="F34" s="11"/>
      <x:c r="G34" s="11"/>
      <x:c r="H34" s="11"/>
      <x:c r="I34" s="11"/>
      <x:c r="J34" s="11"/>
      <x:c r="K34" s="11"/>
      <x:c r="L34" s="11"/>
      <x:c r="M34" s="11"/>
      <x:c r="N34" s="11"/>
    </x:row>
    <x:row r="35">
      <x:c r="A35" s="11"/>
      <x:c r="B35" s="11"/>
      <x:c r="C35" s="11"/>
      <x:c r="D35" s="11"/>
      <x:c r="E35" s="11"/>
      <x:c r="F35" s="11"/>
      <x:c r="G35" s="11"/>
      <x:c r="H35" s="11"/>
      <x:c r="I35" s="11"/>
      <x:c r="J35" s="11"/>
      <x:c r="K35" s="11"/>
      <x:c r="L35" s="11"/>
      <x:c r="M35" s="11"/>
      <x:c r="N35" s="11"/>
    </x:row>
    <x:row r="36">
      <x:c r="A36" s="11"/>
      <x:c r="B36" s="11"/>
      <x:c r="C36" s="11"/>
      <x:c r="D36" s="11"/>
      <x:c r="E36" s="11"/>
      <x:c r="F36" s="11"/>
      <x:c r="G36" s="11"/>
      <x:c r="H36" s="11"/>
      <x:c r="I36" s="11"/>
      <x:c r="J36" s="11"/>
      <x:c r="K36" s="11"/>
      <x:c r="L36" s="11"/>
      <x:c r="M36" s="11"/>
      <x:c r="N36" s="11"/>
    </x:row>
    <x:row r="37">
      <x:c r="A37" s="11"/>
      <x:c r="B37" s="11"/>
      <x:c r="C37" s="11"/>
      <x:c r="D37" s="11"/>
      <x:c r="E37" s="11"/>
      <x:c r="F37" s="11"/>
      <x:c r="G37" s="11"/>
      <x:c r="H37" s="11"/>
      <x:c r="I37" s="11"/>
      <x:c r="J37" s="11"/>
      <x:c r="K37" s="11"/>
      <x:c r="L37" s="11"/>
      <x:c r="M37" s="11"/>
      <x:c r="N37" s="11"/>
    </x:row>
    <x:row r="38">
      <x:c r="A38" s="11"/>
      <x:c r="B38" s="11"/>
      <x:c r="C38" s="11"/>
      <x:c r="D38" s="11"/>
      <x:c r="E38" s="11"/>
      <x:c r="F38" s="11"/>
      <x:c r="G38" s="11"/>
      <x:c r="H38" s="11"/>
      <x:c r="I38" s="11"/>
      <x:c r="J38" s="11"/>
      <x:c r="K38" s="11"/>
      <x:c r="L38" s="11"/>
      <x:c r="M38" s="11"/>
      <x:c r="N38" s="11"/>
    </x:row>
    <x:row r="39">
      <x:c r="A39" s="11"/>
      <x:c r="B39" s="11"/>
      <x:c r="C39" s="11"/>
      <x:c r="D39" s="11"/>
      <x:c r="E39" s="11"/>
      <x:c r="F39" s="11"/>
      <x:c r="G39" s="11"/>
      <x:c r="H39" s="11"/>
      <x:c r="I39" s="11"/>
      <x:c r="J39" s="11"/>
      <x:c r="K39" s="11"/>
      <x:c r="L39" s="11"/>
      <x:c r="M39" s="11"/>
      <x:c r="N39" s="11"/>
    </x:row>
    <x:row r="40">
      <x:c r="A40" s="11"/>
      <x:c r="B40" s="11"/>
      <x:c r="C40" s="11"/>
      <x:c r="D40" s="11"/>
      <x:c r="E40" s="11"/>
      <x:c r="F40" s="11"/>
      <x:c r="G40" s="11"/>
      <x:c r="H40" s="11"/>
      <x:c r="I40" s="11"/>
      <x:c r="J40" s="11"/>
      <x:c r="K40" s="11"/>
      <x:c r="L40" s="11"/>
      <x:c r="M40" s="11"/>
      <x:c r="N40" s="11"/>
    </x:row>
    <x:row r="41">
      <x:c r="A41" s="11"/>
      <x:c r="B41" s="11"/>
      <x:c r="C41" s="11"/>
      <x:c r="D41" s="11"/>
      <x:c r="E41" s="11"/>
      <x:c r="F41" s="11"/>
      <x:c r="G41" s="11"/>
      <x:c r="H41" s="11"/>
      <x:c r="I41" s="11"/>
      <x:c r="J41" s="11"/>
      <x:c r="K41" s="11"/>
      <x:c r="L41" s="11"/>
      <x:c r="M41" s="11"/>
      <x:c r="N41" s="11"/>
    </x:row>
    <x:row r="42">
      <x:c r="A42" s="11"/>
      <x:c r="B42" s="11"/>
      <x:c r="C42" s="11"/>
      <x:c r="D42" s="11"/>
      <x:c r="E42" s="11"/>
      <x:c r="F42" s="11"/>
      <x:c r="G42" s="11"/>
      <x:c r="H42" s="11"/>
      <x:c r="I42" s="11"/>
      <x:c r="J42" s="11"/>
      <x:c r="K42" s="11"/>
      <x:c r="L42" s="11"/>
      <x:c r="M42" s="11"/>
      <x:c r="N42" s="11"/>
    </x:row>
    <x:row r="43">
      <x:c r="A43" s="11"/>
      <x:c r="B43" s="11"/>
      <x:c r="C43" s="11"/>
      <x:c r="D43" s="11"/>
      <x:c r="E43" s="11"/>
      <x:c r="F43" s="11"/>
      <x:c r="G43" s="11"/>
      <x:c r="H43" s="11"/>
      <x:c r="I43" s="11"/>
      <x:c r="J43" s="11"/>
      <x:c r="K43" s="11"/>
      <x:c r="L43" s="11"/>
      <x:c r="M43" s="11"/>
      <x:c r="N43" s="11"/>
    </x:row>
    <x:row r="44">
      <x:c r="A44" s="11"/>
      <x:c r="B44" s="11"/>
      <x:c r="C44" s="11"/>
      <x:c r="D44" s="11"/>
      <x:c r="E44" s="11"/>
      <x:c r="F44" s="11"/>
      <x:c r="G44" s="11"/>
      <x:c r="H44" s="11"/>
      <x:c r="I44" s="11"/>
      <x:c r="J44" s="11"/>
      <x:c r="K44" s="11"/>
      <x:c r="L44" s="11"/>
      <x:c r="M44" s="11"/>
      <x:c r="N44" s="11"/>
    </x:row>
    <x:row r="45">
      <x:c r="A45" s="11"/>
      <x:c r="B45" s="11"/>
      <x:c r="C45" s="11"/>
      <x:c r="D45" s="11"/>
      <x:c r="E45" s="11"/>
      <x:c r="F45" s="11"/>
      <x:c r="G45" s="11"/>
      <x:c r="H45" s="11"/>
      <x:c r="I45" s="11"/>
      <x:c r="J45" s="11"/>
      <x:c r="K45" s="11"/>
      <x:c r="L45" s="11"/>
      <x:c r="M45" s="11"/>
      <x:c r="N45" s="11"/>
    </x:row>
    <x:row r="46">
      <x:c r="A46" s="11"/>
      <x:c r="B46" s="11"/>
      <x:c r="C46" s="11"/>
      <x:c r="D46" s="11"/>
      <x:c r="E46" s="11"/>
      <x:c r="F46" s="11"/>
      <x:c r="G46" s="11"/>
      <x:c r="H46" s="11"/>
      <x:c r="I46" s="11"/>
      <x:c r="J46" s="11"/>
      <x:c r="K46" s="11"/>
      <x:c r="L46" s="11"/>
      <x:c r="M46" s="11"/>
      <x:c r="N46" s="11"/>
    </x:row>
    <x:row r="47">
      <x:c r="A47" s="11"/>
      <x:c r="B47" s="11"/>
      <x:c r="C47" s="11"/>
      <x:c r="D47" s="11"/>
      <x:c r="E47" s="11"/>
      <x:c r="F47" s="11"/>
      <x:c r="G47" s="11"/>
      <x:c r="H47" s="11"/>
      <x:c r="I47" s="11"/>
      <x:c r="J47" s="11"/>
      <x:c r="K47" s="11"/>
      <x:c r="L47" s="11"/>
      <x:c r="M47" s="11"/>
      <x:c r="N47" s="11"/>
    </x:row>
    <x:row r="48">
      <x:c r="A48" s="11"/>
      <x:c r="B48" s="11"/>
      <x:c r="C48" s="11"/>
      <x:c r="D48" s="11"/>
      <x:c r="E48" s="11"/>
      <x:c r="F48" s="11"/>
      <x:c r="G48" s="11"/>
      <x:c r="H48" s="11"/>
      <x:c r="I48" s="11"/>
      <x:c r="J48" s="11"/>
      <x:c r="K48" s="11"/>
      <x:c r="L48" s="11"/>
      <x:c r="M48" s="11"/>
      <x:c r="N48" s="11"/>
    </x:row>
    <x:row r="49">
      <x:c r="A49" s="11"/>
      <x:c r="B49" s="11"/>
      <x:c r="C49" s="11"/>
      <x:c r="D49" s="11"/>
      <x:c r="E49" s="11"/>
      <x:c r="F49" s="11"/>
      <x:c r="G49" s="11"/>
      <x:c r="H49" s="11"/>
      <x:c r="I49" s="11"/>
      <x:c r="J49" s="11"/>
      <x:c r="K49" s="11"/>
      <x:c r="L49" s="11"/>
      <x:c r="M49" s="11"/>
      <x:c r="N49" s="11"/>
    </x:row>
    <x:row r="50">
      <x:c r="A50" s="11"/>
      <x:c r="B50" s="11"/>
      <x:c r="C50" s="11"/>
      <x:c r="D50" s="11"/>
      <x:c r="E50" s="11"/>
      <x:c r="F50" s="11"/>
      <x:c r="G50" s="11"/>
      <x:c r="H50" s="11"/>
      <x:c r="I50" s="11"/>
      <x:c r="J50" s="11"/>
      <x:c r="K50" s="11"/>
      <x:c r="L50" s="11"/>
      <x:c r="M50" s="11"/>
      <x:c r="N50" s="11"/>
    </x:row>
    <x:row r="51">
      <x:c r="A51" s="11"/>
      <x:c r="B51" s="11"/>
      <x:c r="C51" s="11"/>
      <x:c r="D51" s="11"/>
      <x:c r="E51" s="11"/>
      <x:c r="F51" s="11"/>
      <x:c r="G51" s="11"/>
      <x:c r="H51" s="11"/>
      <x:c r="I51" s="11"/>
      <x:c r="J51" s="11"/>
      <x:c r="K51" s="11"/>
      <x:c r="L51" s="11"/>
      <x:c r="M51" s="11"/>
      <x:c r="N51" s="11"/>
    </x:row>
    <x:row r="52">
      <x:c r="A52" s="11"/>
      <x:c r="B52" s="11"/>
      <x:c r="C52" s="11"/>
      <x:c r="D52" s="11"/>
      <x:c r="E52" s="11"/>
      <x:c r="F52" s="11"/>
      <x:c r="G52" s="11"/>
      <x:c r="H52" s="11"/>
      <x:c r="I52" s="11"/>
      <x:c r="J52" s="11"/>
      <x:c r="K52" s="11"/>
      <x:c r="L52" s="11"/>
      <x:c r="M52" s="11"/>
      <x:c r="N52" s="11"/>
    </x:row>
    <x:row r="53">
      <x:c r="A53" s="11"/>
      <x:c r="B53" s="11"/>
      <x:c r="C53" s="11"/>
      <x:c r="D53" s="11"/>
      <x:c r="E53" s="11"/>
      <x:c r="F53" s="11"/>
      <x:c r="G53" s="11"/>
      <x:c r="H53" s="11"/>
      <x:c r="I53" s="11"/>
      <x:c r="J53" s="11"/>
      <x:c r="K53" s="11"/>
      <x:c r="L53" s="11"/>
      <x:c r="M53" s="11"/>
      <x:c r="N53" s="11"/>
    </x:row>
    <x:row r="54">
      <x:c r="A54" s="11"/>
      <x:c r="B54" s="11"/>
      <x:c r="C54" s="11"/>
      <x:c r="D54" s="11"/>
      <x:c r="E54" s="11"/>
      <x:c r="F54" s="11"/>
      <x:c r="G54" s="11"/>
      <x:c r="H54" s="11"/>
      <x:c r="I54" s="11"/>
      <x:c r="J54" s="11"/>
      <x:c r="K54" s="11"/>
      <x:c r="L54" s="11"/>
      <x:c r="M54" s="11"/>
      <x:c r="N54" s="11"/>
    </x:row>
    <x:row r="55">
      <x:c r="A55" s="11"/>
      <x:c r="B55" s="11"/>
      <x:c r="C55" s="11"/>
      <x:c r="D55" s="11"/>
      <x:c r="E55" s="11"/>
      <x:c r="F55" s="11"/>
      <x:c r="G55" s="11"/>
      <x:c r="H55" s="11"/>
      <x:c r="I55" s="11"/>
      <x:c r="J55" s="11"/>
      <x:c r="K55" s="11"/>
      <x:c r="L55" s="11"/>
      <x:c r="M55" s="11"/>
      <x:c r="N55" s="11"/>
    </x:row>
    <x:row r="56">
      <x:c r="A56" s="11"/>
      <x:c r="B56" s="11"/>
      <x:c r="C56" s="11"/>
      <x:c r="D56" s="11"/>
      <x:c r="E56" s="11"/>
      <x:c r="F56" s="11"/>
      <x:c r="G56" s="11"/>
      <x:c r="H56" s="11"/>
      <x:c r="I56" s="11"/>
      <x:c r="J56" s="11"/>
      <x:c r="K56" s="11"/>
      <x:c r="L56" s="11"/>
      <x:c r="M56" s="11"/>
      <x:c r="N56" s="11"/>
    </x:row>
    <x:row r="57">
      <x:c r="A57" s="11"/>
      <x:c r="B57" s="11"/>
      <x:c r="C57" s="11"/>
      <x:c r="D57" s="11"/>
      <x:c r="E57" s="11"/>
      <x:c r="F57" s="11"/>
      <x:c r="G57" s="11"/>
      <x:c r="H57" s="11"/>
      <x:c r="I57" s="11"/>
      <x:c r="J57" s="11"/>
      <x:c r="K57" s="11"/>
      <x:c r="L57" s="11"/>
      <x:c r="M57" s="11"/>
      <x:c r="N57" s="11"/>
    </x:row>
    <x:row r="58">
      <x:c r="A58" s="11"/>
      <x:c r="B58" s="11"/>
      <x:c r="C58" s="11"/>
      <x:c r="D58" s="11"/>
      <x:c r="E58" s="11"/>
      <x:c r="F58" s="11"/>
      <x:c r="G58" s="11"/>
      <x:c r="H58" s="11"/>
      <x:c r="I58" s="11"/>
      <x:c r="J58" s="11"/>
      <x:c r="K58" s="11"/>
      <x:c r="L58" s="11"/>
      <x:c r="M58" s="11"/>
      <x:c r="N58" s="11"/>
    </x:row>
    <x:row r="59">
      <x:c r="A59" s="11"/>
      <x:c r="B59" s="11"/>
      <x:c r="C59" s="11"/>
      <x:c r="D59" s="11"/>
      <x:c r="E59" s="11"/>
      <x:c r="F59" s="11"/>
      <x:c r="G59" s="11"/>
      <x:c r="H59" s="11"/>
      <x:c r="I59" s="11"/>
      <x:c r="J59" s="11"/>
      <x:c r="K59" s="11"/>
      <x:c r="L59" s="11"/>
      <x:c r="M59" s="11"/>
      <x:c r="N59" s="11"/>
    </x:row>
    <x:row r="60">
      <x:c r="A60" s="11"/>
      <x:c r="B60" s="11"/>
      <x:c r="C60" s="11"/>
      <x:c r="D60" s="11"/>
      <x:c r="E60" s="11"/>
      <x:c r="F60" s="11"/>
      <x:c r="G60" s="11"/>
      <x:c r="H60" s="11"/>
      <x:c r="I60" s="11"/>
      <x:c r="J60" s="11"/>
      <x:c r="K60" s="11"/>
      <x:c r="L60" s="11"/>
      <x:c r="M60" s="11"/>
      <x:c r="N60" s="11"/>
    </x:row>
  </x:sheetData>
  <x:mergeCells>
    <x:mergeCell ref="A1:N2"/>
    <x:mergeCell ref="A3:N3"/>
    <x:mergeCell ref="A5:C5"/>
    <x:mergeCell ref="A6:C7"/>
    <x:mergeCell ref="D5:F5"/>
    <x:mergeCell ref="D6:F7"/>
    <x:mergeCell ref="G5:I5"/>
    <x:mergeCell ref="G6:I7"/>
    <x:mergeCell ref="J5:L5"/>
    <x:mergeCell ref="J6:L7"/>
    <x:mergeCell ref="A10:D10"/>
    <x:mergeCell ref="F10:J10"/>
  </x:mergeCells>
  <x:pageMargins left="0.7" right="0.7" top="0.75" bottom="0.75" header="0.3" footer="0.3"/>
  <x:drawing xmlns:r="http://schemas.openxmlformats.org/officeDocument/2006/relationships" r:id="Rd6f6f23406334fdd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5" hidden="0" customWidth="1"/>
    <x:col min="3" max="3" width="15" hidden="0" customWidth="1"/>
    <x:col min="5" max="5" width="15" hidden="0" customWidth="1"/>
    <x:col min="6" max="6" width="27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</x:cols>
  <x:sheetData>
    <x:row r="1">
      <x:c r="A1" s="14" t="str">
        <x:v>AR Aging &amp; Collections</x:v>
      </x:c>
      <x:c r="B1" s="14" t="str">
        <x:v>AR Aging &amp; Collections</x:v>
      </x:c>
      <x:c r="C1" s="14" t="str">
        <x:v>AR Aging &amp; Collections</x:v>
      </x:c>
      <x:c r="D1" s="14" t="str">
        <x:v>AR Aging &amp; Collections</x:v>
      </x:c>
      <x:c r="E1" s="14" t="str">
        <x:v>AR Aging &amp; Collections</x:v>
      </x:c>
      <x:c r="F1" s="14" t="str">
        <x:v>AR Aging &amp; Collections</x:v>
      </x:c>
      <x:c r="G1" s="14" t="str">
        <x:v>AR Aging &amp; Collections</x:v>
      </x:c>
      <x:c r="H1" s="14" t="str">
        <x:v>AR Aging &amp; Collections</x:v>
      </x:c>
      <x:c r="I1" s="14" t="str">
        <x:v>AR Aging &amp; Collections</x:v>
      </x:c>
      <x:c r="J1" s="14" t="str">
        <x:v>AR Aging &amp; Collections</x:v>
      </x:c>
      <x:c r="K1" s="14" t="str">
        <x:v>AR Aging &amp; Collections</x:v>
      </x:c>
      <x:c r="L1" s="14" t="str">
        <x:v>AR Aging &amp; Collections</x:v>
      </x:c>
      <x:c r="M1" s="14" t="str">
        <x:v>AR Aging &amp; Collections</x:v>
      </x:c>
      <x:c r="N1" s="14" t="str">
        <x:v>AR Aging &amp; Collections</x:v>
      </x:c>
    </x:row>
    <x:row r="2">
      <x:c r="A2" s="14" t="str">
        <x:v>AR Aging &amp; Collections</x:v>
      </x:c>
      <x:c r="B2" s="14" t="str">
        <x:v>AR Aging &amp; Collections</x:v>
      </x:c>
      <x:c r="C2" s="14" t="str">
        <x:v>AR Aging &amp; Collections</x:v>
      </x:c>
      <x:c r="D2" s="14" t="str">
        <x:v>AR Aging &amp; Collections</x:v>
      </x:c>
      <x:c r="E2" s="14" t="str">
        <x:v>AR Aging &amp; Collections</x:v>
      </x:c>
      <x:c r="F2" s="14" t="str">
        <x:v>AR Aging &amp; Collections</x:v>
      </x:c>
      <x:c r="G2" s="14" t="str">
        <x:v>AR Aging &amp; Collections</x:v>
      </x:c>
      <x:c r="H2" s="14" t="str">
        <x:v>AR Aging &amp; Collections</x:v>
      </x:c>
      <x:c r="I2" s="14" t="str">
        <x:v>AR Aging &amp; Collections</x:v>
      </x:c>
      <x:c r="J2" s="14" t="str">
        <x:v>AR Aging &amp; Collections</x:v>
      </x:c>
      <x:c r="K2" s="14" t="str">
        <x:v>AR Aging &amp; Collections</x:v>
      </x:c>
      <x:c r="L2" s="14" t="str">
        <x:v>AR Aging &amp; Collections</x:v>
      </x:c>
      <x:c r="M2" s="14" t="str">
        <x:v>AR Aging &amp; Collections</x:v>
      </x:c>
      <x:c r="N2" s="14" t="str">
        <x:v>AR Aging &amp; Collections</x:v>
      </x:c>
    </x:row>
    <x:row r="3">
      <x:c r="A3" s="17" t="str">
        <x:v>Open receivables as of June 30, 2026 | DSO uses trailing 90-day revenue</x:v>
      </x:c>
      <x:c r="B3" s="17" t="str">
        <x:v>Open receivables as of June 30, 2026 | DSO uses trailing 90-day revenue</x:v>
      </x:c>
      <x:c r="C3" s="17" t="str">
        <x:v>Open receivables as of June 30, 2026 | DSO uses trailing 90-day revenue</x:v>
      </x:c>
      <x:c r="D3" s="17" t="str">
        <x:v>Open receivables as of June 30, 2026 | DSO uses trailing 90-day revenue</x:v>
      </x:c>
      <x:c r="E3" s="17" t="str">
        <x:v>Open receivables as of June 30, 2026 | DSO uses trailing 90-day revenue</x:v>
      </x:c>
      <x:c r="F3" s="17" t="str">
        <x:v>Open receivables as of June 30, 2026 | DSO uses trailing 90-day revenue</x:v>
      </x:c>
      <x:c r="G3" s="17" t="str">
        <x:v>Open receivables as of June 30, 2026 | DSO uses trailing 90-day revenue</x:v>
      </x:c>
      <x:c r="H3" s="17" t="str">
        <x:v>Open receivables as of June 30, 2026 | DSO uses trailing 90-day revenue</x:v>
      </x:c>
      <x:c r="I3" s="17" t="str">
        <x:v>Open receivables as of June 30, 2026 | DSO uses trailing 90-day revenue</x:v>
      </x:c>
      <x:c r="J3" s="17" t="str">
        <x:v>Open receivables as of June 30, 2026 | DSO uses trailing 90-day revenue</x:v>
      </x:c>
      <x:c r="K3" s="17" t="str">
        <x:v>Open receivables as of June 30, 2026 | DSO uses trailing 90-day revenue</x:v>
      </x:c>
      <x:c r="L3" s="17" t="str">
        <x:v>Open receivables as of June 30, 2026 | DSO uses trailing 90-day revenue</x:v>
      </x:c>
      <x:c r="M3" s="17" t="str">
        <x:v>Open receivables as of June 30, 2026 | DSO uses trailing 90-day revenue</x:v>
      </x:c>
      <x:c r="N3" s="17" t="str">
        <x:v>Open receivables as of June 30, 2026 | DSO uses trailing 90-day revenue</x:v>
      </x:c>
    </x:row>
    <x:row r="4">
      <x:c r="A4" s="11"/>
      <x:c r="B4" s="11"/>
      <x:c r="C4" s="11"/>
      <x:c r="D4" s="11"/>
      <x:c r="E4" s="11"/>
      <x:c r="F4" s="11"/>
      <x:c r="G4" s="11"/>
      <x:c r="H4" s="11"/>
      <x:c r="I4" s="11"/>
      <x:c r="J4" s="11"/>
      <x:c r="K4" s="11"/>
      <x:c r="L4" s="11"/>
      <x:c r="M4" s="11"/>
      <x:c r="N4" s="11"/>
    </x:row>
    <x:row r="5">
      <x:c r="A5" s="25" t="str">
        <x:v>Open AR</x:v>
      </x:c>
      <x:c r="B5" s="25" t="str">
        <x:v>Open AR</x:v>
      </x:c>
      <x:c r="C5" s="25" t="str">
        <x:v>Open AR</x:v>
      </x:c>
      <x:c r="D5" s="25" t="str">
        <x:v>DSO</x:v>
      </x:c>
      <x:c r="E5" s="25" t="str">
        <x:v>DSO</x:v>
      </x:c>
      <x:c r="F5" s="25" t="str">
        <x:v>DSO</x:v>
      </x:c>
      <x:c r="G5" s="25" t="str">
        <x:v>Past-Due Share</x:v>
      </x:c>
      <x:c r="H5" s="25" t="str">
        <x:v>Past-Due Share</x:v>
      </x:c>
      <x:c r="I5" s="25" t="str">
        <x:v>Past-Due Share</x:v>
      </x:c>
      <x:c r="J5" s="46" t="str">
        <x:v>90+ Day Share</x:v>
      </x:c>
      <x:c r="K5" s="46" t="str">
        <x:v>90+ Day Share</x:v>
      </x:c>
      <x:c r="L5" s="46" t="str">
        <x:v>90+ Day Share</x:v>
      </x:c>
      <x:c r="M5" s="11"/>
      <x:c r="N5" s="11"/>
    </x:row>
    <x:row r="6">
      <x:c r="A6" s="38" t="n">
        <x:f>SUM('Data_AR'!$L$2:$L$92)/1000000</x:f>
        <x:v>8.643770280000002</x:v>
      </x:c>
      <x:c r="B6" s="39"/>
      <x:c r="C6" s="40"/>
      <x:c r="D6" s="104" t="n">
        <x:f>SUM('Data_AR'!$L$2:$L$92)/SUMIFS('Data_P&amp;L'!$E$2:$E$67,'Data_P&amp;L'!$B$2:$B$67,"Actual",'Data_P&amp;L'!$A$2:$A$67,"&gt;="&amp;DATE(2026,4,1),'Data_P&amp;L'!$A$2:$A$67,"&lt;="&amp;DATE(2026,6,1))*90</x:f>
        <x:v>22.302348408563212</x:v>
      </x:c>
      <x:c r="E6" s="105"/>
      <x:c r="F6" s="106"/>
      <x:c r="G6" s="71" t="n">
        <x:f>SUMIFS('Data_AR'!$L$2:$L$92,'Data_AR'!$N$2:$N$92,"&gt;0")/SUM('Data_AR'!$L$2:$L$92)</x:f>
        <x:v>0.1052465174953724</x:v>
      </x:c>
      <x:c r="H6" s="72"/>
      <x:c r="I6" s="73"/>
      <x:c r="J6" s="59" t="n">
        <x:f>SUMIFS('Data_AR'!$L$2:$L$92,'Data_AR'!$O$2:$O$92,"90+ days")/SUM('Data_AR'!$L$2:$L$92)</x:f>
        <x:v>0.028585630112326395</x:v>
      </x:c>
      <x:c r="K6" s="60"/>
      <x:c r="L6" s="61"/>
      <x:c r="M6" s="11"/>
      <x:c r="N6" s="11"/>
    </x:row>
    <x:row r="7">
      <x:c r="A7" s="41"/>
      <x:c r="B7" s="42"/>
      <x:c r="C7" s="43"/>
      <x:c r="D7" s="107"/>
      <x:c r="E7" s="108"/>
      <x:c r="F7" s="109"/>
      <x:c r="G7" s="74"/>
      <x:c r="H7" s="75"/>
      <x:c r="I7" s="76"/>
      <x:c r="J7" s="62"/>
      <x:c r="K7" s="63"/>
      <x:c r="L7" s="64"/>
      <x:c r="M7" s="11"/>
      <x:c r="N7" s="11"/>
    </x:row>
    <x:row r="8">
      <x:c r="A8" s="11"/>
      <x:c r="B8" s="11"/>
      <x:c r="C8" s="11"/>
      <x:c r="D8" s="11"/>
      <x:c r="E8" s="11"/>
      <x:c r="F8" s="11"/>
      <x:c r="G8" s="11"/>
      <x:c r="H8" s="11"/>
      <x:c r="I8" s="11"/>
      <x:c r="J8" s="11"/>
      <x:c r="K8" s="11"/>
      <x:c r="L8" s="11"/>
      <x:c r="M8" s="11"/>
      <x:c r="N8" s="11"/>
    </x:row>
    <x:row r="9">
      <x:c r="A9" s="11"/>
      <x:c r="B9" s="11"/>
      <x:c r="C9" s="11"/>
      <x:c r="D9" s="11"/>
      <x:c r="E9" s="11"/>
      <x:c r="F9" s="11"/>
      <x:c r="G9" s="11"/>
      <x:c r="H9" s="11"/>
      <x:c r="I9" s="11"/>
      <x:c r="J9" s="11"/>
      <x:c r="K9" s="11"/>
      <x:c r="L9" s="11"/>
      <x:c r="M9" s="11"/>
      <x:c r="N9" s="11"/>
    </x:row>
    <x:row r="10">
      <x:c r="A10" s="112" t="str">
        <x:v>Aging Summary</x:v>
      </x:c>
      <x:c r="B10" s="112" t="str">
        <x:v>Aging Summary</x:v>
      </x:c>
      <x:c r="C10" s="112" t="str">
        <x:v>Aging Summary</x:v>
      </x:c>
      <x:c r="D10" s="11"/>
      <x:c r="E10" s="112" t="str">
        <x:v>Largest Open Invoices</x:v>
      </x:c>
      <x:c r="F10" s="112" t="str">
        <x:v>Largest Open Invoices</x:v>
      </x:c>
      <x:c r="G10" s="112" t="str">
        <x:v>Largest Open Invoices</x:v>
      </x:c>
      <x:c r="H10" s="112" t="str">
        <x:v>Largest Open Invoices</x:v>
      </x:c>
      <x:c r="I10" s="112" t="str">
        <x:v>Largest Open Invoices</x:v>
      </x:c>
      <x:c r="J10" s="112" t="str">
        <x:v>Largest Open Invoices</x:v>
      </x:c>
      <x:c r="K10" s="112" t="str">
        <x:v>Largest Open Invoices</x:v>
      </x:c>
      <x:c r="L10" s="112" t="str">
        <x:v>Largest Open Invoices</x:v>
      </x:c>
      <x:c r="M10" s="112" t="str">
        <x:v>Largest Open Invoices</x:v>
      </x:c>
      <x:c r="N10" s="112" t="str">
        <x:v>Largest Open Invoices</x:v>
      </x:c>
    </x:row>
    <x:row r="11">
      <x:c r="A11" s="144" t="str">
        <x:v>Aging Bucket</x:v>
      </x:c>
      <x:c r="B11" s="144" t="str">
        <x:v>Open AR ($m)</x:v>
      </x:c>
      <x:c r="C11" s="144" t="str">
        <x:v>Share</x:v>
      </x:c>
      <x:c r="D11" s="11"/>
      <x:c r="E11" s="144" t="str">
        <x:v>Invoice</x:v>
      </x:c>
      <x:c r="F11" s="144" t="str">
        <x:v>Customer</x:v>
      </x:c>
      <x:c r="G11" s="144" t="str">
        <x:v>Segment</x:v>
      </x:c>
      <x:c r="H11" s="144" t="str">
        <x:v>Region</x:v>
      </x:c>
      <x:c r="I11" s="144" t="str">
        <x:v>Type</x:v>
      </x:c>
      <x:c r="J11" s="144" t="str">
        <x:v>Due Date</x:v>
      </x:c>
      <x:c r="K11" s="144" t="str">
        <x:v>Open ($m)</x:v>
      </x:c>
      <x:c r="L11" s="144" t="str">
        <x:v>Days Past Due</x:v>
      </x:c>
      <x:c r="M11" s="144" t="str">
        <x:v>Bucket</x:v>
      </x:c>
      <x:c r="N11" s="144" t="str">
        <x:v>Status</x:v>
      </x:c>
    </x:row>
    <x:row r="12">
      <x:c r="A12" s="11" t="str">
        <x:v>Current</x:v>
      </x:c>
      <x:c r="B12" s="146" t="n">
        <x:f>SUMIFS('Data_AR'!$L$2:$L$92,'Data_AR'!$O$2:$O$92,A12)/1000000</x:f>
        <x:v>7.734043560000001</x:v>
      </x:c>
      <x:c r="C12" s="162" t="n">
        <x:f>B12/SUM($B$12:$B$16)</x:f>
        <x:v>0.8947534825046277</x:v>
      </x:c>
      <x:c r="D12" s="11"/>
      <x:c r="E12" s="11" t="str">
        <x:v>INV0001026</x:v>
      </x:c>
      <x:c r="F12" s="11" t="str">
        <x:v>Meridian Logistics 245</x:v>
      </x:c>
      <x:c r="G12" s="11" t="str">
        <x:v>Enterprise</x:v>
      </x:c>
      <x:c r="H12" s="11" t="str">
        <x:v>US Central</x:v>
      </x:c>
      <x:c r="I12" s="11" t="str">
        <x:v>Subscription</x:v>
      </x:c>
      <x:c r="J12" s="164" t="n">
        <x:v>46219</x:v>
      </x:c>
      <x:c r="K12" s="146" t="n">
        <x:v>1.34151096</x:v>
      </x:c>
      <x:c r="L12" s="161" t="n">
        <x:v>-16</x:v>
      </x:c>
      <x:c r="M12" s="11" t="str">
        <x:v>Current</x:v>
      </x:c>
      <x:c r="N12" s="11" t="str">
        <x:v>Open</x:v>
      </x:c>
    </x:row>
    <x:row r="13">
      <x:c r="A13" s="11" t="str">
        <x:v>1-30 days</x:v>
      </x:c>
      <x:c r="B13" s="146" t="n">
        <x:f>SUMIFS('Data_AR'!$L$2:$L$92,'Data_AR'!$O$2:$O$92,A13)/1000000</x:f>
        <x:v>0.56706162</x:v>
      </x:c>
      <x:c r="C13" s="162" t="n">
        <x:f>B13/SUM($B$12:$B$16)</x:f>
        <x:v>0.0656035042152925</x:v>
      </x:c>
      <x:c r="D13" s="11"/>
      <x:c r="E13" s="11" t="str">
        <x:v>INV0000468</x:v>
      </x:c>
      <x:c r="F13" s="11" t="str">
        <x:v>Nova Retail 118</x:v>
      </x:c>
      <x:c r="G13" s="11" t="str">
        <x:v>Enterprise</x:v>
      </x:c>
      <x:c r="H13" s="11" t="str">
        <x:v>US West</x:v>
      </x:c>
      <x:c r="I13" s="11" t="str">
        <x:v>Subscription</x:v>
      </x:c>
      <x:c r="J13" s="164" t="n">
        <x:v>46234</x:v>
      </x:c>
      <x:c r="K13" s="146" t="n">
        <x:v>0.89617776</x:v>
      </x:c>
      <x:c r="L13" s="161" t="n">
        <x:v>-31</x:v>
      </x:c>
      <x:c r="M13" s="11" t="str">
        <x:v>Current</x:v>
      </x:c>
      <x:c r="N13" s="11" t="str">
        <x:v>Open</x:v>
      </x:c>
    </x:row>
    <x:row r="14">
      <x:c r="A14" s="11" t="str">
        <x:v>31-60 days</x:v>
      </x:c>
      <x:c r="B14" s="146" t="n">
        <x:f>SUMIFS('Data_AR'!$L$2:$L$92,'Data_AR'!$O$2:$O$92,A14)/1000000</x:f>
        <x:v>0.09557747999999999</x:v>
      </x:c>
      <x:c r="C14" s="162" t="n">
        <x:f>B14/SUM($B$12:$B$16)</x:f>
        <x:v>0.011057383167753504</x:v>
      </x:c>
      <x:c r="D14" s="11"/>
      <x:c r="E14" s="11" t="str">
        <x:v>INV0000066</x:v>
      </x:c>
      <x:c r="F14" s="11" t="str">
        <x:v>Atlas Mobility 017</x:v>
      </x:c>
      <x:c r="G14" s="11" t="str">
        <x:v>Enterprise</x:v>
      </x:c>
      <x:c r="H14" s="11" t="str">
        <x:v>US Central</x:v>
      </x:c>
      <x:c r="I14" s="11" t="str">
        <x:v>Subscription</x:v>
      </x:c>
      <x:c r="J14" s="164" t="n">
        <x:v>46219</x:v>
      </x:c>
      <x:c r="K14" s="146" t="n">
        <x:v>0.76057212</x:v>
      </x:c>
      <x:c r="L14" s="161" t="n">
        <x:v>-16</x:v>
      </x:c>
      <x:c r="M14" s="11" t="str">
        <x:v>Current</x:v>
      </x:c>
      <x:c r="N14" s="11" t="str">
        <x:v>Open</x:v>
      </x:c>
    </x:row>
    <x:row r="15">
      <x:c r="A15" s="11" t="str">
        <x:v>61-90 days</x:v>
      </x:c>
      <x:c r="B15" s="146" t="n">
        <x:f>SUMIFS('Data_AR'!$L$2:$L$92,'Data_AR'!$O$2:$O$92,A15)/1000000</x:f>
        <x:v>0</x:v>
      </x:c>
      <x:c r="C15" s="162" t="n">
        <x:f>B15/SUM($B$12:$B$16)</x:f>
        <x:v>0</x:v>
      </x:c>
      <x:c r="D15" s="11"/>
      <x:c r="E15" s="11" t="str">
        <x:v>INV0000371</x:v>
      </x:c>
      <x:c r="F15" s="11" t="str">
        <x:v>Ironwood Financial 093</x:v>
      </x:c>
      <x:c r="G15" s="11" t="str">
        <x:v>Enterprise</x:v>
      </x:c>
      <x:c r="H15" s="11" t="str">
        <x:v>Canada</x:v>
      </x:c>
      <x:c r="I15" s="11" t="str">
        <x:v>Subscription</x:v>
      </x:c>
      <x:c r="J15" s="164" t="n">
        <x:v>46204</x:v>
      </x:c>
      <x:c r="K15" s="146" t="n">
        <x:v>0.44369568</x:v>
      </x:c>
      <x:c r="L15" s="161" t="n">
        <x:v>-1</x:v>
      </x:c>
      <x:c r="M15" s="11" t="str">
        <x:v>Current</x:v>
      </x:c>
      <x:c r="N15" s="11" t="str">
        <x:v>Open</x:v>
      </x:c>
    </x:row>
    <x:row r="16">
      <x:c r="A16" s="11" t="str">
        <x:v>90+ days</x:v>
      </x:c>
      <x:c r="B16" s="146" t="n">
        <x:f>SUMIFS('Data_AR'!$L$2:$L$92,'Data_AR'!$O$2:$O$92,A16)/1000000</x:f>
        <x:v>0.24708762</x:v>
      </x:c>
      <x:c r="C16" s="162" t="n">
        <x:f>B16/SUM($B$12:$B$16)</x:f>
        <x:v>0.028585630112326402</x:v>
      </x:c>
      <x:c r="D16" s="11"/>
      <x:c r="E16" s="11" t="str">
        <x:v>INV0000359</x:v>
      </x:c>
      <x:c r="F16" s="11" t="str">
        <x:v>Redwood Manufacturing 088</x:v>
      </x:c>
      <x:c r="G16" s="11" t="str">
        <x:v>Enterprise</x:v>
      </x:c>
      <x:c r="H16" s="11" t="str">
        <x:v>US Central</x:v>
      </x:c>
      <x:c r="I16" s="11" t="str">
        <x:v>Subscription</x:v>
      </x:c>
      <x:c r="J16" s="164" t="n">
        <x:v>46203</x:v>
      </x:c>
      <x:c r="K16" s="146" t="n">
        <x:v>0.42038448</x:v>
      </x:c>
      <x:c r="L16" s="161" t="n">
        <x:v>0</x:v>
      </x:c>
      <x:c r="M16" s="11" t="str">
        <x:v>Current</x:v>
      </x:c>
      <x:c r="N16" s="11" t="str">
        <x:v>Open</x:v>
      </x:c>
    </x:row>
    <x:row r="17">
      <x:c r="A17" s="11"/>
      <x:c r="B17" s="11"/>
      <x:c r="C17" s="11"/>
      <x:c r="D17" s="11"/>
      <x:c r="E17" s="11" t="str">
        <x:v>INV0001971</x:v>
      </x:c>
      <x:c r="F17" s="11" t="str">
        <x:v>Northstar Technology 028</x:v>
      </x:c>
      <x:c r="G17" s="11" t="str">
        <x:v>Enterprise</x:v>
      </x:c>
      <x:c r="H17" s="11" t="str">
        <x:v>US East</x:v>
      </x:c>
      <x:c r="I17" s="11" t="str">
        <x:v>Professional Services</x:v>
      </x:c>
      <x:c r="J17" s="164" t="n">
        <x:v>46223</x:v>
      </x:c>
      <x:c r="K17" s="146" t="n">
        <x:v>0.3396499</x:v>
      </x:c>
      <x:c r="L17" s="161" t="n">
        <x:v>-20</x:v>
      </x:c>
      <x:c r="M17" s="11" t="str">
        <x:v>Current</x:v>
      </x:c>
      <x:c r="N17" s="11" t="str">
        <x:v>Open</x:v>
      </x:c>
    </x:row>
    <x:row r="18">
      <x:c r="A18" s="11"/>
      <x:c r="B18" s="11"/>
      <x:c r="C18" s="11"/>
      <x:c r="D18" s="11"/>
      <x:c r="E18" s="11" t="str">
        <x:v>INV0000395</x:v>
      </x:c>
      <x:c r="F18" s="11" t="str">
        <x:v>Highland Financial 098</x:v>
      </x:c>
      <x:c r="G18" s="11" t="str">
        <x:v>Enterprise</x:v>
      </x:c>
      <x:c r="H18" s="11" t="str">
        <x:v>US East</x:v>
      </x:c>
      <x:c r="I18" s="11" t="str">
        <x:v>Subscription</x:v>
      </x:c>
      <x:c r="J18" s="164" t="n">
        <x:v>46234</x:v>
      </x:c>
      <x:c r="K18" s="146" t="n">
        <x:v>0.31800126</x:v>
      </x:c>
      <x:c r="L18" s="161" t="n">
        <x:v>-31</x:v>
      </x:c>
      <x:c r="M18" s="11" t="str">
        <x:v>Current</x:v>
      </x:c>
      <x:c r="N18" s="11" t="str">
        <x:v>Open</x:v>
      </x:c>
    </x:row>
    <x:row r="19">
      <x:c r="A19" s="11"/>
      <x:c r="B19" s="11"/>
      <x:c r="C19" s="11"/>
      <x:c r="D19" s="11"/>
      <x:c r="E19" s="11" t="str">
        <x:v>INV0000367</x:v>
      </x:c>
      <x:c r="F19" s="11" t="str">
        <x:v>BrightPath Foods 090</x:v>
      </x:c>
      <x:c r="G19" s="11" t="str">
        <x:v>Mid-Market</x:v>
      </x:c>
      <x:c r="H19" s="11" t="str">
        <x:v>US East</x:v>
      </x:c>
      <x:c r="I19" s="11" t="str">
        <x:v>Subscription</x:v>
      </x:c>
      <x:c r="J19" s="164" t="n">
        <x:v>46188</x:v>
      </x:c>
      <x:c r="K19" s="146" t="n">
        <x:v>0.20103252</x:v>
      </x:c>
      <x:c r="L19" s="161" t="n">
        <x:v>15</x:v>
      </x:c>
      <x:c r="M19" s="11" t="str">
        <x:v>1-30 days</x:v>
      </x:c>
      <x:c r="N19" s="11" t="str">
        <x:v>Past Due</x:v>
      </x:c>
    </x:row>
    <x:row r="20">
      <x:c r="A20" s="11"/>
      <x:c r="B20" s="11"/>
      <x:c r="C20" s="11"/>
      <x:c r="D20" s="11"/>
      <x:c r="E20" s="11" t="str">
        <x:v>INV0001086</x:v>
      </x:c>
      <x:c r="F20" s="11" t="str">
        <x:v>Cedar Media 257</x:v>
      </x:c>
      <x:c r="G20" s="11" t="str">
        <x:v>Enterprise</x:v>
      </x:c>
      <x:c r="H20" s="11" t="str">
        <x:v>US West</x:v>
      </x:c>
      <x:c r="I20" s="11" t="str">
        <x:v>Subscription</x:v>
      </x:c>
      <x:c r="J20" s="164" t="n">
        <x:v>46219</x:v>
      </x:c>
      <x:c r="K20" s="146" t="n">
        <x:v>0.20077503</x:v>
      </x:c>
      <x:c r="L20" s="161" t="n">
        <x:v>-16</x:v>
      </x:c>
      <x:c r="M20" s="11" t="str">
        <x:v>Current</x:v>
      </x:c>
      <x:c r="N20" s="11" t="str">
        <x:v>Open</x:v>
      </x:c>
    </x:row>
    <x:row r="21">
      <x:c r="A21" s="11"/>
      <x:c r="B21" s="11"/>
      <x:c r="C21" s="11"/>
      <x:c r="D21" s="11"/>
      <x:c r="E21" s="11" t="str">
        <x:v>INV0002109</x:v>
      </x:c>
      <x:c r="F21" s="11" t="str">
        <x:v>Crescent Technology 094</x:v>
      </x:c>
      <x:c r="G21" s="11" t="str">
        <x:v>Enterprise</x:v>
      </x:c>
      <x:c r="H21" s="11" t="str">
        <x:v>US West</x:v>
      </x:c>
      <x:c r="I21" s="11" t="str">
        <x:v>Professional Services</x:v>
      </x:c>
      <x:c r="J21" s="164" t="n">
        <x:v>46238</x:v>
      </x:c>
      <x:c r="K21" s="146" t="n">
        <x:v>0.16124212</x:v>
      </x:c>
      <x:c r="L21" s="161" t="n">
        <x:v>-35</x:v>
      </x:c>
      <x:c r="M21" s="11" t="str">
        <x:v>Current</x:v>
      </x:c>
      <x:c r="N21" s="11" t="str">
        <x:v>Open</x:v>
      </x:c>
    </x:row>
    <x:row r="22">
      <x:c r="A22" s="11"/>
      <x:c r="B22" s="11"/>
      <x:c r="C22" s="11"/>
      <x:c r="D22" s="11"/>
      <x:c r="E22" s="11" t="str">
        <x:v>INV0002108</x:v>
      </x:c>
      <x:c r="F22" s="11" t="str">
        <x:v>Crescent Technology 094</x:v>
      </x:c>
      <x:c r="G22" s="11" t="str">
        <x:v>Enterprise</x:v>
      </x:c>
      <x:c r="H22" s="11" t="str">
        <x:v>US West</x:v>
      </x:c>
      <x:c r="I22" s="11" t="str">
        <x:v>Professional Services</x:v>
      </x:c>
      <x:c r="J22" s="164" t="n">
        <x:v>46207</x:v>
      </x:c>
      <x:c r="K22" s="146" t="n">
        <x:v>0.15072123999999998</x:v>
      </x:c>
      <x:c r="L22" s="161" t="n">
        <x:v>-4</x:v>
      </x:c>
      <x:c r="M22" s="11" t="str">
        <x:v>Current</x:v>
      </x:c>
      <x:c r="N22" s="11" t="str">
        <x:v>Open</x:v>
      </x:c>
    </x:row>
    <x:row r="23">
      <x:c r="A23" s="11"/>
      <x:c r="B23" s="11"/>
      <x:c r="C23" s="11"/>
      <x:c r="D23" s="11"/>
      <x:c r="E23" s="11" t="str">
        <x:v>INV0000089</x:v>
      </x:c>
      <x:c r="F23" s="11" t="str">
        <x:v>Redwood Foods 022</x:v>
      </x:c>
      <x:c r="G23" s="11" t="str">
        <x:v>Mid-Market</x:v>
      </x:c>
      <x:c r="H23" s="11" t="str">
        <x:v>US West</x:v>
      </x:c>
      <x:c r="I23" s="11" t="str">
        <x:v>Subscription</x:v>
      </x:c>
      <x:c r="J23" s="164" t="n">
        <x:v>46219</x:v>
      </x:c>
      <x:c r="K23" s="146" t="n">
        <x:v>0.13239156</x:v>
      </x:c>
      <x:c r="L23" s="161" t="n">
        <x:v>-16</x:v>
      </x:c>
      <x:c r="M23" s="11" t="str">
        <x:v>Current</x:v>
      </x:c>
      <x:c r="N23" s="11" t="str">
        <x:v>Open</x:v>
      </x:c>
    </x:row>
    <x:row r="24">
      <x:c r="A24" s="11"/>
      <x:c r="B24" s="11"/>
      <x:c r="C24" s="11"/>
      <x:c r="D24" s="11"/>
      <x:c r="E24" s="11"/>
      <x:c r="F24" s="11"/>
      <x:c r="G24" s="11"/>
      <x:c r="H24" s="11"/>
      <x:c r="I24" s="11"/>
      <x:c r="J24" s="11"/>
      <x:c r="K24" s="11"/>
      <x:c r="L24" s="11"/>
      <x:c r="M24" s="11"/>
      <x:c r="N24" s="11"/>
    </x:row>
    <x:row r="25">
      <x:c r="A25" s="11"/>
      <x:c r="B25" s="11"/>
      <x:c r="C25" s="11"/>
      <x:c r="D25" s="11"/>
      <x:c r="E25" s="11"/>
      <x:c r="F25" s="11"/>
      <x:c r="G25" s="11"/>
      <x:c r="H25" s="11"/>
      <x:c r="I25" s="11"/>
      <x:c r="J25" s="11"/>
      <x:c r="K25" s="11"/>
      <x:c r="L25" s="11"/>
      <x:c r="M25" s="11"/>
      <x:c r="N25" s="11"/>
    </x:row>
    <x:row r="26">
      <x:c r="A26" s="11"/>
      <x:c r="B26" s="11"/>
      <x:c r="C26" s="11"/>
      <x:c r="D26" s="11"/>
      <x:c r="E26" s="11"/>
      <x:c r="F26" s="11"/>
      <x:c r="G26" s="11"/>
      <x:c r="H26" s="11"/>
      <x:c r="I26" s="11"/>
      <x:c r="J26" s="11"/>
      <x:c r="K26" s="11"/>
      <x:c r="L26" s="11"/>
      <x:c r="M26" s="11"/>
      <x:c r="N26" s="11"/>
    </x:row>
    <x:row r="27">
      <x:c r="A27" s="11"/>
      <x:c r="B27" s="11"/>
      <x:c r="C27" s="11"/>
      <x:c r="D27" s="11"/>
      <x:c r="E27" s="11"/>
      <x:c r="F27" s="11"/>
      <x:c r="G27" s="11"/>
      <x:c r="H27" s="11"/>
      <x:c r="I27" s="11"/>
      <x:c r="J27" s="11"/>
      <x:c r="K27" s="11"/>
      <x:c r="L27" s="11"/>
      <x:c r="M27" s="11"/>
      <x:c r="N27" s="11"/>
    </x:row>
    <x:row r="28">
      <x:c r="A28" s="11"/>
      <x:c r="B28" s="11"/>
      <x:c r="C28" s="11"/>
      <x:c r="D28" s="11"/>
      <x:c r="E28" s="11"/>
      <x:c r="F28" s="11"/>
      <x:c r="G28" s="11"/>
      <x:c r="H28" s="11"/>
      <x:c r="I28" s="11"/>
      <x:c r="J28" s="11"/>
      <x:c r="K28" s="11"/>
      <x:c r="L28" s="11"/>
      <x:c r="M28" s="11"/>
      <x:c r="N28" s="11"/>
    </x:row>
    <x:row r="29">
      <x:c r="A29" s="11"/>
      <x:c r="B29" s="11"/>
      <x:c r="C29" s="11"/>
      <x:c r="D29" s="11"/>
      <x:c r="E29" s="11"/>
      <x:c r="F29" s="11"/>
      <x:c r="G29" s="11"/>
      <x:c r="H29" s="11"/>
      <x:c r="I29" s="11"/>
      <x:c r="J29" s="11"/>
      <x:c r="K29" s="11"/>
      <x:c r="L29" s="11"/>
      <x:c r="M29" s="11"/>
      <x:c r="N29" s="11"/>
    </x:row>
    <x:row r="30">
      <x:c r="A30" s="11"/>
      <x:c r="B30" s="11"/>
      <x:c r="C30" s="11"/>
      <x:c r="D30" s="11"/>
      <x:c r="E30" s="11"/>
      <x:c r="F30" s="11"/>
      <x:c r="G30" s="11"/>
      <x:c r="H30" s="11"/>
      <x:c r="I30" s="11"/>
      <x:c r="J30" s="11"/>
      <x:c r="K30" s="11"/>
      <x:c r="L30" s="11"/>
      <x:c r="M30" s="11"/>
      <x:c r="N30" s="11"/>
    </x:row>
    <x:row r="31">
      <x:c r="A31" s="11"/>
      <x:c r="B31" s="11"/>
      <x:c r="C31" s="11"/>
      <x:c r="D31" s="11"/>
      <x:c r="E31" s="11"/>
      <x:c r="F31" s="11"/>
      <x:c r="G31" s="11"/>
      <x:c r="H31" s="11"/>
      <x:c r="I31" s="11"/>
      <x:c r="J31" s="11"/>
      <x:c r="K31" s="11"/>
      <x:c r="L31" s="11"/>
      <x:c r="M31" s="11"/>
      <x:c r="N31" s="11"/>
    </x:row>
    <x:row r="32">
      <x:c r="A32" s="11"/>
      <x:c r="B32" s="11"/>
      <x:c r="C32" s="11"/>
      <x:c r="D32" s="11"/>
      <x:c r="E32" s="11"/>
      <x:c r="F32" s="11"/>
      <x:c r="G32" s="11"/>
      <x:c r="H32" s="11"/>
      <x:c r="I32" s="11"/>
      <x:c r="J32" s="11"/>
      <x:c r="K32" s="11"/>
      <x:c r="L32" s="11"/>
      <x:c r="M32" s="11"/>
      <x:c r="N32" s="11"/>
    </x:row>
    <x:row r="33">
      <x:c r="A33" s="11"/>
      <x:c r="B33" s="11"/>
      <x:c r="C33" s="11"/>
      <x:c r="D33" s="11"/>
      <x:c r="E33" s="11"/>
      <x:c r="F33" s="11"/>
      <x:c r="G33" s="11"/>
      <x:c r="H33" s="11"/>
      <x:c r="I33" s="11"/>
      <x:c r="J33" s="11"/>
      <x:c r="K33" s="11"/>
      <x:c r="L33" s="11"/>
      <x:c r="M33" s="11"/>
      <x:c r="N33" s="11"/>
    </x:row>
    <x:row r="34">
      <x:c r="A34" s="11"/>
      <x:c r="B34" s="11"/>
      <x:c r="C34" s="11"/>
      <x:c r="D34" s="11"/>
      <x:c r="E34" s="11"/>
      <x:c r="F34" s="11"/>
      <x:c r="G34" s="11"/>
      <x:c r="H34" s="11"/>
      <x:c r="I34" s="11"/>
      <x:c r="J34" s="11"/>
      <x:c r="K34" s="11"/>
      <x:c r="L34" s="11"/>
      <x:c r="M34" s="11"/>
      <x:c r="N34" s="11"/>
    </x:row>
    <x:row r="35">
      <x:c r="A35" s="11"/>
      <x:c r="B35" s="11"/>
      <x:c r="C35" s="11"/>
      <x:c r="D35" s="11"/>
      <x:c r="E35" s="11"/>
      <x:c r="F35" s="11"/>
      <x:c r="G35" s="11"/>
      <x:c r="H35" s="11"/>
      <x:c r="I35" s="11"/>
      <x:c r="J35" s="11"/>
      <x:c r="K35" s="11"/>
      <x:c r="L35" s="11"/>
      <x:c r="M35" s="11"/>
      <x:c r="N35" s="11"/>
    </x:row>
    <x:row r="36">
      <x:c r="A36" s="11"/>
      <x:c r="B36" s="11"/>
      <x:c r="C36" s="11"/>
      <x:c r="D36" s="11"/>
      <x:c r="E36" s="11"/>
      <x:c r="F36" s="11"/>
      <x:c r="G36" s="11"/>
      <x:c r="H36" s="11"/>
      <x:c r="I36" s="11"/>
      <x:c r="J36" s="11"/>
      <x:c r="K36" s="11"/>
      <x:c r="L36" s="11"/>
      <x:c r="M36" s="11"/>
      <x:c r="N36" s="11"/>
    </x:row>
    <x:row r="37">
      <x:c r="A37" s="11"/>
      <x:c r="B37" s="11"/>
      <x:c r="C37" s="11"/>
      <x:c r="D37" s="11"/>
      <x:c r="E37" s="11"/>
      <x:c r="F37" s="11"/>
      <x:c r="G37" s="11"/>
      <x:c r="H37" s="11"/>
      <x:c r="I37" s="11"/>
      <x:c r="J37" s="11"/>
      <x:c r="K37" s="11"/>
      <x:c r="L37" s="11"/>
      <x:c r="M37" s="11"/>
      <x:c r="N37" s="11"/>
    </x:row>
    <x:row r="38">
      <x:c r="A38" s="11"/>
      <x:c r="B38" s="11"/>
      <x:c r="C38" s="11"/>
      <x:c r="D38" s="11"/>
      <x:c r="E38" s="11"/>
      <x:c r="F38" s="11"/>
      <x:c r="G38" s="11"/>
      <x:c r="H38" s="11"/>
      <x:c r="I38" s="11"/>
      <x:c r="J38" s="11"/>
      <x:c r="K38" s="11"/>
      <x:c r="L38" s="11"/>
      <x:c r="M38" s="11"/>
      <x:c r="N38" s="11"/>
    </x:row>
    <x:row r="39">
      <x:c r="A39" s="11"/>
      <x:c r="B39" s="11"/>
      <x:c r="C39" s="11"/>
      <x:c r="D39" s="11"/>
      <x:c r="E39" s="11"/>
      <x:c r="F39" s="11"/>
      <x:c r="G39" s="11"/>
      <x:c r="H39" s="11"/>
      <x:c r="I39" s="11"/>
      <x:c r="J39" s="11"/>
      <x:c r="K39" s="11"/>
      <x:c r="L39" s="11"/>
      <x:c r="M39" s="11"/>
      <x:c r="N39" s="11"/>
    </x:row>
    <x:row r="40">
      <x:c r="A40" s="11"/>
      <x:c r="B40" s="11"/>
      <x:c r="C40" s="11"/>
      <x:c r="D40" s="11"/>
      <x:c r="E40" s="11"/>
      <x:c r="F40" s="11"/>
      <x:c r="G40" s="11"/>
      <x:c r="H40" s="11"/>
      <x:c r="I40" s="11"/>
      <x:c r="J40" s="11"/>
      <x:c r="K40" s="11"/>
      <x:c r="L40" s="11"/>
      <x:c r="M40" s="11"/>
      <x:c r="N40" s="11"/>
    </x:row>
    <x:row r="41">
      <x:c r="A41" s="11"/>
      <x:c r="B41" s="11"/>
      <x:c r="C41" s="11"/>
      <x:c r="D41" s="11"/>
      <x:c r="E41" s="11"/>
      <x:c r="F41" s="11"/>
      <x:c r="G41" s="11"/>
      <x:c r="H41" s="11"/>
      <x:c r="I41" s="11"/>
      <x:c r="J41" s="11"/>
      <x:c r="K41" s="11"/>
      <x:c r="L41" s="11"/>
      <x:c r="M41" s="11"/>
      <x:c r="N41" s="11"/>
    </x:row>
    <x:row r="42">
      <x:c r="A42" s="11"/>
      <x:c r="B42" s="11"/>
      <x:c r="C42" s="11"/>
      <x:c r="D42" s="11"/>
      <x:c r="E42" s="11"/>
      <x:c r="F42" s="11"/>
      <x:c r="G42" s="11"/>
      <x:c r="H42" s="11"/>
      <x:c r="I42" s="11"/>
      <x:c r="J42" s="11"/>
      <x:c r="K42" s="11"/>
      <x:c r="L42" s="11"/>
      <x:c r="M42" s="11"/>
      <x:c r="N42" s="11"/>
    </x:row>
    <x:row r="43">
      <x:c r="A43" s="11"/>
      <x:c r="B43" s="11"/>
      <x:c r="C43" s="11"/>
      <x:c r="D43" s="11"/>
      <x:c r="E43" s="11"/>
      <x:c r="F43" s="11"/>
      <x:c r="G43" s="11"/>
      <x:c r="H43" s="11"/>
      <x:c r="I43" s="11"/>
      <x:c r="J43" s="11"/>
      <x:c r="K43" s="11"/>
      <x:c r="L43" s="11"/>
      <x:c r="M43" s="11"/>
      <x:c r="N43" s="11"/>
    </x:row>
    <x:row r="44">
      <x:c r="A44" s="11"/>
      <x:c r="B44" s="11"/>
      <x:c r="C44" s="11"/>
      <x:c r="D44" s="11"/>
      <x:c r="E44" s="11"/>
      <x:c r="F44" s="11"/>
      <x:c r="G44" s="11"/>
      <x:c r="H44" s="11"/>
      <x:c r="I44" s="11"/>
      <x:c r="J44" s="11"/>
      <x:c r="K44" s="11"/>
      <x:c r="L44" s="11"/>
      <x:c r="M44" s="11"/>
      <x:c r="N44" s="11"/>
    </x:row>
    <x:row r="45">
      <x:c r="A45" s="11"/>
      <x:c r="B45" s="11"/>
      <x:c r="C45" s="11"/>
      <x:c r="D45" s="11"/>
      <x:c r="E45" s="11"/>
      <x:c r="F45" s="11"/>
      <x:c r="G45" s="11"/>
      <x:c r="H45" s="11"/>
      <x:c r="I45" s="11"/>
      <x:c r="J45" s="11"/>
      <x:c r="K45" s="11"/>
      <x:c r="L45" s="11"/>
      <x:c r="M45" s="11"/>
      <x:c r="N45" s="11"/>
    </x:row>
    <x:row r="46">
      <x:c r="A46" s="11"/>
      <x:c r="B46" s="11"/>
      <x:c r="C46" s="11"/>
      <x:c r="D46" s="11"/>
      <x:c r="E46" s="11"/>
      <x:c r="F46" s="11"/>
      <x:c r="G46" s="11"/>
      <x:c r="H46" s="11"/>
      <x:c r="I46" s="11"/>
      <x:c r="J46" s="11"/>
      <x:c r="K46" s="11"/>
      <x:c r="L46" s="11"/>
      <x:c r="M46" s="11"/>
      <x:c r="N46" s="11"/>
    </x:row>
    <x:row r="47">
      <x:c r="A47" s="11"/>
      <x:c r="B47" s="11"/>
      <x:c r="C47" s="11"/>
      <x:c r="D47" s="11"/>
      <x:c r="E47" s="11"/>
      <x:c r="F47" s="11"/>
      <x:c r="G47" s="11"/>
      <x:c r="H47" s="11"/>
      <x:c r="I47" s="11"/>
      <x:c r="J47" s="11"/>
      <x:c r="K47" s="11"/>
      <x:c r="L47" s="11"/>
      <x:c r="M47" s="11"/>
      <x:c r="N47" s="11"/>
    </x:row>
    <x:row r="48">
      <x:c r="A48" s="11"/>
      <x:c r="B48" s="11"/>
      <x:c r="C48" s="11"/>
      <x:c r="D48" s="11"/>
      <x:c r="E48" s="11"/>
      <x:c r="F48" s="11"/>
      <x:c r="G48" s="11"/>
      <x:c r="H48" s="11"/>
      <x:c r="I48" s="11"/>
      <x:c r="J48" s="11"/>
      <x:c r="K48" s="11"/>
      <x:c r="L48" s="11"/>
      <x:c r="M48" s="11"/>
      <x:c r="N48" s="11"/>
    </x:row>
    <x:row r="49">
      <x:c r="A49" s="11"/>
      <x:c r="B49" s="11"/>
      <x:c r="C49" s="11"/>
      <x:c r="D49" s="11"/>
      <x:c r="E49" s="11"/>
      <x:c r="F49" s="11"/>
      <x:c r="G49" s="11"/>
      <x:c r="H49" s="11"/>
      <x:c r="I49" s="11"/>
      <x:c r="J49" s="11"/>
      <x:c r="K49" s="11"/>
      <x:c r="L49" s="11"/>
      <x:c r="M49" s="11"/>
      <x:c r="N49" s="11"/>
    </x:row>
    <x:row r="50">
      <x:c r="A50" s="11"/>
      <x:c r="B50" s="11"/>
      <x:c r="C50" s="11"/>
      <x:c r="D50" s="11"/>
      <x:c r="E50" s="11"/>
      <x:c r="F50" s="11"/>
      <x:c r="G50" s="11"/>
      <x:c r="H50" s="11"/>
      <x:c r="I50" s="11"/>
      <x:c r="J50" s="11"/>
      <x:c r="K50" s="11"/>
      <x:c r="L50" s="11"/>
      <x:c r="M50" s="11"/>
      <x:c r="N50" s="11"/>
    </x:row>
    <x:row r="51">
      <x:c r="A51" s="11"/>
      <x:c r="B51" s="11"/>
      <x:c r="C51" s="11"/>
      <x:c r="D51" s="11"/>
      <x:c r="E51" s="11"/>
      <x:c r="F51" s="11"/>
      <x:c r="G51" s="11"/>
      <x:c r="H51" s="11"/>
      <x:c r="I51" s="11"/>
      <x:c r="J51" s="11"/>
      <x:c r="K51" s="11"/>
      <x:c r="L51" s="11"/>
      <x:c r="M51" s="11"/>
      <x:c r="N51" s="11"/>
    </x:row>
    <x:row r="52">
      <x:c r="A52" s="11"/>
      <x:c r="B52" s="11"/>
      <x:c r="C52" s="11"/>
      <x:c r="D52" s="11"/>
      <x:c r="E52" s="11"/>
      <x:c r="F52" s="11"/>
      <x:c r="G52" s="11"/>
      <x:c r="H52" s="11"/>
      <x:c r="I52" s="11"/>
      <x:c r="J52" s="11"/>
      <x:c r="K52" s="11"/>
      <x:c r="L52" s="11"/>
      <x:c r="M52" s="11"/>
      <x:c r="N52" s="11"/>
    </x:row>
    <x:row r="53">
      <x:c r="A53" s="11"/>
      <x:c r="B53" s="11"/>
      <x:c r="C53" s="11"/>
      <x:c r="D53" s="11"/>
      <x:c r="E53" s="11"/>
      <x:c r="F53" s="11"/>
      <x:c r="G53" s="11"/>
      <x:c r="H53" s="11"/>
      <x:c r="I53" s="11"/>
      <x:c r="J53" s="11"/>
      <x:c r="K53" s="11"/>
      <x:c r="L53" s="11"/>
      <x:c r="M53" s="11"/>
      <x:c r="N53" s="11"/>
    </x:row>
    <x:row r="54">
      <x:c r="A54" s="11"/>
      <x:c r="B54" s="11"/>
      <x:c r="C54" s="11"/>
      <x:c r="D54" s="11"/>
      <x:c r="E54" s="11"/>
      <x:c r="F54" s="11"/>
      <x:c r="G54" s="11"/>
      <x:c r="H54" s="11"/>
      <x:c r="I54" s="11"/>
      <x:c r="J54" s="11"/>
      <x:c r="K54" s="11"/>
      <x:c r="L54" s="11"/>
      <x:c r="M54" s="11"/>
      <x:c r="N54" s="11"/>
    </x:row>
    <x:row r="55">
      <x:c r="A55" s="11"/>
      <x:c r="B55" s="11"/>
      <x:c r="C55" s="11"/>
      <x:c r="D55" s="11"/>
      <x:c r="E55" s="11"/>
      <x:c r="F55" s="11"/>
      <x:c r="G55" s="11"/>
      <x:c r="H55" s="11"/>
      <x:c r="I55" s="11"/>
      <x:c r="J55" s="11"/>
      <x:c r="K55" s="11"/>
      <x:c r="L55" s="11"/>
      <x:c r="M55" s="11"/>
      <x:c r="N55" s="11"/>
    </x:row>
    <x:row r="56">
      <x:c r="A56" s="11"/>
      <x:c r="B56" s="11"/>
      <x:c r="C56" s="11"/>
      <x:c r="D56" s="11"/>
      <x:c r="E56" s="11"/>
      <x:c r="F56" s="11"/>
      <x:c r="G56" s="11"/>
      <x:c r="H56" s="11"/>
      <x:c r="I56" s="11"/>
      <x:c r="J56" s="11"/>
      <x:c r="K56" s="11"/>
      <x:c r="L56" s="11"/>
      <x:c r="M56" s="11"/>
      <x:c r="N56" s="11"/>
    </x:row>
    <x:row r="57">
      <x:c r="A57" s="11"/>
      <x:c r="B57" s="11"/>
      <x:c r="C57" s="11"/>
      <x:c r="D57" s="11"/>
      <x:c r="E57" s="11"/>
      <x:c r="F57" s="11"/>
      <x:c r="G57" s="11"/>
      <x:c r="H57" s="11"/>
      <x:c r="I57" s="11"/>
      <x:c r="J57" s="11"/>
      <x:c r="K57" s="11"/>
      <x:c r="L57" s="11"/>
      <x:c r="M57" s="11"/>
      <x:c r="N57" s="11"/>
    </x:row>
    <x:row r="58">
      <x:c r="A58" s="11"/>
      <x:c r="B58" s="11"/>
      <x:c r="C58" s="11"/>
      <x:c r="D58" s="11"/>
      <x:c r="E58" s="11"/>
      <x:c r="F58" s="11"/>
      <x:c r="G58" s="11"/>
      <x:c r="H58" s="11"/>
      <x:c r="I58" s="11"/>
      <x:c r="J58" s="11"/>
      <x:c r="K58" s="11"/>
      <x:c r="L58" s="11"/>
      <x:c r="M58" s="11"/>
      <x:c r="N58" s="11"/>
    </x:row>
    <x:row r="59">
      <x:c r="A59" s="11"/>
      <x:c r="B59" s="11"/>
      <x:c r="C59" s="11"/>
      <x:c r="D59" s="11"/>
      <x:c r="E59" s="11"/>
      <x:c r="F59" s="11"/>
      <x:c r="G59" s="11"/>
      <x:c r="H59" s="11"/>
      <x:c r="I59" s="11"/>
      <x:c r="J59" s="11"/>
      <x:c r="K59" s="11"/>
      <x:c r="L59" s="11"/>
      <x:c r="M59" s="11"/>
      <x:c r="N59" s="11"/>
    </x:row>
    <x:row r="60">
      <x:c r="A60" s="11"/>
      <x:c r="B60" s="11"/>
      <x:c r="C60" s="11"/>
      <x:c r="D60" s="11"/>
      <x:c r="E60" s="11"/>
      <x:c r="F60" s="11"/>
      <x:c r="G60" s="11"/>
      <x:c r="H60" s="11"/>
      <x:c r="I60" s="11"/>
      <x:c r="J60" s="11"/>
      <x:c r="K60" s="11"/>
      <x:c r="L60" s="11"/>
      <x:c r="M60" s="11"/>
      <x:c r="N60" s="11"/>
    </x:row>
  </x:sheetData>
  <x:mergeCells>
    <x:mergeCell ref="A1:N2"/>
    <x:mergeCell ref="A3:N3"/>
    <x:mergeCell ref="A5:C5"/>
    <x:mergeCell ref="A6:C7"/>
    <x:mergeCell ref="D5:F5"/>
    <x:mergeCell ref="D6:F7"/>
    <x:mergeCell ref="G5:I5"/>
    <x:mergeCell ref="G6:I7"/>
    <x:mergeCell ref="J5:L5"/>
    <x:mergeCell ref="J6:L7"/>
    <x:mergeCell ref="A10:C10"/>
    <x:mergeCell ref="E10:N10"/>
  </x:mergeCells>
  <x:pageMargins left="0.7" right="0.7" top="0.75" bottom="0.75" header="0.3" footer="0.3"/>
  <x:drawing xmlns:r="http://schemas.openxmlformats.org/officeDocument/2006/relationships" r:id="R5c7e1997e4c242c9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38" hidden="0" customWidth="1"/>
    <x:col min="3" max="3" width="14" hidden="0" customWidth="1"/>
    <x:col min="4" max="4" width="14" hidden="0" customWidth="1"/>
    <x:col min="5" max="5" width="14" hidden="0" customWidth="1"/>
    <x:col min="6" max="6" width="34" hidden="0" customWidth="1"/>
  </x:cols>
  <x:sheetData>
    <x:row r="1">
      <x:c r="A1" s="14" t="str">
        <x:v>Model Checks</x:v>
      </x:c>
      <x:c r="B1" s="14" t="str">
        <x:v>Model Checks</x:v>
      </x:c>
      <x:c r="C1" s="14" t="str">
        <x:v>Model Checks</x:v>
      </x:c>
      <x:c r="D1" s="14" t="str">
        <x:v>Model Checks</x:v>
      </x:c>
      <x:c r="E1" s="14" t="str">
        <x:v>Model Checks</x:v>
      </x:c>
      <x:c r="F1" s="14" t="str">
        <x:v>Model Checks</x:v>
      </x:c>
      <x:c r="G1" s="14" t="str">
        <x:v>Model Checks</x:v>
      </x:c>
      <x:c r="H1" s="11"/>
      <x:c r="I1" s="11"/>
      <x:c r="J1" s="11"/>
      <x:c r="K1" s="11"/>
      <x:c r="L1" s="11"/>
      <x:c r="M1" s="11"/>
      <x:c r="N1" s="11"/>
    </x:row>
    <x:row r="2">
      <x:c r="A2" s="14" t="str">
        <x:v>Model Checks</x:v>
      </x:c>
      <x:c r="B2" s="14" t="str">
        <x:v>Model Checks</x:v>
      </x:c>
      <x:c r="C2" s="14" t="str">
        <x:v>Model Checks</x:v>
      </x:c>
      <x:c r="D2" s="14" t="str">
        <x:v>Model Checks</x:v>
      </x:c>
      <x:c r="E2" s="14" t="str">
        <x:v>Model Checks</x:v>
      </x:c>
      <x:c r="F2" s="14" t="str">
        <x:v>Model Checks</x:v>
      </x:c>
      <x:c r="G2" s="14" t="str">
        <x:v>Model Checks</x:v>
      </x:c>
      <x:c r="H2" s="11"/>
      <x:c r="I2" s="11"/>
      <x:c r="J2" s="11"/>
      <x:c r="K2" s="11"/>
      <x:c r="L2" s="11"/>
      <x:c r="M2" s="11"/>
      <x:c r="N2" s="11"/>
    </x:row>
    <x:row r="3">
      <x:c r="A3" s="17" t="str">
        <x:v>All required controls must pass before reporting outputs are used</x:v>
      </x:c>
      <x:c r="B3" s="17" t="str">
        <x:v>All required controls must pass before reporting outputs are used</x:v>
      </x:c>
      <x:c r="C3" s="17" t="str">
        <x:v>All required controls must pass before reporting outputs are used</x:v>
      </x:c>
      <x:c r="D3" s="17" t="str">
        <x:v>All required controls must pass before reporting outputs are used</x:v>
      </x:c>
      <x:c r="E3" s="17" t="str">
        <x:v>All required controls must pass before reporting outputs are used</x:v>
      </x:c>
      <x:c r="F3" s="17" t="str">
        <x:v>All required controls must pass before reporting outputs are used</x:v>
      </x:c>
      <x:c r="G3" s="17" t="str">
        <x:v>All required controls must pass before reporting outputs are used</x:v>
      </x:c>
      <x:c r="H3" s="11"/>
      <x:c r="I3" s="11"/>
      <x:c r="J3" s="11"/>
      <x:c r="K3" s="11"/>
      <x:c r="L3" s="11"/>
      <x:c r="M3" s="11"/>
      <x:c r="N3" s="11"/>
    </x:row>
    <x:row r="4">
      <x:c r="A4" s="11"/>
      <x:c r="B4" s="11"/>
      <x:c r="C4" s="11"/>
      <x:c r="D4" s="11"/>
      <x:c r="E4" s="11"/>
      <x:c r="F4" s="11"/>
      <x:c r="G4" s="11"/>
      <x:c r="H4" s="11"/>
      <x:c r="I4" s="11"/>
      <x:c r="J4" s="11"/>
      <x:c r="K4" s="11"/>
      <x:c r="L4" s="11"/>
      <x:c r="M4" s="11"/>
      <x:c r="N4" s="11"/>
    </x:row>
    <x:row r="5">
      <x:c r="A5" s="144" t="str">
        <x:v>Order</x:v>
      </x:c>
      <x:c r="B5" s="144" t="str">
        <x:v>Check</x:v>
      </x:c>
      <x:c r="C5" s="144" t="str">
        <x:v>Difference</x:v>
      </x:c>
      <x:c r="D5" s="144" t="str">
        <x:v>Tolerance</x:v>
      </x:c>
      <x:c r="E5" s="144" t="str">
        <x:v>Status</x:v>
      </x:c>
      <x:c r="F5" s="144" t="str">
        <x:v>Fix Location</x:v>
      </x:c>
      <x:c r="G5" s="11"/>
      <x:c r="H5" s="11"/>
      <x:c r="I5" s="11"/>
      <x:c r="J5" s="11"/>
      <x:c r="K5" s="11"/>
      <x:c r="L5" s="11"/>
      <x:c r="M5" s="11"/>
      <x:c r="N5" s="11"/>
    </x:row>
    <x:row r="6">
      <x:c r="A6" s="11" t="str">
        <x:v>1</x:v>
      </x:c>
      <x:c r="B6" s="11" t="str">
        <x:v>Subscription revenue ties to GL</x:v>
      </x:c>
      <x:c r="C6" s="165" t="n">
        <x:v>0</x:v>
      </x:c>
      <x:c r="D6" s="165" t="n">
        <x:v>0.05</x:v>
      </x:c>
      <x:c r="E6" s="11" t="str">
        <x:v>PASS</x:v>
      </x:c>
      <x:c r="F6" s="11" t="str">
        <x:v>fact_subscription_mrr vs A4000</x:v>
      </x:c>
      <x:c r="G6" s="11"/>
      <x:c r="H6" s="11"/>
      <x:c r="I6" s="11"/>
      <x:c r="J6" s="11"/>
      <x:c r="K6" s="11"/>
      <x:c r="L6" s="11"/>
      <x:c r="M6" s="11"/>
      <x:c r="N6" s="11"/>
    </x:row>
    <x:row r="7">
      <x:c r="A7" s="11" t="str">
        <x:v>2</x:v>
      </x:c>
      <x:c r="B7" s="11" t="str">
        <x:v>Services revenue ties to GL</x:v>
      </x:c>
      <x:c r="C7" s="165" t="n">
        <x:v>0</x:v>
      </x:c>
      <x:c r="D7" s="165" t="n">
        <x:v>0.05</x:v>
      </x:c>
      <x:c r="E7" s="11" t="str">
        <x:v>PASS</x:v>
      </x:c>
      <x:c r="F7" s="11" t="str">
        <x:v>fact_project_financials vs A4010/A4020</x:v>
      </x:c>
      <x:c r="G7" s="11"/>
      <x:c r="H7" s="11"/>
      <x:c r="I7" s="11"/>
      <x:c r="J7" s="11"/>
      <x:c r="K7" s="11"/>
      <x:c r="L7" s="11"/>
      <x:c r="M7" s="11"/>
      <x:c r="N7" s="11"/>
    </x:row>
    <x:row r="8">
      <x:c r="A8" s="11" t="str">
        <x:v>3</x:v>
      </x:c>
      <x:c r="B8" s="11" t="str">
        <x:v>Services labor ties to payroll</x:v>
      </x:c>
      <x:c r="C8" s="165" t="n">
        <x:v>0</x:v>
      </x:c>
      <x:c r="D8" s="165" t="n">
        <x:v>0.05</x:v>
      </x:c>
      <x:c r="E8" s="11" t="str">
        <x:v>PASS</x:v>
      </x:c>
      <x:c r="F8" s="11" t="str">
        <x:v>fact_headcount_monthly vs A5020</x:v>
      </x:c>
      <x:c r="G8" s="11"/>
      <x:c r="H8" s="11"/>
      <x:c r="I8" s="11"/>
      <x:c r="J8" s="11"/>
      <x:c r="K8" s="11"/>
      <x:c r="L8" s="11"/>
      <x:c r="M8" s="11"/>
      <x:c r="N8" s="11"/>
    </x:row>
    <x:row r="9">
      <x:c r="A9" s="11" t="str">
        <x:v>4</x:v>
      </x:c>
      <x:c r="B9" s="11" t="str">
        <x:v>Budget has twelve months</x:v>
      </x:c>
      <x:c r="C9" s="165" t="n">
        <x:v>0</x:v>
      </x:c>
      <x:c r="D9" s="165" t="n">
        <x:v>0</x:v>
      </x:c>
      <x:c r="E9" s="11" t="str">
        <x:v>PASS</x:v>
      </x:c>
      <x:c r="F9" s="11" t="str">
        <x:v>fact_budget</x:v>
      </x:c>
      <x:c r="G9" s="11"/>
      <x:c r="H9" s="11"/>
      <x:c r="I9" s="11"/>
      <x:c r="J9" s="11"/>
      <x:c r="K9" s="11"/>
      <x:c r="L9" s="11"/>
      <x:c r="M9" s="11"/>
      <x:c r="N9" s="11"/>
    </x:row>
    <x:row r="10">
      <x:c r="A10" s="11" t="str">
        <x:v>5</x:v>
      </x:c>
      <x:c r="B10" s="11" t="str">
        <x:v>Forecast has twelve months</x:v>
      </x:c>
      <x:c r="C10" s="165" t="n">
        <x:v>0</x:v>
      </x:c>
      <x:c r="D10" s="165" t="n">
        <x:v>0</x:v>
      </x:c>
      <x:c r="E10" s="11" t="str">
        <x:v>PASS</x:v>
      </x:c>
      <x:c r="F10" s="11" t="str">
        <x:v>fact_forecast</x:v>
      </x:c>
      <x:c r="G10" s="11"/>
      <x:c r="H10" s="11"/>
      <x:c r="I10" s="11"/>
      <x:c r="J10" s="11"/>
      <x:c r="K10" s="11"/>
      <x:c r="L10" s="11"/>
      <x:c r="M10" s="11"/>
      <x:c r="N10" s="11"/>
    </x:row>
    <x:row r="11">
      <x:c r="A11" s="11" t="str">
        <x:v>6</x:v>
      </x:c>
      <x:c r="B11" s="11" t="str">
        <x:v>Invoices reconcile</x:v>
      </x:c>
      <x:c r="C11" s="165" t="n">
        <x:v>0</x:v>
      </x:c>
      <x:c r="D11" s="165" t="n">
        <x:v>0.05</x:v>
      </x:c>
      <x:c r="E11" s="11" t="str">
        <x:v>PASS</x:v>
      </x:c>
      <x:c r="F11" s="11" t="str">
        <x:v>fact_invoice</x:v>
      </x:c>
      <x:c r="G11" s="11"/>
      <x:c r="H11" s="11"/>
      <x:c r="I11" s="11"/>
      <x:c r="J11" s="11"/>
      <x:c r="K11" s="11"/>
      <x:c r="L11" s="11"/>
      <x:c r="M11" s="11"/>
      <x:c r="N11" s="11"/>
    </x:row>
    <x:row r="12">
      <x:c r="A12" s="11" t="str">
        <x:v>7</x:v>
      </x:c>
      <x:c r="B12" s="11" t="str">
        <x:v>No negative MRR</x:v>
      </x:c>
      <x:c r="C12" s="165" t="n">
        <x:v>0</x:v>
      </x:c>
      <x:c r="D12" s="165" t="n">
        <x:v>0</x:v>
      </x:c>
      <x:c r="E12" s="11" t="str">
        <x:v>PASS</x:v>
      </x:c>
      <x:c r="F12" s="11" t="str">
        <x:v>fact_subscription_mrr</x:v>
      </x:c>
      <x:c r="G12" s="11"/>
      <x:c r="H12" s="11"/>
      <x:c r="I12" s="11"/>
      <x:c r="J12" s="11"/>
      <x:c r="K12" s="11"/>
      <x:c r="L12" s="11"/>
      <x:c r="M12" s="11"/>
      <x:c r="N12" s="11"/>
    </x:row>
    <x:row r="13">
      <x:c r="A13" s="11" t="str">
        <x:v>8</x:v>
      </x:c>
      <x:c r="B13" s="11" t="str">
        <x:v>No impossible utilization</x:v>
      </x:c>
      <x:c r="C13" s="165" t="n">
        <x:v>0</x:v>
      </x:c>
      <x:c r="D13" s="165" t="n">
        <x:v>0</x:v>
      </x:c>
      <x:c r="E13" s="11" t="str">
        <x:v>PASS</x:v>
      </x:c>
      <x:c r="F13" s="11" t="str">
        <x:v>fact_utilization_monthly</x:v>
      </x:c>
      <x:c r="G13" s="11"/>
      <x:c r="H13" s="11"/>
      <x:c r="I13" s="11"/>
      <x:c r="J13" s="11"/>
      <x:c r="K13" s="11"/>
      <x:c r="L13" s="11"/>
      <x:c r="M13" s="11"/>
      <x:c r="N13" s="11"/>
    </x:row>
    <x:row r="14">
      <x:c r="A14" s="11" t="str">
        <x:v>9</x:v>
      </x:c>
      <x:c r="B14" s="11" t="str">
        <x:v>Foreign key integrity</x:v>
      </x:c>
      <x:c r="C14" s="165" t="n">
        <x:v>0</x:v>
      </x:c>
      <x:c r="D14" s="165" t="n">
        <x:v>0</x:v>
      </x:c>
      <x:c r="E14" s="11" t="str">
        <x:v>PASS</x:v>
      </x:c>
      <x:c r="F14" s="11" t="str">
        <x:v>database schema</x:v>
      </x:c>
      <x:c r="G14" s="11"/>
      <x:c r="H14" s="11"/>
      <x:c r="I14" s="11"/>
      <x:c r="J14" s="11"/>
      <x:c r="K14" s="11"/>
      <x:c r="L14" s="11"/>
      <x:c r="M14" s="11"/>
      <x:c r="N14" s="11"/>
    </x:row>
    <x:row r="15">
      <x:c r="A15" s="11"/>
      <x:c r="B15" s="11"/>
      <x:c r="C15" s="11"/>
      <x:c r="D15" s="11"/>
      <x:c r="E15" s="11"/>
      <x:c r="F15" s="11"/>
      <x:c r="G15" s="11"/>
      <x:c r="H15" s="11"/>
      <x:c r="I15" s="11"/>
      <x:c r="J15" s="11"/>
      <x:c r="K15" s="11"/>
      <x:c r="L15" s="11"/>
      <x:c r="M15" s="11"/>
      <x:c r="N15" s="11"/>
    </x:row>
    <x:row r="16">
      <x:c r="A16" s="11"/>
      <x:c r="B16" s="11"/>
      <x:c r="C16" s="11"/>
      <x:c r="D16" s="11"/>
      <x:c r="E16" s="11"/>
      <x:c r="F16" s="11"/>
      <x:c r="G16" s="11"/>
      <x:c r="H16" s="11"/>
      <x:c r="I16" s="11"/>
      <x:c r="J16" s="11"/>
      <x:c r="K16" s="11"/>
      <x:c r="L16" s="11"/>
      <x:c r="M16" s="11"/>
      <x:c r="N16" s="11"/>
    </x:row>
    <x:row r="17">
      <x:c r="A17" s="166" t="str">
        <x:v>MODEL STATUS</x:v>
      </x:c>
      <x:c r="B17" s="166" t="str">
        <x:f>IF(COUNTIF(E6:E14,"FAIL")=0,"PASS","FAIL")</x:f>
        <x:v>PASS</x:v>
      </x:c>
      <x:c r="C17" s="11"/>
      <x:c r="D17" s="11"/>
      <x:c r="E17" s="11"/>
      <x:c r="F17" s="11"/>
      <x:c r="G17" s="11"/>
      <x:c r="H17" s="11"/>
      <x:c r="I17" s="11"/>
      <x:c r="J17" s="11"/>
      <x:c r="K17" s="11"/>
      <x:c r="L17" s="11"/>
      <x:c r="M17" s="11"/>
      <x:c r="N17" s="11"/>
    </x:row>
    <x:row r="18">
      <x:c r="A18" s="11"/>
      <x:c r="B18" s="11"/>
      <x:c r="C18" s="11"/>
      <x:c r="D18" s="11"/>
      <x:c r="E18" s="11"/>
      <x:c r="F18" s="11"/>
      <x:c r="G18" s="11"/>
      <x:c r="H18" s="11"/>
      <x:c r="I18" s="11"/>
      <x:c r="J18" s="11"/>
      <x:c r="K18" s="11"/>
      <x:c r="L18" s="11"/>
      <x:c r="M18" s="11"/>
      <x:c r="N18" s="11"/>
    </x:row>
    <x:row r="19">
      <x:c r="A19" s="11"/>
      <x:c r="B19" s="11"/>
      <x:c r="C19" s="11"/>
      <x:c r="D19" s="11"/>
      <x:c r="E19" s="11"/>
      <x:c r="F19" s="11"/>
      <x:c r="G19" s="11"/>
      <x:c r="H19" s="11"/>
      <x:c r="I19" s="11"/>
      <x:c r="J19" s="11"/>
      <x:c r="K19" s="11"/>
      <x:c r="L19" s="11"/>
      <x:c r="M19" s="11"/>
      <x:c r="N19" s="11"/>
    </x:row>
    <x:row r="20">
      <x:c r="A20" s="11"/>
      <x:c r="B20" s="11"/>
      <x:c r="C20" s="11"/>
      <x:c r="D20" s="11"/>
      <x:c r="E20" s="11"/>
      <x:c r="F20" s="11"/>
      <x:c r="G20" s="11"/>
      <x:c r="H20" s="11"/>
      <x:c r="I20" s="11"/>
      <x:c r="J20" s="11"/>
      <x:c r="K20" s="11"/>
      <x:c r="L20" s="11"/>
      <x:c r="M20" s="11"/>
      <x:c r="N20" s="11"/>
    </x:row>
    <x:row r="21">
      <x:c r="A21" s="11"/>
      <x:c r="B21" s="11"/>
      <x:c r="C21" s="11"/>
      <x:c r="D21" s="11"/>
      <x:c r="E21" s="11"/>
      <x:c r="F21" s="11"/>
      <x:c r="G21" s="11"/>
      <x:c r="H21" s="11"/>
      <x:c r="I21" s="11"/>
      <x:c r="J21" s="11"/>
      <x:c r="K21" s="11"/>
      <x:c r="L21" s="11"/>
      <x:c r="M21" s="11"/>
      <x:c r="N21" s="11"/>
    </x:row>
    <x:row r="22">
      <x:c r="A22" s="11"/>
      <x:c r="B22" s="11"/>
      <x:c r="C22" s="11"/>
      <x:c r="D22" s="11"/>
      <x:c r="E22" s="11"/>
      <x:c r="F22" s="11"/>
      <x:c r="G22" s="11"/>
      <x:c r="H22" s="11"/>
      <x:c r="I22" s="11"/>
      <x:c r="J22" s="11"/>
      <x:c r="K22" s="11"/>
      <x:c r="L22" s="11"/>
      <x:c r="M22" s="11"/>
      <x:c r="N22" s="11"/>
    </x:row>
    <x:row r="23">
      <x:c r="A23" s="11"/>
      <x:c r="B23" s="11"/>
      <x:c r="C23" s="11"/>
      <x:c r="D23" s="11"/>
      <x:c r="E23" s="11"/>
      <x:c r="F23" s="11"/>
      <x:c r="G23" s="11"/>
      <x:c r="H23" s="11"/>
      <x:c r="I23" s="11"/>
      <x:c r="J23" s="11"/>
      <x:c r="K23" s="11"/>
      <x:c r="L23" s="11"/>
      <x:c r="M23" s="11"/>
      <x:c r="N23" s="11"/>
    </x:row>
    <x:row r="24">
      <x:c r="A24" s="11"/>
      <x:c r="B24" s="11"/>
      <x:c r="C24" s="11"/>
      <x:c r="D24" s="11"/>
      <x:c r="E24" s="11"/>
      <x:c r="F24" s="11"/>
      <x:c r="G24" s="11"/>
      <x:c r="H24" s="11"/>
      <x:c r="I24" s="11"/>
      <x:c r="J24" s="11"/>
      <x:c r="K24" s="11"/>
      <x:c r="L24" s="11"/>
      <x:c r="M24" s="11"/>
      <x:c r="N24" s="11"/>
    </x:row>
    <x:row r="25">
      <x:c r="A25" s="11"/>
      <x:c r="B25" s="11"/>
      <x:c r="C25" s="11"/>
      <x:c r="D25" s="11"/>
      <x:c r="E25" s="11"/>
      <x:c r="F25" s="11"/>
      <x:c r="G25" s="11"/>
      <x:c r="H25" s="11"/>
      <x:c r="I25" s="11"/>
      <x:c r="J25" s="11"/>
      <x:c r="K25" s="11"/>
      <x:c r="L25" s="11"/>
      <x:c r="M25" s="11"/>
      <x:c r="N25" s="11"/>
    </x:row>
    <x:row r="26">
      <x:c r="A26" s="11"/>
      <x:c r="B26" s="11"/>
      <x:c r="C26" s="11"/>
      <x:c r="D26" s="11"/>
      <x:c r="E26" s="11"/>
      <x:c r="F26" s="11"/>
      <x:c r="G26" s="11"/>
      <x:c r="H26" s="11"/>
      <x:c r="I26" s="11"/>
      <x:c r="J26" s="11"/>
      <x:c r="K26" s="11"/>
      <x:c r="L26" s="11"/>
      <x:c r="M26" s="11"/>
      <x:c r="N26" s="11"/>
    </x:row>
    <x:row r="27">
      <x:c r="A27" s="11"/>
      <x:c r="B27" s="11"/>
      <x:c r="C27" s="11"/>
      <x:c r="D27" s="11"/>
      <x:c r="E27" s="11"/>
      <x:c r="F27" s="11"/>
      <x:c r="G27" s="11"/>
      <x:c r="H27" s="11"/>
      <x:c r="I27" s="11"/>
      <x:c r="J27" s="11"/>
      <x:c r="K27" s="11"/>
      <x:c r="L27" s="11"/>
      <x:c r="M27" s="11"/>
      <x:c r="N27" s="11"/>
    </x:row>
    <x:row r="28">
      <x:c r="A28" s="11"/>
      <x:c r="B28" s="11"/>
      <x:c r="C28" s="11"/>
      <x:c r="D28" s="11"/>
      <x:c r="E28" s="11"/>
      <x:c r="F28" s="11"/>
      <x:c r="G28" s="11"/>
      <x:c r="H28" s="11"/>
      <x:c r="I28" s="11"/>
      <x:c r="J28" s="11"/>
      <x:c r="K28" s="11"/>
      <x:c r="L28" s="11"/>
      <x:c r="M28" s="11"/>
      <x:c r="N28" s="11"/>
    </x:row>
    <x:row r="29">
      <x:c r="A29" s="11"/>
      <x:c r="B29" s="11"/>
      <x:c r="C29" s="11"/>
      <x:c r="D29" s="11"/>
      <x:c r="E29" s="11"/>
      <x:c r="F29" s="11"/>
      <x:c r="G29" s="11"/>
      <x:c r="H29" s="11"/>
      <x:c r="I29" s="11"/>
      <x:c r="J29" s="11"/>
      <x:c r="K29" s="11"/>
      <x:c r="L29" s="11"/>
      <x:c r="M29" s="11"/>
      <x:c r="N29" s="11"/>
    </x:row>
    <x:row r="30">
      <x:c r="A30" s="11"/>
      <x:c r="B30" s="11"/>
      <x:c r="C30" s="11"/>
      <x:c r="D30" s="11"/>
      <x:c r="E30" s="11"/>
      <x:c r="F30" s="11"/>
      <x:c r="G30" s="11"/>
      <x:c r="H30" s="11"/>
      <x:c r="I30" s="11"/>
      <x:c r="J30" s="11"/>
      <x:c r="K30" s="11"/>
      <x:c r="L30" s="11"/>
      <x:c r="M30" s="11"/>
      <x:c r="N30" s="11"/>
    </x:row>
    <x:row r="31">
      <x:c r="A31" s="11"/>
      <x:c r="B31" s="11"/>
      <x:c r="C31" s="11"/>
      <x:c r="D31" s="11"/>
      <x:c r="E31" s="11"/>
      <x:c r="F31" s="11"/>
      <x:c r="G31" s="11"/>
      <x:c r="H31" s="11"/>
      <x:c r="I31" s="11"/>
      <x:c r="J31" s="11"/>
      <x:c r="K31" s="11"/>
      <x:c r="L31" s="11"/>
      <x:c r="M31" s="11"/>
      <x:c r="N31" s="11"/>
    </x:row>
    <x:row r="32">
      <x:c r="A32" s="11"/>
      <x:c r="B32" s="11"/>
      <x:c r="C32" s="11"/>
      <x:c r="D32" s="11"/>
      <x:c r="E32" s="11"/>
      <x:c r="F32" s="11"/>
      <x:c r="G32" s="11"/>
      <x:c r="H32" s="11"/>
      <x:c r="I32" s="11"/>
      <x:c r="J32" s="11"/>
      <x:c r="K32" s="11"/>
      <x:c r="L32" s="11"/>
      <x:c r="M32" s="11"/>
      <x:c r="N32" s="11"/>
    </x:row>
    <x:row r="33">
      <x:c r="A33" s="11"/>
      <x:c r="B33" s="11"/>
      <x:c r="C33" s="11"/>
      <x:c r="D33" s="11"/>
      <x:c r="E33" s="11"/>
      <x:c r="F33" s="11"/>
      <x:c r="G33" s="11"/>
      <x:c r="H33" s="11"/>
      <x:c r="I33" s="11"/>
      <x:c r="J33" s="11"/>
      <x:c r="K33" s="11"/>
      <x:c r="L33" s="11"/>
      <x:c r="M33" s="11"/>
      <x:c r="N33" s="11"/>
    </x:row>
    <x:row r="34">
      <x:c r="A34" s="11"/>
      <x:c r="B34" s="11"/>
      <x:c r="C34" s="11"/>
      <x:c r="D34" s="11"/>
      <x:c r="E34" s="11"/>
      <x:c r="F34" s="11"/>
      <x:c r="G34" s="11"/>
      <x:c r="H34" s="11"/>
      <x:c r="I34" s="11"/>
      <x:c r="J34" s="11"/>
      <x:c r="K34" s="11"/>
      <x:c r="L34" s="11"/>
      <x:c r="M34" s="11"/>
      <x:c r="N34" s="11"/>
    </x:row>
    <x:row r="35">
      <x:c r="A35" s="11"/>
      <x:c r="B35" s="11"/>
      <x:c r="C35" s="11"/>
      <x:c r="D35" s="11"/>
      <x:c r="E35" s="11"/>
      <x:c r="F35" s="11"/>
      <x:c r="G35" s="11"/>
      <x:c r="H35" s="11"/>
      <x:c r="I35" s="11"/>
      <x:c r="J35" s="11"/>
      <x:c r="K35" s="11"/>
      <x:c r="L35" s="11"/>
      <x:c r="M35" s="11"/>
      <x:c r="N35" s="11"/>
    </x:row>
    <x:row r="36">
      <x:c r="A36" s="11"/>
      <x:c r="B36" s="11"/>
      <x:c r="C36" s="11"/>
      <x:c r="D36" s="11"/>
      <x:c r="E36" s="11"/>
      <x:c r="F36" s="11"/>
      <x:c r="G36" s="11"/>
      <x:c r="H36" s="11"/>
      <x:c r="I36" s="11"/>
      <x:c r="J36" s="11"/>
      <x:c r="K36" s="11"/>
      <x:c r="L36" s="11"/>
      <x:c r="M36" s="11"/>
      <x:c r="N36" s="11"/>
    </x:row>
    <x:row r="37">
      <x:c r="A37" s="11"/>
      <x:c r="B37" s="11"/>
      <x:c r="C37" s="11"/>
      <x:c r="D37" s="11"/>
      <x:c r="E37" s="11"/>
      <x:c r="F37" s="11"/>
      <x:c r="G37" s="11"/>
      <x:c r="H37" s="11"/>
      <x:c r="I37" s="11"/>
      <x:c r="J37" s="11"/>
      <x:c r="K37" s="11"/>
      <x:c r="L37" s="11"/>
      <x:c r="M37" s="11"/>
      <x:c r="N37" s="11"/>
    </x:row>
    <x:row r="38">
      <x:c r="A38" s="11"/>
      <x:c r="B38" s="11"/>
      <x:c r="C38" s="11"/>
      <x:c r="D38" s="11"/>
      <x:c r="E38" s="11"/>
      <x:c r="F38" s="11"/>
      <x:c r="G38" s="11"/>
      <x:c r="H38" s="11"/>
      <x:c r="I38" s="11"/>
      <x:c r="J38" s="11"/>
      <x:c r="K38" s="11"/>
      <x:c r="L38" s="11"/>
      <x:c r="M38" s="11"/>
      <x:c r="N38" s="11"/>
    </x:row>
    <x:row r="39">
      <x:c r="A39" s="11"/>
      <x:c r="B39" s="11"/>
      <x:c r="C39" s="11"/>
      <x:c r="D39" s="11"/>
      <x:c r="E39" s="11"/>
      <x:c r="F39" s="11"/>
      <x:c r="G39" s="11"/>
      <x:c r="H39" s="11"/>
      <x:c r="I39" s="11"/>
      <x:c r="J39" s="11"/>
      <x:c r="K39" s="11"/>
      <x:c r="L39" s="11"/>
      <x:c r="M39" s="11"/>
      <x:c r="N39" s="11"/>
    </x:row>
    <x:row r="40">
      <x:c r="A40" s="11"/>
      <x:c r="B40" s="11"/>
      <x:c r="C40" s="11"/>
      <x:c r="D40" s="11"/>
      <x:c r="E40" s="11"/>
      <x:c r="F40" s="11"/>
      <x:c r="G40" s="11"/>
      <x:c r="H40" s="11"/>
      <x:c r="I40" s="11"/>
      <x:c r="J40" s="11"/>
      <x:c r="K40" s="11"/>
      <x:c r="L40" s="11"/>
      <x:c r="M40" s="11"/>
      <x:c r="N40" s="11"/>
    </x:row>
    <x:row r="41">
      <x:c r="A41" s="11"/>
      <x:c r="B41" s="11"/>
      <x:c r="C41" s="11"/>
      <x:c r="D41" s="11"/>
      <x:c r="E41" s="11"/>
      <x:c r="F41" s="11"/>
      <x:c r="G41" s="11"/>
      <x:c r="H41" s="11"/>
      <x:c r="I41" s="11"/>
      <x:c r="J41" s="11"/>
      <x:c r="K41" s="11"/>
      <x:c r="L41" s="11"/>
      <x:c r="M41" s="11"/>
      <x:c r="N41" s="11"/>
    </x:row>
    <x:row r="42">
      <x:c r="A42" s="11"/>
      <x:c r="B42" s="11"/>
      <x:c r="C42" s="11"/>
      <x:c r="D42" s="11"/>
      <x:c r="E42" s="11"/>
      <x:c r="F42" s="11"/>
      <x:c r="G42" s="11"/>
      <x:c r="H42" s="11"/>
      <x:c r="I42" s="11"/>
      <x:c r="J42" s="11"/>
      <x:c r="K42" s="11"/>
      <x:c r="L42" s="11"/>
      <x:c r="M42" s="11"/>
      <x:c r="N42" s="11"/>
    </x:row>
    <x:row r="43">
      <x:c r="A43" s="11"/>
      <x:c r="B43" s="11"/>
      <x:c r="C43" s="11"/>
      <x:c r="D43" s="11"/>
      <x:c r="E43" s="11"/>
      <x:c r="F43" s="11"/>
      <x:c r="G43" s="11"/>
      <x:c r="H43" s="11"/>
      <x:c r="I43" s="11"/>
      <x:c r="J43" s="11"/>
      <x:c r="K43" s="11"/>
      <x:c r="L43" s="11"/>
      <x:c r="M43" s="11"/>
      <x:c r="N43" s="11"/>
    </x:row>
    <x:row r="44">
      <x:c r="A44" s="11"/>
      <x:c r="B44" s="11"/>
      <x:c r="C44" s="11"/>
      <x:c r="D44" s="11"/>
      <x:c r="E44" s="11"/>
      <x:c r="F44" s="11"/>
      <x:c r="G44" s="11"/>
      <x:c r="H44" s="11"/>
      <x:c r="I44" s="11"/>
      <x:c r="J44" s="11"/>
      <x:c r="K44" s="11"/>
      <x:c r="L44" s="11"/>
      <x:c r="M44" s="11"/>
      <x:c r="N44" s="11"/>
    </x:row>
    <x:row r="45">
      <x:c r="A45" s="11"/>
      <x:c r="B45" s="11"/>
      <x:c r="C45" s="11"/>
      <x:c r="D45" s="11"/>
      <x:c r="E45" s="11"/>
      <x:c r="F45" s="11"/>
      <x:c r="G45" s="11"/>
      <x:c r="H45" s="11"/>
      <x:c r="I45" s="11"/>
      <x:c r="J45" s="11"/>
      <x:c r="K45" s="11"/>
      <x:c r="L45" s="11"/>
      <x:c r="M45" s="11"/>
      <x:c r="N45" s="11"/>
    </x:row>
    <x:row r="46">
      <x:c r="A46" s="11"/>
      <x:c r="B46" s="11"/>
      <x:c r="C46" s="11"/>
      <x:c r="D46" s="11"/>
      <x:c r="E46" s="11"/>
      <x:c r="F46" s="11"/>
      <x:c r="G46" s="11"/>
      <x:c r="H46" s="11"/>
      <x:c r="I46" s="11"/>
      <x:c r="J46" s="11"/>
      <x:c r="K46" s="11"/>
      <x:c r="L46" s="11"/>
      <x:c r="M46" s="11"/>
      <x:c r="N46" s="11"/>
    </x:row>
    <x:row r="47">
      <x:c r="A47" s="11"/>
      <x:c r="B47" s="11"/>
      <x:c r="C47" s="11"/>
      <x:c r="D47" s="11"/>
      <x:c r="E47" s="11"/>
      <x:c r="F47" s="11"/>
      <x:c r="G47" s="11"/>
      <x:c r="H47" s="11"/>
      <x:c r="I47" s="11"/>
      <x:c r="J47" s="11"/>
      <x:c r="K47" s="11"/>
      <x:c r="L47" s="11"/>
      <x:c r="M47" s="11"/>
      <x:c r="N47" s="11"/>
    </x:row>
    <x:row r="48">
      <x:c r="A48" s="11"/>
      <x:c r="B48" s="11"/>
      <x:c r="C48" s="11"/>
      <x:c r="D48" s="11"/>
      <x:c r="E48" s="11"/>
      <x:c r="F48" s="11"/>
      <x:c r="G48" s="11"/>
      <x:c r="H48" s="11"/>
      <x:c r="I48" s="11"/>
      <x:c r="J48" s="11"/>
      <x:c r="K48" s="11"/>
      <x:c r="L48" s="11"/>
      <x:c r="M48" s="11"/>
      <x:c r="N48" s="11"/>
    </x:row>
    <x:row r="49">
      <x:c r="A49" s="11"/>
      <x:c r="B49" s="11"/>
      <x:c r="C49" s="11"/>
      <x:c r="D49" s="11"/>
      <x:c r="E49" s="11"/>
      <x:c r="F49" s="11"/>
      <x:c r="G49" s="11"/>
      <x:c r="H49" s="11"/>
      <x:c r="I49" s="11"/>
      <x:c r="J49" s="11"/>
      <x:c r="K49" s="11"/>
      <x:c r="L49" s="11"/>
      <x:c r="M49" s="11"/>
      <x:c r="N49" s="11"/>
    </x:row>
    <x:row r="50">
      <x:c r="A50" s="11"/>
      <x:c r="B50" s="11"/>
      <x:c r="C50" s="11"/>
      <x:c r="D50" s="11"/>
      <x:c r="E50" s="11"/>
      <x:c r="F50" s="11"/>
      <x:c r="G50" s="11"/>
      <x:c r="H50" s="11"/>
      <x:c r="I50" s="11"/>
      <x:c r="J50" s="11"/>
      <x:c r="K50" s="11"/>
      <x:c r="L50" s="11"/>
      <x:c r="M50" s="11"/>
      <x:c r="N50" s="11"/>
    </x:row>
    <x:row r="51">
      <x:c r="A51" s="11"/>
      <x:c r="B51" s="11"/>
      <x:c r="C51" s="11"/>
      <x:c r="D51" s="11"/>
      <x:c r="E51" s="11"/>
      <x:c r="F51" s="11"/>
      <x:c r="G51" s="11"/>
      <x:c r="H51" s="11"/>
      <x:c r="I51" s="11"/>
      <x:c r="J51" s="11"/>
      <x:c r="K51" s="11"/>
      <x:c r="L51" s="11"/>
      <x:c r="M51" s="11"/>
      <x:c r="N51" s="11"/>
    </x:row>
    <x:row r="52">
      <x:c r="A52" s="11"/>
      <x:c r="B52" s="11"/>
      <x:c r="C52" s="11"/>
      <x:c r="D52" s="11"/>
      <x:c r="E52" s="11"/>
      <x:c r="F52" s="11"/>
      <x:c r="G52" s="11"/>
      <x:c r="H52" s="11"/>
      <x:c r="I52" s="11"/>
      <x:c r="J52" s="11"/>
      <x:c r="K52" s="11"/>
      <x:c r="L52" s="11"/>
      <x:c r="M52" s="11"/>
      <x:c r="N52" s="11"/>
    </x:row>
    <x:row r="53">
      <x:c r="A53" s="11"/>
      <x:c r="B53" s="11"/>
      <x:c r="C53" s="11"/>
      <x:c r="D53" s="11"/>
      <x:c r="E53" s="11"/>
      <x:c r="F53" s="11"/>
      <x:c r="G53" s="11"/>
      <x:c r="H53" s="11"/>
      <x:c r="I53" s="11"/>
      <x:c r="J53" s="11"/>
      <x:c r="K53" s="11"/>
      <x:c r="L53" s="11"/>
      <x:c r="M53" s="11"/>
      <x:c r="N53" s="11"/>
    </x:row>
    <x:row r="54">
      <x:c r="A54" s="11"/>
      <x:c r="B54" s="11"/>
      <x:c r="C54" s="11"/>
      <x:c r="D54" s="11"/>
      <x:c r="E54" s="11"/>
      <x:c r="F54" s="11"/>
      <x:c r="G54" s="11"/>
      <x:c r="H54" s="11"/>
      <x:c r="I54" s="11"/>
      <x:c r="J54" s="11"/>
      <x:c r="K54" s="11"/>
      <x:c r="L54" s="11"/>
      <x:c r="M54" s="11"/>
      <x:c r="N54" s="11"/>
    </x:row>
    <x:row r="55">
      <x:c r="A55" s="11"/>
      <x:c r="B55" s="11"/>
      <x:c r="C55" s="11"/>
      <x:c r="D55" s="11"/>
      <x:c r="E55" s="11"/>
      <x:c r="F55" s="11"/>
      <x:c r="G55" s="11"/>
      <x:c r="H55" s="11"/>
      <x:c r="I55" s="11"/>
      <x:c r="J55" s="11"/>
      <x:c r="K55" s="11"/>
      <x:c r="L55" s="11"/>
      <x:c r="M55" s="11"/>
      <x:c r="N55" s="11"/>
    </x:row>
    <x:row r="56">
      <x:c r="A56" s="11"/>
      <x:c r="B56" s="11"/>
      <x:c r="C56" s="11"/>
      <x:c r="D56" s="11"/>
      <x:c r="E56" s="11"/>
      <x:c r="F56" s="11"/>
      <x:c r="G56" s="11"/>
      <x:c r="H56" s="11"/>
      <x:c r="I56" s="11"/>
      <x:c r="J56" s="11"/>
      <x:c r="K56" s="11"/>
      <x:c r="L56" s="11"/>
      <x:c r="M56" s="11"/>
      <x:c r="N56" s="11"/>
    </x:row>
    <x:row r="57">
      <x:c r="A57" s="11"/>
      <x:c r="B57" s="11"/>
      <x:c r="C57" s="11"/>
      <x:c r="D57" s="11"/>
      <x:c r="E57" s="11"/>
      <x:c r="F57" s="11"/>
      <x:c r="G57" s="11"/>
      <x:c r="H57" s="11"/>
      <x:c r="I57" s="11"/>
      <x:c r="J57" s="11"/>
      <x:c r="K57" s="11"/>
      <x:c r="L57" s="11"/>
      <x:c r="M57" s="11"/>
      <x:c r="N57" s="11"/>
    </x:row>
    <x:row r="58">
      <x:c r="A58" s="11"/>
      <x:c r="B58" s="11"/>
      <x:c r="C58" s="11"/>
      <x:c r="D58" s="11"/>
      <x:c r="E58" s="11"/>
      <x:c r="F58" s="11"/>
      <x:c r="G58" s="11"/>
      <x:c r="H58" s="11"/>
      <x:c r="I58" s="11"/>
      <x:c r="J58" s="11"/>
      <x:c r="K58" s="11"/>
      <x:c r="L58" s="11"/>
      <x:c r="M58" s="11"/>
      <x:c r="N58" s="11"/>
    </x:row>
    <x:row r="59">
      <x:c r="A59" s="11"/>
      <x:c r="B59" s="11"/>
      <x:c r="C59" s="11"/>
      <x:c r="D59" s="11"/>
      <x:c r="E59" s="11"/>
      <x:c r="F59" s="11"/>
      <x:c r="G59" s="11"/>
      <x:c r="H59" s="11"/>
      <x:c r="I59" s="11"/>
      <x:c r="J59" s="11"/>
      <x:c r="K59" s="11"/>
      <x:c r="L59" s="11"/>
      <x:c r="M59" s="11"/>
      <x:c r="N59" s="11"/>
    </x:row>
    <x:row r="60">
      <x:c r="A60" s="11"/>
      <x:c r="B60" s="11"/>
      <x:c r="C60" s="11"/>
      <x:c r="D60" s="11"/>
      <x:c r="E60" s="11"/>
      <x:c r="F60" s="11"/>
      <x:c r="G60" s="11"/>
      <x:c r="H60" s="11"/>
      <x:c r="I60" s="11"/>
      <x:c r="J60" s="11"/>
      <x:c r="K60" s="11"/>
      <x:c r="L60" s="11"/>
      <x:c r="M60" s="11"/>
      <x:c r="N60" s="11"/>
    </x:row>
  </x:sheetData>
  <x:mergeCells>
    <x:mergeCell ref="A1:G2"/>
    <x:mergeCell ref="A3:G3"/>
  </x:mergeCells>
  <x:conditionalFormatting sqref="E6:E14">
    <x:cfRule type="containsText" dxfId="8" priority="1" operator="containsText" text="PASS"/>
    <x:cfRule type="containsText" dxfId="9" priority="2" operator="containsText" text="FAIL"/>
  </x:conditionalFormatting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25" hidden="0" customWidth="1"/>
    <x:col min="3" max="3" width="19" hidden="0" customWidth="1"/>
    <x:col min="4" max="4" width="19" hidden="0" customWidth="1"/>
    <x:col min="5" max="5" width="48" hidden="0" customWidth="1"/>
    <x:col min="6" max="6" width="18" hidden="0" customWidth="1"/>
    <x:col min="7" max="7" width="18" hidden="0" customWidth="1"/>
    <x:col min="8" max="8" width="18" hidden="0" customWidth="1"/>
    <x:col min="9" max="9" width="46" hidden="0" customWidth="1"/>
  </x:cols>
  <x:sheetData>
    <x:row r="1">
      <x:c r="A1" s="14" t="str">
        <x:v>Sources &amp; Assumptions</x:v>
      </x:c>
      <x:c r="B1" s="14" t="str">
        <x:v>Sources &amp; Assumptions</x:v>
      </x:c>
      <x:c r="C1" s="14" t="str">
        <x:v>Sources &amp; Assumptions</x:v>
      </x:c>
      <x:c r="D1" s="14" t="str">
        <x:v>Sources &amp; Assumptions</x:v>
      </x:c>
      <x:c r="E1" s="14" t="str">
        <x:v>Sources &amp; Assumptions</x:v>
      </x:c>
      <x:c r="F1" s="14" t="str">
        <x:v>Sources &amp; Assumptions</x:v>
      </x:c>
      <x:c r="G1" s="14" t="str">
        <x:v>Sources &amp; Assumptions</x:v>
      </x:c>
      <x:c r="H1" s="14" t="str">
        <x:v>Sources &amp; Assumptions</x:v>
      </x:c>
      <x:c r="I1" s="14" t="str">
        <x:v>Sources &amp; Assumptions</x:v>
      </x:c>
      <x:c r="J1" s="11"/>
      <x:c r="K1" s="11"/>
      <x:c r="L1" s="11"/>
      <x:c r="M1" s="11"/>
      <x:c r="N1" s="11"/>
    </x:row>
    <x:row r="2">
      <x:c r="A2" s="14" t="str">
        <x:v>Sources &amp; Assumptions</x:v>
      </x:c>
      <x:c r="B2" s="14" t="str">
        <x:v>Sources &amp; Assumptions</x:v>
      </x:c>
      <x:c r="C2" s="14" t="str">
        <x:v>Sources &amp; Assumptions</x:v>
      </x:c>
      <x:c r="D2" s="14" t="str">
        <x:v>Sources &amp; Assumptions</x:v>
      </x:c>
      <x:c r="E2" s="14" t="str">
        <x:v>Sources &amp; Assumptions</x:v>
      </x:c>
      <x:c r="F2" s="14" t="str">
        <x:v>Sources &amp; Assumptions</x:v>
      </x:c>
      <x:c r="G2" s="14" t="str">
        <x:v>Sources &amp; Assumptions</x:v>
      </x:c>
      <x:c r="H2" s="14" t="str">
        <x:v>Sources &amp; Assumptions</x:v>
      </x:c>
      <x:c r="I2" s="14" t="str">
        <x:v>Sources &amp; Assumptions</x:v>
      </x:c>
      <x:c r="J2" s="11"/>
      <x:c r="K2" s="11"/>
      <x:c r="L2" s="11"/>
      <x:c r="M2" s="11"/>
      <x:c r="N2" s="11"/>
    </x:row>
    <x:row r="3">
      <x:c r="A3" s="17" t="str">
        <x:v>Public sources calibrate ranges; all company-level records and results are synthetic</x:v>
      </x:c>
      <x:c r="B3" s="17" t="str">
        <x:v>Public sources calibrate ranges; all company-level records and results are synthetic</x:v>
      </x:c>
      <x:c r="C3" s="17" t="str">
        <x:v>Public sources calibrate ranges; all company-level records and results are synthetic</x:v>
      </x:c>
      <x:c r="D3" s="17" t="str">
        <x:v>Public sources calibrate ranges; all company-level records and results are synthetic</x:v>
      </x:c>
      <x:c r="E3" s="17" t="str">
        <x:v>Public sources calibrate ranges; all company-level records and results are synthetic</x:v>
      </x:c>
      <x:c r="F3" s="17" t="str">
        <x:v>Public sources calibrate ranges; all company-level records and results are synthetic</x:v>
      </x:c>
      <x:c r="G3" s="17" t="str">
        <x:v>Public sources calibrate ranges; all company-level records and results are synthetic</x:v>
      </x:c>
      <x:c r="H3" s="17" t="str">
        <x:v>Public sources calibrate ranges; all company-level records and results are synthetic</x:v>
      </x:c>
      <x:c r="I3" s="17" t="str">
        <x:v>Public sources calibrate ranges; all company-level records and results are synthetic</x:v>
      </x:c>
      <x:c r="J3" s="11"/>
      <x:c r="K3" s="11"/>
      <x:c r="L3" s="11"/>
      <x:c r="M3" s="11"/>
      <x:c r="N3" s="11"/>
    </x:row>
    <x:row r="4">
      <x:c r="A4" s="11"/>
      <x:c r="B4" s="11"/>
      <x:c r="C4" s="11"/>
      <x:c r="D4" s="11"/>
      <x:c r="E4" s="11"/>
      <x:c r="F4" s="11"/>
      <x:c r="G4" s="11"/>
      <x:c r="H4" s="11"/>
      <x:c r="I4" s="11"/>
      <x:c r="J4" s="11"/>
      <x:c r="K4" s="11"/>
      <x:c r="L4" s="11"/>
      <x:c r="M4" s="11"/>
      <x:c r="N4" s="11"/>
    </x:row>
    <x:row r="5">
      <x:c r="A5" s="168" t="str">
        <x:v>Public Calibration Sources</x:v>
      </x:c>
      <x:c r="B5" s="168" t="str">
        <x:v>Public Calibration Sources</x:v>
      </x:c>
      <x:c r="C5" s="168" t="str">
        <x:v>Public Calibration Sources</x:v>
      </x:c>
      <x:c r="D5" s="168" t="str">
        <x:v>Public Calibration Sources</x:v>
      </x:c>
      <x:c r="E5" s="168" t="str">
        <x:v>Public Calibration Sources</x:v>
      </x:c>
      <x:c r="F5" s="168" t="str">
        <x:v>Public Calibration Sources</x:v>
      </x:c>
      <x:c r="G5" s="168" t="str">
        <x:v>Public Calibration Sources</x:v>
      </x:c>
      <x:c r="H5" s="168" t="str">
        <x:v>Public Calibration Sources</x:v>
      </x:c>
      <x:c r="I5" s="168" t="str">
        <x:v>Public Calibration Sources</x:v>
      </x:c>
      <x:c r="J5" s="11"/>
      <x:c r="K5" s="11"/>
      <x:c r="L5" s="11"/>
      <x:c r="M5" s="11"/>
      <x:c r="N5" s="11"/>
    </x:row>
    <x:row r="6">
      <x:c r="A6" s="144" t="str">
        <x:v>Source ID</x:v>
      </x:c>
      <x:c r="B6" s="144" t="str">
        <x:v>Title</x:v>
      </x:c>
      <x:c r="C6" s="144" t="str">
        <x:v>Organization</x:v>
      </x:c>
      <x:c r="D6" s="144" t="str">
        <x:v>Period</x:v>
      </x:c>
      <x:c r="E6" s="144" t="str">
        <x:v>URL</x:v>
      </x:c>
      <x:c r="F6" s="144" t="str">
        <x:v>Accessed</x:v>
      </x:c>
      <x:c r="G6" s="144" t="str">
        <x:v>Use in Model</x:v>
      </x:c>
      <x:c r="H6" s="144" t="str">
        <x:v>Notes</x:v>
      </x:c>
      <x:c r="I6" s="169"/>
      <x:c r="J6" s="11"/>
      <x:c r="K6" s="11"/>
      <x:c r="L6" s="11"/>
      <x:c r="M6" s="11"/>
      <x:c r="N6" s="11"/>
    </x:row>
    <x:row r="7">
      <x:c r="A7" s="169" t="str">
        <x:v>SRC-01</x:v>
      </x:c>
      <x:c r="B7" s="169" t="str">
        <x:v>Workday FY2025 Form 10-K</x:v>
      </x:c>
      <x:c r="C7" s="169" t="str">
        <x:v>Workday Inc. / SEC EDGAR</x:v>
      </x:c>
      <x:c r="D7" s="169" t="str">
        <x:v>Fiscal year ended 2025-01-31</x:v>
      </x:c>
      <x:c r="E7" s="169" t="str">
        <x:v>https://www.sec.gov/Archives/edgar/data/1327811/000132781125000056/wday-20250131.htm</x:v>
      </x:c>
      <x:c r="F7" s="170" t="n">
        <x:v>46228</x:v>
      </x:c>
      <x:c r="G7" s="169" t="str">
        <x:v>Subscription and services revenue model; revenue recognition; retention and cost taxonomy</x:v>
      </x:c>
      <x:c r="H7" s="169" t="str">
        <x:v>Workday reported 91% subscription revenue; 17% subscription growth; 11% services growth; 98% gross revenue retention.</x:v>
      </x:c>
      <x:c r="I7" s="169"/>
      <x:c r="J7" s="11"/>
      <x:c r="K7" s="11"/>
      <x:c r="L7" s="11"/>
      <x:c r="M7" s="11"/>
      <x:c r="N7" s="11"/>
    </x:row>
    <x:row r="8">
      <x:c r="A8" s="169" t="str">
        <x:v>SRC-02</x:v>
      </x:c>
      <x:c r="B8" s="169" t="str">
        <x:v>Globant 2024 Form 20-F</x:v>
      </x:c>
      <x:c r="C8" s="169" t="str">
        <x:v>Globant S.A. / SEC EDGAR</x:v>
      </x:c>
      <x:c r="D8" s="169" t="str">
        <x:v>Year ended 2024-12-31</x:v>
      </x:c>
      <x:c r="E8" s="169" t="str">
        <x:v>https://www.sec.gov/Archives/edgar/data/1557860/000162828025009110/glob-20241231.htm</x:v>
      </x:c>
      <x:c r="F8" s="170" t="n">
        <x:v>46228</x:v>
      </x:c>
      <x:c r="G8" s="169" t="str">
        <x:v>Professional services gross-margin calibration and project revenue recognition</x:v>
      </x:c>
      <x:c r="H8" s="169" t="str">
        <x:v>Globant reported a 35.7% gross margin in 2024 and describes T&amp;M and fixed-price recognition.</x:v>
      </x:c>
      <x:c r="I8" s="169"/>
      <x:c r="J8" s="11"/>
      <x:c r="K8" s="11"/>
      <x:c r="L8" s="11"/>
      <x:c r="M8" s="11"/>
      <x:c r="N8" s="11"/>
    </x:row>
    <x:row r="9">
      <x:c r="A9" s="169" t="str">
        <x:v>SRC-03</x:v>
      </x:c>
      <x:c r="B9" s="169" t="str">
        <x:v>2025 Private B2B SaaS Growth Rate Benchmarks</x:v>
      </x:c>
      <x:c r="C9" s="169" t="str">
        <x:v>SaaS Capital</x:v>
      </x:c>
      <x:c r="D9" s="169" t="str">
        <x:v>2025 survey</x:v>
      </x:c>
      <x:c r="E9" s="169" t="str">
        <x:v>https://www.saas-capital.com/research/private-saas-company-growth-rate-benchmarks/</x:v>
      </x:c>
      <x:c r="F9" s="170" t="n">
        <x:v>46228</x:v>
      </x:c>
      <x:c r="G9" s="169" t="str">
        <x:v>Growth-rate range and relationship between retention and growth</x:v>
      </x:c>
      <x:c r="H9" s="169" t="str">
        <x:v>Survey of more than 1,000 private B2B SaaS companies; median growth reported at 25%.</x:v>
      </x:c>
      <x:c r="I9" s="169"/>
      <x:c r="J9" s="11"/>
      <x:c r="K9" s="11"/>
      <x:c r="L9" s="11"/>
      <x:c r="M9" s="11"/>
      <x:c r="N9" s="11"/>
    </x:row>
    <x:row r="10">
      <x:c r="A10" s="169" t="str">
        <x:v>SRC-04</x:v>
      </x:c>
      <x:c r="B10" s="169" t="str">
        <x:v>Employer Costs for Employee Compensation - June 2025</x:v>
      </x:c>
      <x:c r="C10" s="169" t="str">
        <x:v>U.S. Bureau of Labor Statistics</x:v>
      </x:c>
      <x:c r="D10" s="169" t="str">
        <x:v>June 2025</x:v>
      </x:c>
      <x:c r="E10" s="169" t="str">
        <x:v>https://www.bls.gov/news.release/archives/ecec_09122025.htm</x:v>
      </x:c>
      <x:c r="F10" s="170" t="n">
        <x:v>46228</x:v>
      </x:c>
      <x:c r="G10" s="169" t="str">
        <x:v>Direction for salary loading and benefits</x:v>
      </x:c>
      <x:c r="H10" s="169" t="str">
        <x:v>Private-industry benefits represented 29.8% of total compensation. The model uses a narrower cash payroll load plus bonus accrual.</x:v>
      </x:c>
      <x:c r="I10" s="169"/>
      <x:c r="J10" s="11"/>
      <x:c r="K10" s="11"/>
      <x:c r="L10" s="11"/>
      <x:c r="M10" s="11"/>
      <x:c r="N10" s="11"/>
    </x:row>
    <x:row r="11">
      <x:c r="A11" s="169" t="str">
        <x:v>SRC-05</x:v>
      </x:c>
      <x:c r="B11" s="169" t="str">
        <x:v>May 2024 OEWS National Industry-Specific Wage Estimates</x:v>
      </x:c>
      <x:c r="C11" s="169" t="str">
        <x:v>U.S. Bureau of Labor Statistics</x:v>
      </x:c>
      <x:c r="D11" s="169" t="str">
        <x:v>May 2024</x:v>
      </x:c>
      <x:c r="E11" s="169" t="str">
        <x:v>https://www.bls.gov/oes/2024/may/oes_ind.htm</x:v>
      </x:c>
      <x:c r="F11" s="170" t="n">
        <x:v>46228</x:v>
      </x:c>
      <x:c r="G11" s="169" t="str">
        <x:v>Relative salary bands by job family and industry</x:v>
      </x:c>
      <x:c r="H11" s="169" t="str">
        <x:v>Used as a directional anchor; all employee-level compensation is synthetic.</x:v>
      </x:c>
      <x:c r="I11" s="169"/>
      <x:c r="J11" s="11"/>
      <x:c r="K11" s="11"/>
      <x:c r="L11" s="11"/>
      <x:c r="M11" s="11"/>
      <x:c r="N11" s="11"/>
    </x:row>
    <x:row r="12">
      <x:c r="A12" s="169"/>
      <x:c r="B12" s="169"/>
      <x:c r="C12" s="169"/>
      <x:c r="D12" s="169"/>
      <x:c r="E12" s="169"/>
      <x:c r="F12" s="169"/>
      <x:c r="G12" s="169"/>
      <x:c r="H12" s="169"/>
      <x:c r="I12" s="169"/>
      <x:c r="J12" s="11"/>
      <x:c r="K12" s="11"/>
      <x:c r="L12" s="11"/>
      <x:c r="M12" s="11"/>
      <x:c r="N12" s="11"/>
    </x:row>
    <x:row r="13">
      <x:c r="A13" s="169"/>
      <x:c r="B13" s="169"/>
      <x:c r="C13" s="169"/>
      <x:c r="D13" s="169"/>
      <x:c r="E13" s="169"/>
      <x:c r="F13" s="169"/>
      <x:c r="G13" s="169"/>
      <x:c r="H13" s="169"/>
      <x:c r="I13" s="169"/>
      <x:c r="J13" s="11"/>
      <x:c r="K13" s="11"/>
      <x:c r="L13" s="11"/>
      <x:c r="M13" s="11"/>
      <x:c r="N13" s="11"/>
    </x:row>
    <x:row r="14">
      <x:c r="A14" s="168" t="str">
        <x:v>Model Assumptions</x:v>
      </x:c>
      <x:c r="B14" s="168" t="str">
        <x:v>Model Assumptions</x:v>
      </x:c>
      <x:c r="C14" s="168" t="str">
        <x:v>Model Assumptions</x:v>
      </x:c>
      <x:c r="D14" s="168" t="str">
        <x:v>Model Assumptions</x:v>
      </x:c>
      <x:c r="E14" s="168" t="str">
        <x:v>Model Assumptions</x:v>
      </x:c>
      <x:c r="F14" s="168" t="str">
        <x:v>Model Assumptions</x:v>
      </x:c>
      <x:c r="G14" s="168" t="str">
        <x:v>Model Assumptions</x:v>
      </x:c>
      <x:c r="H14" s="168" t="str">
        <x:v>Model Assumptions</x:v>
      </x:c>
      <x:c r="I14" s="168" t="str">
        <x:v>Model Assumptions</x:v>
      </x:c>
      <x:c r="J14" s="11"/>
      <x:c r="K14" s="11"/>
      <x:c r="L14" s="11"/>
      <x:c r="M14" s="11"/>
      <x:c r="N14" s="11"/>
    </x:row>
    <x:row r="15">
      <x:c r="A15" s="144" t="str">
        <x:v>ID</x:v>
      </x:c>
      <x:c r="B15" s="144" t="str">
        <x:v>Category</x:v>
      </x:c>
      <x:c r="C15" s="144" t="str">
        <x:v>Assumption</x:v>
      </x:c>
      <x:c r="D15" s="144" t="str">
        <x:v>Value</x:v>
      </x:c>
      <x:c r="E15" s="144" t="str">
        <x:v>Unit</x:v>
      </x:c>
      <x:c r="F15" s="144" t="str">
        <x:v>Period</x:v>
      </x:c>
      <x:c r="G15" s="144" t="str">
        <x:v>Basis</x:v>
      </x:c>
      <x:c r="H15" s="144" t="str">
        <x:v>Source</x:v>
      </x:c>
      <x:c r="I15" s="144" t="str">
        <x:v>Rationale</x:v>
      </x:c>
      <x:c r="J15" s="11"/>
      <x:c r="K15" s="11"/>
      <x:c r="L15" s="11"/>
      <x:c r="M15" s="11"/>
      <x:c r="N15" s="11"/>
    </x:row>
    <x:row r="16">
      <x:c r="A16" s="169" t="str">
        <x:v>ASM-01</x:v>
      </x:c>
      <x:c r="B16" s="169" t="str">
        <x:v>Company profile</x:v>
      </x:c>
      <x:c r="C16" s="169" t="str">
        <x:v>Reporting currency</x:v>
      </x:c>
      <x:c r="D16" s="171" t="str">
        <x:v>USD</x:v>
      </x:c>
      <x:c r="E16" s="169" t="str">
        <x:v>Currency</x:v>
      </x:c>
      <x:c r="F16" s="169" t="str">
        <x:v>All periods</x:v>
      </x:c>
      <x:c r="G16" s="169" t="str">
        <x:v>Model convention</x:v>
      </x:c>
      <x:c r="H16" s="169"/>
      <x:c r="I16" s="169" t="str">
        <x:v>Single reporting currency; Canadian payroll converted into USD-equivalent salary bands.</x:v>
      </x:c>
      <x:c r="J16" s="11"/>
      <x:c r="K16" s="11"/>
      <x:c r="L16" s="11"/>
      <x:c r="M16" s="11"/>
      <x:c r="N16" s="11"/>
    </x:row>
    <x:row r="17">
      <x:c r="A17" s="169" t="str">
        <x:v>ASM-02</x:v>
      </x:c>
      <x:c r="B17" s="169" t="str">
        <x:v>Company profile</x:v>
      </x:c>
      <x:c r="C17" s="169" t="str">
        <x:v>Reporting cutoff</x:v>
      </x:c>
      <x:c r="D17" s="171" t="str">
        <x:v>2026-06-30</x:v>
      </x:c>
      <x:c r="E17" s="169" t="str">
        <x:v>Date</x:v>
      </x:c>
      <x:c r="F17" s="169" t="str">
        <x:v>2026 Q2</x:v>
      </x:c>
      <x:c r="G17" s="169" t="str">
        <x:v>Model convention</x:v>
      </x:c>
      <x:c r="H17" s="169"/>
      <x:c r="I17" s="169" t="str">
        <x:v>June 2026 is treated as a fully closed month.</x:v>
      </x:c>
      <x:c r="J17" s="11"/>
      <x:c r="K17" s="11"/>
      <x:c r="L17" s="11"/>
      <x:c r="M17" s="11"/>
      <x:c r="N17" s="11"/>
    </x:row>
    <x:row r="18">
      <x:c r="A18" s="169" t="str">
        <x:v>ASM-03</x:v>
      </x:c>
      <x:c r="B18" s="169" t="str">
        <x:v>Revenue</x:v>
      </x:c>
      <x:c r="C18" s="169" t="str">
        <x:v>2023 subscription revenue calibration</x:v>
      </x:c>
      <x:c r="D18" s="171" t="str">
        <x:v>78000000</x:v>
      </x:c>
      <x:c r="E18" s="169" t="str">
        <x:v>USD</x:v>
      </x:c>
      <x:c r="F18" s="169" t="str">
        <x:v>FY2023</x:v>
      </x:c>
      <x:c r="G18" s="169" t="str">
        <x:v>Scaled anchor</x:v>
      </x:c>
      <x:c r="H18" s="169" t="str">
        <x:v>SRC-01</x:v>
      </x:c>
      <x:c r="I18" s="169" t="str">
        <x:v>Sets the company at mid-market scale while preserving customer-level mix.</x:v>
      </x:c>
      <x:c r="J18" s="11"/>
      <x:c r="K18" s="11"/>
      <x:c r="L18" s="11"/>
      <x:c r="M18" s="11"/>
      <x:c r="N18" s="11"/>
    </x:row>
    <x:row r="19">
      <x:c r="A19" s="169" t="str">
        <x:v>ASM-04</x:v>
      </x:c>
      <x:c r="B19" s="169" t="str">
        <x:v>Revenue</x:v>
      </x:c>
      <x:c r="C19" s="169" t="str">
        <x:v>2023 services revenue calibration</x:v>
      </x:c>
      <x:c r="D19" s="171" t="str">
        <x:v>17000000</x:v>
      </x:c>
      <x:c r="E19" s="169" t="str">
        <x:v>USD</x:v>
      </x:c>
      <x:c r="F19" s="169" t="str">
        <x:v>FY2023</x:v>
      </x:c>
      <x:c r="G19" s="169" t="str">
        <x:v>Scaled anchor</x:v>
      </x:c>
      <x:c r="H19" s="169" t="str">
        <x:v>SRC-02</x:v>
      </x:c>
      <x:c r="I19" s="169" t="str">
        <x:v>Project revenue is scaled annually to a credible services mix.</x:v>
      </x:c>
      <x:c r="J19" s="11"/>
      <x:c r="K19" s="11"/>
      <x:c r="L19" s="11"/>
      <x:c r="M19" s="11"/>
      <x:c r="N19" s="11"/>
    </x:row>
    <x:row r="20">
      <x:c r="A20" s="169" t="str">
        <x:v>ASM-05</x:v>
      </x:c>
      <x:c r="B20" s="169" t="str">
        <x:v>Revenue</x:v>
      </x:c>
      <x:c r="C20" s="169" t="str">
        <x:v>Subscription recognition</x:v>
      </x:c>
      <x:c r="D20" s="171" t="str">
        <x:v>Ratable monthly</x:v>
      </x:c>
      <x:c r="E20" s="169" t="str">
        <x:v>Method</x:v>
      </x:c>
      <x:c r="F20" s="169" t="str">
        <x:v>All periods</x:v>
      </x:c>
      <x:c r="G20" s="169" t="str">
        <x:v>Accounting logic</x:v>
      </x:c>
      <x:c r="H20" s="169" t="str">
        <x:v>SRC-01</x:v>
      </x:c>
      <x:c r="I20" s="169" t="str">
        <x:v>Revenue uses average opening and ending MRR for event months.</x:v>
      </x:c>
      <x:c r="J20" s="11"/>
      <x:c r="K20" s="11"/>
      <x:c r="L20" s="11"/>
      <x:c r="M20" s="11"/>
      <x:c r="N20" s="11"/>
    </x:row>
    <x:row r="21">
      <x:c r="A21" s="169" t="str">
        <x:v>ASM-06</x:v>
      </x:c>
      <x:c r="B21" s="169" t="str">
        <x:v>Revenue</x:v>
      </x:c>
      <x:c r="C21" s="169" t="str">
        <x:v>Services recognition</x:v>
      </x:c>
      <x:c r="D21" s="171" t="str">
        <x:v>Over time</x:v>
      </x:c>
      <x:c r="E21" s="169" t="str">
        <x:v>Method</x:v>
      </x:c>
      <x:c r="F21" s="169" t="str">
        <x:v>All periods</x:v>
      </x:c>
      <x:c r="G21" s="169" t="str">
        <x:v>Accounting logic</x:v>
      </x:c>
      <x:c r="H21" s="169" t="str">
        <x:v>SRC-01;SRC-02</x:v>
      </x:c>
      <x:c r="I21" s="169" t="str">
        <x:v>T&amp;M and fixed-price projects are recognized as work is performed.</x:v>
      </x:c>
      <x:c r="J21" s="11"/>
      <x:c r="K21" s="11"/>
      <x:c r="L21" s="11"/>
      <x:c r="M21" s="11"/>
      <x:c r="N21" s="11"/>
    </x:row>
    <x:row r="22">
      <x:c r="A22" s="169" t="str">
        <x:v>ASM-07</x:v>
      </x:c>
      <x:c r="B22" s="169" t="str">
        <x:v>Retention</x:v>
      </x:c>
      <x:c r="C22" s="169" t="str">
        <x:v>Annual churn probability</x:v>
      </x:c>
      <x:c r="D22" s="171" t="str">
        <x:v>1.8% Enterprise; 4.0% Mid-Market; 7.0% SMB</x:v>
      </x:c>
      <x:c r="E22" s="169" t="str">
        <x:v>Rate</x:v>
      </x:c>
      <x:c r="F22" s="169" t="str">
        <x:v>All periods</x:v>
      </x:c>
      <x:c r="G22" s="169" t="str">
        <x:v>Model assumption</x:v>
      </x:c>
      <x:c r="H22" s="169" t="str">
        <x:v>SRC-01;SRC-03</x:v>
      </x:c>
      <x:c r="I22" s="169" t="str">
        <x:v>Lower than SMB benchmarks and below Workday's disclosed 98% GRR for a scaled private-company profile.</x:v>
      </x:c>
      <x:c r="J22" s="11"/>
      <x:c r="K22" s="11"/>
      <x:c r="L22" s="11"/>
      <x:c r="M22" s="11"/>
      <x:c r="N22" s="11"/>
    </x:row>
    <x:row r="23">
      <x:c r="A23" s="169" t="str">
        <x:v>ASM-08</x:v>
      </x:c>
      <x:c r="B23" s="169" t="str">
        <x:v>Pricing</x:v>
      </x:c>
      <x:c r="C23" s="169" t="str">
        <x:v>Annual contractual uplift</x:v>
      </x:c>
      <x:c r="D23" s="171" t="str">
        <x:v>0.03</x:v>
      </x:c>
      <x:c r="E23" s="169" t="str">
        <x:v>Rate</x:v>
      </x:c>
      <x:c r="F23" s="169" t="str">
        <x:v>Renewal month</x:v>
      </x:c>
      <x:c r="G23" s="169" t="str">
        <x:v>Model assumption</x:v>
      </x:c>
      <x:c r="H23" s="169" t="str">
        <x:v>SRC-01</x:v>
      </x:c>
      <x:c r="I23" s="169" t="str">
        <x:v>Applied at renewal before expansion or contraction events.</x:v>
      </x:c>
      <x:c r="J23" s="11"/>
      <x:c r="K23" s="11"/>
      <x:c r="L23" s="11"/>
      <x:c r="M23" s="11"/>
      <x:c r="N23" s="11"/>
    </x:row>
    <x:row r="24">
      <x:c r="A24" s="169" t="str">
        <x:v>ASM-09</x:v>
      </x:c>
      <x:c r="B24" s="169" t="str">
        <x:v>Compensation</x:v>
      </x:c>
      <x:c r="C24" s="169" t="str">
        <x:v>Annual merit increase</x:v>
      </x:c>
      <x:c r="D24" s="171" t="str">
        <x:v>0.035</x:v>
      </x:c>
      <x:c r="E24" s="169" t="str">
        <x:v>Rate</x:v>
      </x:c>
      <x:c r="F24" s="169" t="str">
        <x:v>Each January</x:v>
      </x:c>
      <x:c r="G24" s="169" t="str">
        <x:v>Model assumption</x:v>
      </x:c>
      <x:c r="H24" s="169" t="str">
        <x:v>SRC-04;SRC-05</x:v>
      </x:c>
      <x:c r="I24" s="169" t="str">
        <x:v>Applied consistently across job families.</x:v>
      </x:c>
      <x:c r="J24" s="11"/>
      <x:c r="K24" s="11"/>
      <x:c r="L24" s="11"/>
      <x:c r="M24" s="11"/>
      <x:c r="N24" s="11"/>
    </x:row>
    <x:row r="25">
      <x:c r="A25" s="169" t="str">
        <x:v>ASM-10</x:v>
      </x:c>
      <x:c r="B25" s="169" t="str">
        <x:v>Compensation</x:v>
      </x:c>
      <x:c r="C25" s="169" t="str">
        <x:v>Benefits load</x:v>
      </x:c>
      <x:c r="D25" s="171" t="str">
        <x:v>0.15</x:v>
      </x:c>
      <x:c r="E25" s="169" t="str">
        <x:v>Rate of base salary</x:v>
      </x:c>
      <x:c r="F25" s="169" t="str">
        <x:v>Monthly</x:v>
      </x:c>
      <x:c r="G25" s="169" t="str">
        <x:v>Model assumption</x:v>
      </x:c>
      <x:c r="H25" s="169" t="str">
        <x:v>SRC-04</x:v>
      </x:c>
      <x:c r="I25" s="169" t="str">
        <x:v>Health retirement and other cash benefits; payroll taxes and bonus are separate.</x:v>
      </x:c>
      <x:c r="J25" s="11"/>
      <x:c r="K25" s="11"/>
      <x:c r="L25" s="11"/>
      <x:c r="M25" s="11"/>
      <x:c r="N25" s="11"/>
    </x:row>
    <x:row r="26">
      <x:c r="A26" s="169" t="str">
        <x:v>ASM-11</x:v>
      </x:c>
      <x:c r="B26" s="169" t="str">
        <x:v>Compensation</x:v>
      </x:c>
      <x:c r="C26" s="169" t="str">
        <x:v>Employer payroll tax</x:v>
      </x:c>
      <x:c r="D26" s="171" t="str">
        <x:v>0.0765</x:v>
      </x:c>
      <x:c r="E26" s="169" t="str">
        <x:v>Rate of base salary</x:v>
      </x:c>
      <x:c r="F26" s="169" t="str">
        <x:v>Monthly</x:v>
      </x:c>
      <x:c r="G26" s="169" t="str">
        <x:v>Model assumption</x:v>
      </x:c>
      <x:c r="H26" s="169" t="str">
        <x:v>SRC-04</x:v>
      </x:c>
      <x:c r="I26" s="169" t="str">
        <x:v>Simplified U.S.-equivalent payroll-tax load used for all regions.</x:v>
      </x:c>
      <x:c r="J26" s="11"/>
      <x:c r="K26" s="11"/>
      <x:c r="L26" s="11"/>
      <x:c r="M26" s="11"/>
      <x:c r="N26" s="11"/>
    </x:row>
    <x:row r="27">
      <x:c r="A27" s="169" t="str">
        <x:v>ASM-12</x:v>
      </x:c>
      <x:c r="B27" s="169" t="str">
        <x:v>Planning</x:v>
      </x:c>
      <x:c r="C27" s="169" t="str">
        <x:v>FY2026 subscription budget growth</x:v>
      </x:c>
      <x:c r="D27" s="171" t="str">
        <x:v>0.18</x:v>
      </x:c>
      <x:c r="E27" s="169" t="str">
        <x:v>Growth rate</x:v>
      </x:c>
      <x:c r="F27" s="169" t="str">
        <x:v>FY2026</x:v>
      </x:c>
      <x:c r="G27" s="169" t="str">
        <x:v>Management plan</x:v>
      </x:c>
      <x:c r="H27" s="169" t="str">
        <x:v>SRC-03</x:v>
      </x:c>
      <x:c r="I27" s="169" t="str">
        <x:v>Below the 25% private B2B SaaS survey median because the simulated company is larger and more mature.</x:v>
      </x:c>
      <x:c r="J27" s="11"/>
      <x:c r="K27" s="11"/>
      <x:c r="L27" s="11"/>
      <x:c r="M27" s="11"/>
      <x:c r="N27" s="11"/>
    </x:row>
    <x:row r="28">
      <x:c r="A28" s="169" t="str">
        <x:v>ASM-13</x:v>
      </x:c>
      <x:c r="B28" s="169" t="str">
        <x:v>Planning</x:v>
      </x:c>
      <x:c r="C28" s="169" t="str">
        <x:v>FY2026 services budget growth</x:v>
      </x:c>
      <x:c r="D28" s="171" t="str">
        <x:v>0.14</x:v>
      </x:c>
      <x:c r="E28" s="169" t="str">
        <x:v>Growth rate</x:v>
      </x:c>
      <x:c r="F28" s="169" t="str">
        <x:v>FY2026</x:v>
      </x:c>
      <x:c r="G28" s="169" t="str">
        <x:v>Management plan</x:v>
      </x:c>
      <x:c r="H28" s="169" t="str">
        <x:v>SRC-02</x:v>
      </x:c>
      <x:c r="I28" s="169" t="str">
        <x:v>Reflects implementation capacity and expected attach rates.</x:v>
      </x:c>
      <x:c r="J28" s="11"/>
      <x:c r="K28" s="11"/>
      <x:c r="L28" s="11"/>
      <x:c r="M28" s="11"/>
      <x:c r="N28" s="11"/>
    </x:row>
    <x:row r="29">
      <x:c r="A29" s="169" t="str">
        <x:v>ASM-14</x:v>
      </x:c>
      <x:c r="B29" s="169" t="str">
        <x:v>Planning</x:v>
      </x:c>
      <x:c r="C29" s="169" t="str">
        <x:v>Q2 forecast subscription adjustment</x:v>
      </x:c>
      <x:c r="D29" s="171" t="str">
        <x:v>-0.045</x:v>
      </x:c>
      <x:c r="E29" s="169" t="str">
        <x:v>Variance vs budget</x:v>
      </x:c>
      <x:c r="F29" s="169" t="str">
        <x:v>Jul-Dec 2026</x:v>
      </x:c>
      <x:c r="G29" s="169" t="str">
        <x:v>Business event</x:v>
      </x:c>
      <x:c r="H29" s="169"/>
      <x:c r="I29" s="169" t="str">
        <x:v>Reflects two enterprise churn events and slower expansion.</x:v>
      </x:c>
      <x:c r="J29" s="11"/>
      <x:c r="K29" s="11"/>
      <x:c r="L29" s="11"/>
      <x:c r="M29" s="11"/>
      <x:c r="N29" s="11"/>
    </x:row>
    <x:row r="30">
      <x:c r="A30" s="169" t="str">
        <x:v>ASM-15</x:v>
      </x:c>
      <x:c r="B30" s="169" t="str">
        <x:v>Planning</x:v>
      </x:c>
      <x:c r="C30" s="169" t="str">
        <x:v>Q2 forecast services adjustment</x:v>
      </x:c>
      <x:c r="D30" s="171" t="str">
        <x:v>-0.08</x:v>
      </x:c>
      <x:c r="E30" s="169" t="str">
        <x:v>Variance vs budget</x:v>
      </x:c>
      <x:c r="F30" s="169" t="str">
        <x:v>Jul-Dec 2026</x:v>
      </x:c>
      <x:c r="G30" s="169" t="str">
        <x:v>Business event</x:v>
      </x:c>
      <x:c r="H30" s="169"/>
      <x:c r="I30" s="169" t="str">
        <x:v>Reflects lower utilization and delayed implementation starts.</x:v>
      </x:c>
      <x:c r="J30" s="11"/>
      <x:c r="K30" s="11"/>
      <x:c r="L30" s="11"/>
      <x:c r="M30" s="11"/>
      <x:c r="N30" s="11"/>
    </x:row>
    <x:row r="31">
      <x:c r="A31" s="169" t="str">
        <x:v>ASM-16</x:v>
      </x:c>
      <x:c r="B31" s="169" t="str">
        <x:v>Data generation</x:v>
      </x:c>
      <x:c r="C31" s="169" t="str">
        <x:v>Random seed</x:v>
      </x:c>
      <x:c r="D31" s="171" t="str">
        <x:v>20250725</x:v>
      </x:c>
      <x:c r="E31" s="169" t="str">
        <x:v>Integer</x:v>
      </x:c>
      <x:c r="F31" s="169" t="str">
        <x:v>All periods</x:v>
      </x:c>
      <x:c r="G31" s="169" t="str">
        <x:v>Reproducibility control</x:v>
      </x:c>
      <x:c r="H31" s="169"/>
      <x:c r="I31" s="169" t="str">
        <x:v>Re-running the generator with the same seed reproduces the same dataset.</x:v>
      </x:c>
      <x:c r="J31" s="11"/>
      <x:c r="K31" s="11"/>
      <x:c r="L31" s="11"/>
      <x:c r="M31" s="11"/>
      <x:c r="N31" s="11"/>
    </x:row>
    <x:row r="32">
      <x:c r="A32" s="169" t="str">
        <x:v>ASM-17</x:v>
      </x:c>
      <x:c r="B32" s="169" t="str">
        <x:v>Project accounting</x:v>
      </x:c>
      <x:c r="C32" s="169" t="str">
        <x:v>Direct labor allocation</x:v>
      </x:c>
      <x:c r="D32" s="171" t="str">
        <x:v>Billable-hours share at loaded cost per available hour</x:v>
      </x:c>
      <x:c r="E32" s="169" t="str">
        <x:v>Method</x:v>
      </x:c>
      <x:c r="F32" s="169" t="str">
        <x:v>All periods</x:v>
      </x:c>
      <x:c r="G32" s="169" t="str">
        <x:v>Synthetic timesheet logic</x:v>
      </x:c>
      <x:c r="H32" s="169" t="str">
        <x:v>SRC-02;SRC-04</x:v>
      </x:c>
      <x:c r="I32" s="169" t="str">
        <x:v>Client projects absorb billable delivery labor; internal and bench capacity remains in the services P&amp;L rather than being forced into project margin.</x:v>
      </x:c>
      <x:c r="J32" s="11"/>
      <x:c r="K32" s="11"/>
      <x:c r="L32" s="11"/>
      <x:c r="M32" s="11"/>
      <x:c r="N32" s="11"/>
    </x:row>
    <x:row r="33">
      <x:c r="A33" s="11"/>
      <x:c r="B33" s="11"/>
      <x:c r="C33" s="11"/>
      <x:c r="D33" s="11"/>
      <x:c r="E33" s="11"/>
      <x:c r="F33" s="11"/>
      <x:c r="G33" s="11"/>
      <x:c r="H33" s="11"/>
      <x:c r="I33" s="11"/>
      <x:c r="J33" s="11"/>
      <x:c r="K33" s="11"/>
      <x:c r="L33" s="11"/>
      <x:c r="M33" s="11"/>
      <x:c r="N33" s="11"/>
    </x:row>
    <x:row r="34">
      <x:c r="A34" s="11"/>
      <x:c r="B34" s="11"/>
      <x:c r="C34" s="11"/>
      <x:c r="D34" s="11"/>
      <x:c r="E34" s="11"/>
      <x:c r="F34" s="11"/>
      <x:c r="G34" s="11"/>
      <x:c r="H34" s="11"/>
      <x:c r="I34" s="11"/>
      <x:c r="J34" s="11"/>
      <x:c r="K34" s="11"/>
      <x:c r="L34" s="11"/>
      <x:c r="M34" s="11"/>
      <x:c r="N34" s="11"/>
    </x:row>
    <x:row r="35">
      <x:c r="A35" s="11"/>
      <x:c r="B35" s="11"/>
      <x:c r="C35" s="11"/>
      <x:c r="D35" s="11"/>
      <x:c r="E35" s="11"/>
      <x:c r="F35" s="11"/>
      <x:c r="G35" s="11"/>
      <x:c r="H35" s="11"/>
      <x:c r="I35" s="11"/>
      <x:c r="J35" s="11"/>
      <x:c r="K35" s="11"/>
      <x:c r="L35" s="11"/>
      <x:c r="M35" s="11"/>
      <x:c r="N35" s="11"/>
    </x:row>
    <x:row r="36">
      <x:c r="A36" s="11"/>
      <x:c r="B36" s="11"/>
      <x:c r="C36" s="11"/>
      <x:c r="D36" s="11"/>
      <x:c r="E36" s="11"/>
      <x:c r="F36" s="11"/>
      <x:c r="G36" s="11"/>
      <x:c r="H36" s="11"/>
      <x:c r="I36" s="11"/>
      <x:c r="J36" s="11"/>
      <x:c r="K36" s="11"/>
      <x:c r="L36" s="11"/>
      <x:c r="M36" s="11"/>
      <x:c r="N36" s="11"/>
    </x:row>
    <x:row r="37">
      <x:c r="A37" s="11"/>
      <x:c r="B37" s="11"/>
      <x:c r="C37" s="11"/>
      <x:c r="D37" s="11"/>
      <x:c r="E37" s="11"/>
      <x:c r="F37" s="11"/>
      <x:c r="G37" s="11"/>
      <x:c r="H37" s="11"/>
      <x:c r="I37" s="11"/>
      <x:c r="J37" s="11"/>
      <x:c r="K37" s="11"/>
      <x:c r="L37" s="11"/>
      <x:c r="M37" s="11"/>
      <x:c r="N37" s="11"/>
    </x:row>
    <x:row r="38">
      <x:c r="A38" s="11"/>
      <x:c r="B38" s="11"/>
      <x:c r="C38" s="11"/>
      <x:c r="D38" s="11"/>
      <x:c r="E38" s="11"/>
      <x:c r="F38" s="11"/>
      <x:c r="G38" s="11"/>
      <x:c r="H38" s="11"/>
      <x:c r="I38" s="11"/>
      <x:c r="J38" s="11"/>
      <x:c r="K38" s="11"/>
      <x:c r="L38" s="11"/>
      <x:c r="M38" s="11"/>
      <x:c r="N38" s="11"/>
    </x:row>
    <x:row r="39">
      <x:c r="A39" s="11"/>
      <x:c r="B39" s="11"/>
      <x:c r="C39" s="11"/>
      <x:c r="D39" s="11"/>
      <x:c r="E39" s="11"/>
      <x:c r="F39" s="11"/>
      <x:c r="G39" s="11"/>
      <x:c r="H39" s="11"/>
      <x:c r="I39" s="11"/>
      <x:c r="J39" s="11"/>
      <x:c r="K39" s="11"/>
      <x:c r="L39" s="11"/>
      <x:c r="M39" s="11"/>
      <x:c r="N39" s="11"/>
    </x:row>
    <x:row r="40">
      <x:c r="A40" s="11"/>
      <x:c r="B40" s="11"/>
      <x:c r="C40" s="11"/>
      <x:c r="D40" s="11"/>
      <x:c r="E40" s="11"/>
      <x:c r="F40" s="11"/>
      <x:c r="G40" s="11"/>
      <x:c r="H40" s="11"/>
      <x:c r="I40" s="11"/>
      <x:c r="J40" s="11"/>
      <x:c r="K40" s="11"/>
      <x:c r="L40" s="11"/>
      <x:c r="M40" s="11"/>
      <x:c r="N40" s="11"/>
    </x:row>
    <x:row r="41">
      <x:c r="A41" s="11"/>
      <x:c r="B41" s="11"/>
      <x:c r="C41" s="11"/>
      <x:c r="D41" s="11"/>
      <x:c r="E41" s="11"/>
      <x:c r="F41" s="11"/>
      <x:c r="G41" s="11"/>
      <x:c r="H41" s="11"/>
      <x:c r="I41" s="11"/>
      <x:c r="J41" s="11"/>
      <x:c r="K41" s="11"/>
      <x:c r="L41" s="11"/>
      <x:c r="M41" s="11"/>
      <x:c r="N41" s="11"/>
    </x:row>
    <x:row r="42">
      <x:c r="A42" s="11"/>
      <x:c r="B42" s="11"/>
      <x:c r="C42" s="11"/>
      <x:c r="D42" s="11"/>
      <x:c r="E42" s="11"/>
      <x:c r="F42" s="11"/>
      <x:c r="G42" s="11"/>
      <x:c r="H42" s="11"/>
      <x:c r="I42" s="11"/>
      <x:c r="J42" s="11"/>
      <x:c r="K42" s="11"/>
      <x:c r="L42" s="11"/>
      <x:c r="M42" s="11"/>
      <x:c r="N42" s="11"/>
    </x:row>
    <x:row r="43">
      <x:c r="A43" s="11"/>
      <x:c r="B43" s="11"/>
      <x:c r="C43" s="11"/>
      <x:c r="D43" s="11"/>
      <x:c r="E43" s="11"/>
      <x:c r="F43" s="11"/>
      <x:c r="G43" s="11"/>
      <x:c r="H43" s="11"/>
      <x:c r="I43" s="11"/>
      <x:c r="J43" s="11"/>
      <x:c r="K43" s="11"/>
      <x:c r="L43" s="11"/>
      <x:c r="M43" s="11"/>
      <x:c r="N43" s="11"/>
    </x:row>
    <x:row r="44">
      <x:c r="A44" s="11"/>
      <x:c r="B44" s="11"/>
      <x:c r="C44" s="11"/>
      <x:c r="D44" s="11"/>
      <x:c r="E44" s="11"/>
      <x:c r="F44" s="11"/>
      <x:c r="G44" s="11"/>
      <x:c r="H44" s="11"/>
      <x:c r="I44" s="11"/>
      <x:c r="J44" s="11"/>
      <x:c r="K44" s="11"/>
      <x:c r="L44" s="11"/>
      <x:c r="M44" s="11"/>
      <x:c r="N44" s="11"/>
    </x:row>
    <x:row r="45">
      <x:c r="A45" s="11"/>
      <x:c r="B45" s="11"/>
      <x:c r="C45" s="11"/>
      <x:c r="D45" s="11"/>
      <x:c r="E45" s="11"/>
      <x:c r="F45" s="11"/>
      <x:c r="G45" s="11"/>
      <x:c r="H45" s="11"/>
      <x:c r="I45" s="11"/>
      <x:c r="J45" s="11"/>
      <x:c r="K45" s="11"/>
      <x:c r="L45" s="11"/>
      <x:c r="M45" s="11"/>
      <x:c r="N45" s="11"/>
    </x:row>
    <x:row r="46">
      <x:c r="A46" s="11"/>
      <x:c r="B46" s="11"/>
      <x:c r="C46" s="11"/>
      <x:c r="D46" s="11"/>
      <x:c r="E46" s="11"/>
      <x:c r="F46" s="11"/>
      <x:c r="G46" s="11"/>
      <x:c r="H46" s="11"/>
      <x:c r="I46" s="11"/>
      <x:c r="J46" s="11"/>
      <x:c r="K46" s="11"/>
      <x:c r="L46" s="11"/>
      <x:c r="M46" s="11"/>
      <x:c r="N46" s="11"/>
    </x:row>
    <x:row r="47">
      <x:c r="A47" s="11"/>
      <x:c r="B47" s="11"/>
      <x:c r="C47" s="11"/>
      <x:c r="D47" s="11"/>
      <x:c r="E47" s="11"/>
      <x:c r="F47" s="11"/>
      <x:c r="G47" s="11"/>
      <x:c r="H47" s="11"/>
      <x:c r="I47" s="11"/>
      <x:c r="J47" s="11"/>
      <x:c r="K47" s="11"/>
      <x:c r="L47" s="11"/>
      <x:c r="M47" s="11"/>
      <x:c r="N47" s="11"/>
    </x:row>
    <x:row r="48">
      <x:c r="A48" s="11"/>
      <x:c r="B48" s="11"/>
      <x:c r="C48" s="11"/>
      <x:c r="D48" s="11"/>
      <x:c r="E48" s="11"/>
      <x:c r="F48" s="11"/>
      <x:c r="G48" s="11"/>
      <x:c r="H48" s="11"/>
      <x:c r="I48" s="11"/>
      <x:c r="J48" s="11"/>
      <x:c r="K48" s="11"/>
      <x:c r="L48" s="11"/>
      <x:c r="M48" s="11"/>
      <x:c r="N48" s="11"/>
    </x:row>
    <x:row r="49">
      <x:c r="A49" s="11"/>
      <x:c r="B49" s="11"/>
      <x:c r="C49" s="11"/>
      <x:c r="D49" s="11"/>
      <x:c r="E49" s="11"/>
      <x:c r="F49" s="11"/>
      <x:c r="G49" s="11"/>
      <x:c r="H49" s="11"/>
      <x:c r="I49" s="11"/>
      <x:c r="J49" s="11"/>
      <x:c r="K49" s="11"/>
      <x:c r="L49" s="11"/>
      <x:c r="M49" s="11"/>
      <x:c r="N49" s="11"/>
    </x:row>
    <x:row r="50">
      <x:c r="A50" s="11"/>
      <x:c r="B50" s="11"/>
      <x:c r="C50" s="11"/>
      <x:c r="D50" s="11"/>
      <x:c r="E50" s="11"/>
      <x:c r="F50" s="11"/>
      <x:c r="G50" s="11"/>
      <x:c r="H50" s="11"/>
      <x:c r="I50" s="11"/>
      <x:c r="J50" s="11"/>
      <x:c r="K50" s="11"/>
      <x:c r="L50" s="11"/>
      <x:c r="M50" s="11"/>
      <x:c r="N50" s="11"/>
    </x:row>
    <x:row r="51">
      <x:c r="A51" s="11"/>
      <x:c r="B51" s="11"/>
      <x:c r="C51" s="11"/>
      <x:c r="D51" s="11"/>
      <x:c r="E51" s="11"/>
      <x:c r="F51" s="11"/>
      <x:c r="G51" s="11"/>
      <x:c r="H51" s="11"/>
      <x:c r="I51" s="11"/>
      <x:c r="J51" s="11"/>
      <x:c r="K51" s="11"/>
      <x:c r="L51" s="11"/>
      <x:c r="M51" s="11"/>
      <x:c r="N51" s="11"/>
    </x:row>
    <x:row r="52">
      <x:c r="A52" s="11"/>
      <x:c r="B52" s="11"/>
      <x:c r="C52" s="11"/>
      <x:c r="D52" s="11"/>
      <x:c r="E52" s="11"/>
      <x:c r="F52" s="11"/>
      <x:c r="G52" s="11"/>
      <x:c r="H52" s="11"/>
      <x:c r="I52" s="11"/>
      <x:c r="J52" s="11"/>
      <x:c r="K52" s="11"/>
      <x:c r="L52" s="11"/>
      <x:c r="M52" s="11"/>
      <x:c r="N52" s="11"/>
    </x:row>
    <x:row r="53">
      <x:c r="A53" s="11"/>
      <x:c r="B53" s="11"/>
      <x:c r="C53" s="11"/>
      <x:c r="D53" s="11"/>
      <x:c r="E53" s="11"/>
      <x:c r="F53" s="11"/>
      <x:c r="G53" s="11"/>
      <x:c r="H53" s="11"/>
      <x:c r="I53" s="11"/>
      <x:c r="J53" s="11"/>
      <x:c r="K53" s="11"/>
      <x:c r="L53" s="11"/>
      <x:c r="M53" s="11"/>
      <x:c r="N53" s="11"/>
    </x:row>
    <x:row r="54">
      <x:c r="A54" s="11"/>
      <x:c r="B54" s="11"/>
      <x:c r="C54" s="11"/>
      <x:c r="D54" s="11"/>
      <x:c r="E54" s="11"/>
      <x:c r="F54" s="11"/>
      <x:c r="G54" s="11"/>
      <x:c r="H54" s="11"/>
      <x:c r="I54" s="11"/>
      <x:c r="J54" s="11"/>
      <x:c r="K54" s="11"/>
      <x:c r="L54" s="11"/>
      <x:c r="M54" s="11"/>
      <x:c r="N54" s="11"/>
    </x:row>
    <x:row r="55">
      <x:c r="A55" s="11"/>
      <x:c r="B55" s="11"/>
      <x:c r="C55" s="11"/>
      <x:c r="D55" s="11"/>
      <x:c r="E55" s="11"/>
      <x:c r="F55" s="11"/>
      <x:c r="G55" s="11"/>
      <x:c r="H55" s="11"/>
      <x:c r="I55" s="11"/>
      <x:c r="J55" s="11"/>
      <x:c r="K55" s="11"/>
      <x:c r="L55" s="11"/>
      <x:c r="M55" s="11"/>
      <x:c r="N55" s="11"/>
    </x:row>
    <x:row r="56">
      <x:c r="A56" s="11"/>
      <x:c r="B56" s="11"/>
      <x:c r="C56" s="11"/>
      <x:c r="D56" s="11"/>
      <x:c r="E56" s="11"/>
      <x:c r="F56" s="11"/>
      <x:c r="G56" s="11"/>
      <x:c r="H56" s="11"/>
      <x:c r="I56" s="11"/>
      <x:c r="J56" s="11"/>
      <x:c r="K56" s="11"/>
      <x:c r="L56" s="11"/>
      <x:c r="M56" s="11"/>
      <x:c r="N56" s="11"/>
    </x:row>
    <x:row r="57">
      <x:c r="A57" s="11"/>
      <x:c r="B57" s="11"/>
      <x:c r="C57" s="11"/>
      <x:c r="D57" s="11"/>
      <x:c r="E57" s="11"/>
      <x:c r="F57" s="11"/>
      <x:c r="G57" s="11"/>
      <x:c r="H57" s="11"/>
      <x:c r="I57" s="11"/>
      <x:c r="J57" s="11"/>
      <x:c r="K57" s="11"/>
      <x:c r="L57" s="11"/>
      <x:c r="M57" s="11"/>
      <x:c r="N57" s="11"/>
    </x:row>
    <x:row r="58">
      <x:c r="A58" s="11"/>
      <x:c r="B58" s="11"/>
      <x:c r="C58" s="11"/>
      <x:c r="D58" s="11"/>
      <x:c r="E58" s="11"/>
      <x:c r="F58" s="11"/>
      <x:c r="G58" s="11"/>
      <x:c r="H58" s="11"/>
      <x:c r="I58" s="11"/>
      <x:c r="J58" s="11"/>
      <x:c r="K58" s="11"/>
      <x:c r="L58" s="11"/>
      <x:c r="M58" s="11"/>
      <x:c r="N58" s="11"/>
    </x:row>
    <x:row r="59">
      <x:c r="A59" s="11"/>
      <x:c r="B59" s="11"/>
      <x:c r="C59" s="11"/>
      <x:c r="D59" s="11"/>
      <x:c r="E59" s="11"/>
      <x:c r="F59" s="11"/>
      <x:c r="G59" s="11"/>
      <x:c r="H59" s="11"/>
      <x:c r="I59" s="11"/>
      <x:c r="J59" s="11"/>
      <x:c r="K59" s="11"/>
      <x:c r="L59" s="11"/>
      <x:c r="M59" s="11"/>
      <x:c r="N59" s="11"/>
    </x:row>
    <x:row r="60">
      <x:c r="A60" s="11"/>
      <x:c r="B60" s="11"/>
      <x:c r="C60" s="11"/>
      <x:c r="D60" s="11"/>
      <x:c r="E60" s="11"/>
      <x:c r="F60" s="11"/>
      <x:c r="G60" s="11"/>
      <x:c r="H60" s="11"/>
      <x:c r="I60" s="11"/>
      <x:c r="J60" s="11"/>
      <x:c r="K60" s="11"/>
      <x:c r="L60" s="11"/>
      <x:c r="M60" s="11"/>
      <x:c r="N60" s="11"/>
    </x:row>
  </x:sheetData>
  <x:mergeCells>
    <x:mergeCell ref="A1:I2"/>
    <x:mergeCell ref="A3:I3"/>
    <x:mergeCell ref="A5:I5"/>
    <x:mergeCell ref="A14:I14"/>
  </x:mergeCells>
  <x:pageMargins left="0.7" right="0.7" top="0.75" bottom="0.75" header="0.3" footer="0.3"/>
  <x:legacyDrawing xmlns:r="http://schemas.openxmlformats.org/officeDocument/2006/relationships" r:id="Rf16ed8c5d0194649"/>
</x:worksheet>
</file>

<file path=xl/worksheets/sheet9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3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3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3" hidden="0" customWidth="1"/>
    <x:col min="15" max="15" width="16" hidden="0" customWidth="1"/>
    <x:col min="16" max="16" width="16" hidden="0" customWidth="1"/>
  </x:cols>
  <x:sheetData>
    <x:row r="1">
      <x:c r="A1" s="4" t="str">
        <x:v>month_start</x:v>
      </x:c>
      <x:c r="B1" s="4" t="str">
        <x:v>scenario</x:v>
      </x:c>
      <x:c r="C1" s="4" t="str">
        <x:v>subscription_revenue_usd</x:v>
      </x:c>
      <x:c r="D1" s="4" t="str">
        <x:v>services_revenue_usd</x:v>
      </x:c>
      <x:c r="E1" s="4" t="str">
        <x:v>total_revenue_usd</x:v>
      </x:c>
      <x:c r="F1" s="4" t="str">
        <x:v>cost_of_subscription_usd</x:v>
      </x:c>
      <x:c r="G1" s="4" t="str">
        <x:v>cost_of_services_usd</x:v>
      </x:c>
      <x:c r="H1" s="4" t="str">
        <x:v>gross_profit_usd</x:v>
      </x:c>
      <x:c r="I1" s="4" t="str">
        <x:v>gross_margin_pct</x:v>
      </x:c>
      <x:c r="J1" s="4" t="str">
        <x:v>sales_marketing_usd</x:v>
      </x:c>
      <x:c r="K1" s="4" t="str">
        <x:v>research_development_usd</x:v>
      </x:c>
      <x:c r="L1" s="4" t="str">
        <x:v>general_administrative_usd</x:v>
      </x:c>
      <x:c r="M1" s="4" t="str">
        <x:v>adjusted_ebitda_usd</x:v>
      </x:c>
      <x:c r="N1" s="4" t="str">
        <x:v>adjusted_ebitda_margin_pct</x:v>
      </x:c>
      <x:c r="O1" s="4" t="str">
        <x:v>depreciation_amortization_usd</x:v>
      </x:c>
      <x:c r="P1" s="4" t="str">
        <x:v>operating_income_usd</x:v>
      </x:c>
    </x:row>
    <x:row r="2">
      <x:c r="A2" s="6" t="n">
        <x:v>44927</x:v>
      </x:c>
      <x:c r="B2" s="5" t="str">
        <x:v>Actual</x:v>
      </x:c>
      <x:c r="C2" s="7" t="n">
        <x:v>5807988.14</x:v>
      </x:c>
      <x:c r="D2" s="7" t="n">
        <x:v>1271207.59</x:v>
      </x:c>
      <x:c r="E2" s="7" t="n">
        <x:v>7079195.73</x:v>
      </x:c>
      <x:c r="F2" s="7" t="n">
        <x:v>1522816.51</x:v>
      </x:c>
      <x:c r="G2" s="7" t="n">
        <x:v>1088600.15</x:v>
      </x:c>
      <x:c r="H2" s="7" t="n">
        <x:v>4467779.07</x:v>
      </x:c>
      <x:c r="I2" s="8" t="n">
        <x:v>0.6311</x:v>
      </x:c>
      <x:c r="J2" s="7" t="n">
        <x:v>1742514.56</x:v>
      </x:c>
      <x:c r="K2" s="7" t="n">
        <x:v>1910907.45</x:v>
      </x:c>
      <x:c r="L2" s="7" t="n">
        <x:v>1307018.36</x:v>
      </x:c>
      <x:c r="M2" s="7" t="n">
        <x:v>-492661.3</x:v>
      </x:c>
      <x:c r="N2" s="8" t="n">
        <x:v>-0.0696</x:v>
      </x:c>
      <x:c r="O2" s="7" t="n">
        <x:v>127425.52</x:v>
      </x:c>
      <x:c r="P2" s="7" t="n">
        <x:v>-620086.82</x:v>
      </x:c>
    </x:row>
    <x:row r="3">
      <x:c r="A3" s="6" t="n">
        <x:v>44958</x:v>
      </x:c>
      <x:c r="B3" s="5" t="str">
        <x:v>Actual</x:v>
      </x:c>
      <x:c r="C3" s="7" t="n">
        <x:v>5880008.09</x:v>
      </x:c>
      <x:c r="D3" s="7" t="n">
        <x:v>1363956.8</x:v>
      </x:c>
      <x:c r="E3" s="7" t="n">
        <x:v>7243964.89</x:v>
      </x:c>
      <x:c r="F3" s="7" t="n">
        <x:v>1524736.22</x:v>
      </x:c>
      <x:c r="G3" s="7" t="n">
        <x:v>1117648.76</x:v>
      </x:c>
      <x:c r="H3" s="7" t="n">
        <x:v>4601579.91</x:v>
      </x:c>
      <x:c r="I3" s="8" t="n">
        <x:v>0.6352</x:v>
      </x:c>
      <x:c r="J3" s="7" t="n">
        <x:v>1775752.07</x:v>
      </x:c>
      <x:c r="K3" s="7" t="n">
        <x:v>1926903.57</x:v>
      </x:c>
      <x:c r="L3" s="7" t="n">
        <x:v>1301741.59</x:v>
      </x:c>
      <x:c r="M3" s="7" t="n">
        <x:v>-402817.32</x:v>
      </x:c>
      <x:c r="N3" s="8" t="n">
        <x:v>-0.0556</x:v>
      </x:c>
      <x:c r="O3" s="7" t="n">
        <x:v>130391.37</x:v>
      </x:c>
      <x:c r="P3" s="7" t="n">
        <x:v>-533208.69</x:v>
      </x:c>
    </x:row>
    <x:row r="4">
      <x:c r="A4" s="6" t="n">
        <x:v>44986</x:v>
      </x:c>
      <x:c r="B4" s="5" t="str">
        <x:v>Actual</x:v>
      </x:c>
      <x:c r="C4" s="7" t="n">
        <x:v>5955656.82</x:v>
      </x:c>
      <x:c r="D4" s="7" t="n">
        <x:v>1408255.71</x:v>
      </x:c>
      <x:c r="E4" s="7" t="n">
        <x:v>7363912.53</x:v>
      </x:c>
      <x:c r="F4" s="7" t="n">
        <x:v>1569856.8</x:v>
      </x:c>
      <x:c r="G4" s="7" t="n">
        <x:v>1091583.76</x:v>
      </x:c>
      <x:c r="H4" s="7" t="n">
        <x:v>4702471.97</x:v>
      </x:c>
      <x:c r="I4" s="8" t="n">
        <x:v>0.6386</x:v>
      </x:c>
      <x:c r="J4" s="7" t="n">
        <x:v>1796443.99</x:v>
      </x:c>
      <x:c r="K4" s="7" t="n">
        <x:v>1913468.36</x:v>
      </x:c>
      <x:c r="L4" s="7" t="n">
        <x:v>1297823.82</x:v>
      </x:c>
      <x:c r="M4" s="7" t="n">
        <x:v>-305264.2</x:v>
      </x:c>
      <x:c r="N4" s="8" t="n">
        <x:v>-0.0415</x:v>
      </x:c>
      <x:c r="O4" s="7" t="n">
        <x:v>132550.43</x:v>
      </x:c>
      <x:c r="P4" s="7" t="n">
        <x:v>-437814.63</x:v>
      </x:c>
    </x:row>
    <x:row r="5">
      <x:c r="A5" s="6" t="n">
        <x:v>45017</x:v>
      </x:c>
      <x:c r="B5" s="5" t="str">
        <x:v>Actual</x:v>
      </x:c>
      <x:c r="C5" s="7" t="n">
        <x:v>6127381.56</x:v>
      </x:c>
      <x:c r="D5" s="7" t="n">
        <x:v>1874092.42</x:v>
      </x:c>
      <x:c r="E5" s="7" t="n">
        <x:v>8001473.98</x:v>
      </x:c>
      <x:c r="F5" s="7" t="n">
        <x:v>1583171.33</x:v>
      </x:c>
      <x:c r="G5" s="7" t="n">
        <x:v>1148897.81</x:v>
      </x:c>
      <x:c r="H5" s="7" t="n">
        <x:v>5269404.84</x:v>
      </x:c>
      <x:c r="I5" s="8" t="n">
        <x:v>0.6586</x:v>
      </x:c>
      <x:c r="J5" s="7" t="n">
        <x:v>1786384.79</x:v>
      </x:c>
      <x:c r="K5" s="7" t="n">
        <x:v>1924122.95</x:v>
      </x:c>
      <x:c r="L5" s="7" t="n">
        <x:v>1359646.23</x:v>
      </x:c>
      <x:c r="M5" s="7" t="n">
        <x:v>199250.87</x:v>
      </x:c>
      <x:c r="N5" s="8" t="n">
        <x:v>0.0249</x:v>
      </x:c>
      <x:c r="O5" s="7" t="n">
        <x:v>144026.53</x:v>
      </x:c>
      <x:c r="P5" s="7" t="n">
        <x:v>55224.34</x:v>
      </x:c>
    </x:row>
    <x:row r="6">
      <x:c r="A6" s="6" t="n">
        <x:v>45047</x:v>
      </x:c>
      <x:c r="B6" s="5" t="str">
        <x:v>Actual</x:v>
      </x:c>
      <x:c r="C6" s="7" t="n">
        <x:v>6334145.3</x:v>
      </x:c>
      <x:c r="D6" s="7" t="n">
        <x:v>1582712.57</x:v>
      </x:c>
      <x:c r="E6" s="7" t="n">
        <x:v>7916857.87</x:v>
      </x:c>
      <x:c r="F6" s="7" t="n">
        <x:v>1581376.12</x:v>
      </x:c>
      <x:c r="G6" s="7" t="n">
        <x:v>1162699.34</x:v>
      </x:c>
      <x:c r="H6" s="7" t="n">
        <x:v>5172782.41</x:v>
      </x:c>
      <x:c r="I6" s="8" t="n">
        <x:v>0.6534</x:v>
      </x:c>
      <x:c r="J6" s="7" t="n">
        <x:v>1787550.45</x:v>
      </x:c>
      <x:c r="K6" s="7" t="n">
        <x:v>1922153.38</x:v>
      </x:c>
      <x:c r="L6" s="7" t="n">
        <x:v>1274105.12</x:v>
      </x:c>
      <x:c r="M6" s="7" t="n">
        <x:v>188973.46</x:v>
      </x:c>
      <x:c r="N6" s="8" t="n">
        <x:v>0.0239</x:v>
      </x:c>
      <x:c r="O6" s="7" t="n">
        <x:v>142503.44</x:v>
      </x:c>
      <x:c r="P6" s="7" t="n">
        <x:v>46470.02</x:v>
      </x:c>
    </x:row>
    <x:row r="7">
      <x:c r="A7" s="6" t="n">
        <x:v>45078</x:v>
      </x:c>
      <x:c r="B7" s="5" t="str">
        <x:v>Actual</x:v>
      </x:c>
      <x:c r="C7" s="7" t="n">
        <x:v>6430053.25</x:v>
      </x:c>
      <x:c r="D7" s="7" t="n">
        <x:v>1559895.86</x:v>
      </x:c>
      <x:c r="E7" s="7" t="n">
        <x:v>7989949.11</x:v>
      </x:c>
      <x:c r="F7" s="7" t="n">
        <x:v>1598262.3</x:v>
      </x:c>
      <x:c r="G7" s="7" t="n">
        <x:v>1154813.59</x:v>
      </x:c>
      <x:c r="H7" s="7" t="n">
        <x:v>5236873.22</x:v>
      </x:c>
      <x:c r="I7" s="8" t="n">
        <x:v>0.6554</x:v>
      </x:c>
      <x:c r="J7" s="7" t="n">
        <x:v>1805930.81</x:v>
      </x:c>
      <x:c r="K7" s="7" t="n">
        <x:v>1957514.41</x:v>
      </x:c>
      <x:c r="L7" s="7" t="n">
        <x:v>1345605.73</x:v>
      </x:c>
      <x:c r="M7" s="7" t="n">
        <x:v>127822.27</x:v>
      </x:c>
      <x:c r="N7" s="8" t="n">
        <x:v>0.016</x:v>
      </x:c>
      <x:c r="O7" s="7" t="n">
        <x:v>143819.08</x:v>
      </x:c>
      <x:c r="P7" s="7" t="n">
        <x:v>-15996.81</x:v>
      </x:c>
    </x:row>
    <x:row r="8">
      <x:c r="A8" s="6" t="n">
        <x:v>45108</x:v>
      </x:c>
      <x:c r="B8" s="5" t="str">
        <x:v>Actual</x:v>
      </x:c>
      <x:c r="C8" s="7" t="n">
        <x:v>6510320.47</x:v>
      </x:c>
      <x:c r="D8" s="7" t="n">
        <x:v>1276689.03</x:v>
      </x:c>
      <x:c r="E8" s="7" t="n">
        <x:v>7787009.5</x:v>
      </x:c>
      <x:c r="F8" s="7" t="n">
        <x:v>1602531.23</x:v>
      </x:c>
      <x:c r="G8" s="7" t="n">
        <x:v>1134340.45</x:v>
      </x:c>
      <x:c r="H8" s="7" t="n">
        <x:v>5050137.82</x:v>
      </x:c>
      <x:c r="I8" s="8" t="n">
        <x:v>0.6485</x:v>
      </x:c>
      <x:c r="J8" s="7" t="n">
        <x:v>1797504.58</x:v>
      </x:c>
      <x:c r="K8" s="7" t="n">
        <x:v>1955638.03</x:v>
      </x:c>
      <x:c r="L8" s="7" t="n">
        <x:v>1302038.06</x:v>
      </x:c>
      <x:c r="M8" s="7" t="n">
        <x:v>-5042.85</x:v>
      </x:c>
      <x:c r="N8" s="8" t="n">
        <x:v>-0.0006</x:v>
      </x:c>
      <x:c r="O8" s="7" t="n">
        <x:v>140166.17</x:v>
      </x:c>
      <x:c r="P8" s="7" t="n">
        <x:v>-145209.02</x:v>
      </x:c>
    </x:row>
    <x:row r="9">
      <x:c r="A9" s="6" t="n">
        <x:v>45139</x:v>
      </x:c>
      <x:c r="B9" s="5" t="str">
        <x:v>Actual</x:v>
      </x:c>
      <x:c r="C9" s="7" t="n">
        <x:v>6645610.7</x:v>
      </x:c>
      <x:c r="D9" s="7" t="n">
        <x:v>1145225.13</x:v>
      </x:c>
      <x:c r="E9" s="7" t="n">
        <x:v>7790835.83</x:v>
      </x:c>
      <x:c r="F9" s="7" t="n">
        <x:v>1632728.98</x:v>
      </x:c>
      <x:c r="G9" s="7" t="n">
        <x:v>1117931.36</x:v>
      </x:c>
      <x:c r="H9" s="7" t="n">
        <x:v>5040175.49</x:v>
      </x:c>
      <x:c r="I9" s="8" t="n">
        <x:v>0.6469</x:v>
      </x:c>
      <x:c r="J9" s="7" t="n">
        <x:v>1825378.16</x:v>
      </x:c>
      <x:c r="K9" s="7" t="n">
        <x:v>1934952.07</x:v>
      </x:c>
      <x:c r="L9" s="7" t="n">
        <x:v>1372611.22</x:v>
      </x:c>
      <x:c r="M9" s="7" t="n">
        <x:v>-92765.96</x:v>
      </x:c>
      <x:c r="N9" s="8" t="n">
        <x:v>-0.0119</x:v>
      </x:c>
      <x:c r="O9" s="7" t="n">
        <x:v>140235.04</x:v>
      </x:c>
      <x:c r="P9" s="7" t="n">
        <x:v>-233001</x:v>
      </x:c>
    </x:row>
    <x:row r="10">
      <x:c r="A10" s="6" t="n">
        <x:v>45170</x:v>
      </x:c>
      <x:c r="B10" s="5" t="str">
        <x:v>Actual</x:v>
      </x:c>
      <x:c r="C10" s="7" t="n">
        <x:v>6832292.56</x:v>
      </x:c>
      <x:c r="D10" s="7" t="n">
        <x:v>1245083.06</x:v>
      </x:c>
      <x:c r="E10" s="7" t="n">
        <x:v>8077375.62</x:v>
      </x:c>
      <x:c r="F10" s="7" t="n">
        <x:v>1660211.98</x:v>
      </x:c>
      <x:c r="G10" s="7" t="n">
        <x:v>1154558.11</x:v>
      </x:c>
      <x:c r="H10" s="7" t="n">
        <x:v>5262605.53</x:v>
      </x:c>
      <x:c r="I10" s="8" t="n">
        <x:v>0.6515</x:v>
      </x:c>
      <x:c r="J10" s="7" t="n">
        <x:v>1843170.23</x:v>
      </x:c>
      <x:c r="K10" s="7" t="n">
        <x:v>1935792.15</x:v>
      </x:c>
      <x:c r="L10" s="7" t="n">
        <x:v>1394020.74</x:v>
      </x:c>
      <x:c r="M10" s="7" t="n">
        <x:v>89622.41</x:v>
      </x:c>
      <x:c r="N10" s="8" t="n">
        <x:v>0.0111</x:v>
      </x:c>
      <x:c r="O10" s="7" t="n">
        <x:v>145392.76</x:v>
      </x:c>
      <x:c r="P10" s="7" t="n">
        <x:v>-55770.35</x:v>
      </x:c>
    </x:row>
    <x:row r="11">
      <x:c r="A11" s="6" t="n">
        <x:v>45200</x:v>
      </x:c>
      <x:c r="B11" s="5" t="str">
        <x:v>Actual</x:v>
      </x:c>
      <x:c r="C11" s="7" t="n">
        <x:v>7030242.72</x:v>
      </x:c>
      <x:c r="D11" s="7" t="n">
        <x:v>1279628.24</x:v>
      </x:c>
      <x:c r="E11" s="7" t="n">
        <x:v>8309870.96</x:v>
      </x:c>
      <x:c r="F11" s="7" t="n">
        <x:v>1690939.22</x:v>
      </x:c>
      <x:c r="G11" s="7" t="n">
        <x:v>1162149.09</x:v>
      </x:c>
      <x:c r="H11" s="7" t="n">
        <x:v>5456782.65</x:v>
      </x:c>
      <x:c r="I11" s="8" t="n">
        <x:v>0.6567</x:v>
      </x:c>
      <x:c r="J11" s="7" t="n">
        <x:v>1953721.7</x:v>
      </x:c>
      <x:c r="K11" s="7" t="n">
        <x:v>1987898.72</x:v>
      </x:c>
      <x:c r="L11" s="7" t="n">
        <x:v>1357805.67</x:v>
      </x:c>
      <x:c r="M11" s="7" t="n">
        <x:v>157356.56</x:v>
      </x:c>
      <x:c r="N11" s="8" t="n">
        <x:v>0.0189</x:v>
      </x:c>
      <x:c r="O11" s="7" t="n">
        <x:v>149577.68</x:v>
      </x:c>
      <x:c r="P11" s="7" t="n">
        <x:v>7778.88</x:v>
      </x:c>
    </x:row>
    <x:row r="12">
      <x:c r="A12" s="6" t="n">
        <x:v>45231</x:v>
      </x:c>
      <x:c r="B12" s="5" t="str">
        <x:v>Actual</x:v>
      </x:c>
      <x:c r="C12" s="7" t="n">
        <x:v>7167468.12</x:v>
      </x:c>
      <x:c r="D12" s="7" t="n">
        <x:v>1362012.25</x:v>
      </x:c>
      <x:c r="E12" s="7" t="n">
        <x:v>8529480.37</x:v>
      </x:c>
      <x:c r="F12" s="7" t="n">
        <x:v>1704208.9</x:v>
      </x:c>
      <x:c r="G12" s="7" t="n">
        <x:v>1165649.51</x:v>
      </x:c>
      <x:c r="H12" s="7" t="n">
        <x:v>5659621.96</x:v>
      </x:c>
      <x:c r="I12" s="8" t="n">
        <x:v>0.6635</x:v>
      </x:c>
      <x:c r="J12" s="7" t="n">
        <x:v>1997134.43</x:v>
      </x:c>
      <x:c r="K12" s="7" t="n">
        <x:v>1968070.76</x:v>
      </x:c>
      <x:c r="L12" s="7" t="n">
        <x:v>1398749</x:v>
      </x:c>
      <x:c r="M12" s="7" t="n">
        <x:v>295667.77</x:v>
      </x:c>
      <x:c r="N12" s="8" t="n">
        <x:v>0.0347</x:v>
      </x:c>
      <x:c r="O12" s="7" t="n">
        <x:v>153530.65</x:v>
      </x:c>
      <x:c r="P12" s="7" t="n">
        <x:v>142137.12</x:v>
      </x:c>
    </x:row>
    <x:row r="13">
      <x:c r="A13" s="6" t="n">
        <x:v>45261</x:v>
      </x:c>
      <x:c r="B13" s="5" t="str">
        <x:v>Actual</x:v>
      </x:c>
      <x:c r="C13" s="7" t="n">
        <x:v>7278832.59</x:v>
      </x:c>
      <x:c r="D13" s="7" t="n">
        <x:v>1631241.29</x:v>
      </x:c>
      <x:c r="E13" s="7" t="n">
        <x:v>8910073.88</x:v>
      </x:c>
      <x:c r="F13" s="7" t="n">
        <x:v>1723799.73</x:v>
      </x:c>
      <x:c r="G13" s="7" t="n">
        <x:v>1159067.08</x:v>
      </x:c>
      <x:c r="H13" s="7" t="n">
        <x:v>6027207.07</x:v>
      </x:c>
      <x:c r="I13" s="8" t="n">
        <x:v>0.6764</x:v>
      </x:c>
      <x:c r="J13" s="7" t="n">
        <x:v>2040742.01</x:v>
      </x:c>
      <x:c r="K13" s="7" t="n">
        <x:v>1991197.44</x:v>
      </x:c>
      <x:c r="L13" s="7" t="n">
        <x:v>1379912.75</x:v>
      </x:c>
      <x:c r="M13" s="7" t="n">
        <x:v>615354.87</x:v>
      </x:c>
      <x:c r="N13" s="8" t="n">
        <x:v>0.0691</x:v>
      </x:c>
      <x:c r="O13" s="7" t="n">
        <x:v>160381.33</x:v>
      </x:c>
      <x:c r="P13" s="7" t="n">
        <x:v>454973.54</x:v>
      </x:c>
    </x:row>
    <x:row r="14">
      <x:c r="A14" s="6" t="n">
        <x:v>45292</x:v>
      </x:c>
      <x:c r="B14" s="5" t="str">
        <x:v>Actual</x:v>
      </x:c>
      <x:c r="C14" s="7" t="n">
        <x:v>7384500.28</x:v>
      </x:c>
      <x:c r="D14" s="7" t="n">
        <x:v>1721733.36</x:v>
      </x:c>
      <x:c r="E14" s="7" t="n">
        <x:v>9106233.64</x:v>
      </x:c>
      <x:c r="F14" s="7" t="n">
        <x:v>1752303.83</x:v>
      </x:c>
      <x:c r="G14" s="7" t="n">
        <x:v>1212223.52</x:v>
      </x:c>
      <x:c r="H14" s="7" t="n">
        <x:v>6141706.29</x:v>
      </x:c>
      <x:c r="I14" s="8" t="n">
        <x:v>0.6745</x:v>
      </x:c>
      <x:c r="J14" s="7" t="n">
        <x:v>2053955.98</x:v>
      </x:c>
      <x:c r="K14" s="7" t="n">
        <x:v>2054087.9</x:v>
      </x:c>
      <x:c r="L14" s="7" t="n">
        <x:v>1444325</x:v>
      </x:c>
      <x:c r="M14" s="7" t="n">
        <x:v>589337.41</x:v>
      </x:c>
      <x:c r="N14" s="8" t="n">
        <x:v>0.0647</x:v>
      </x:c>
      <x:c r="O14" s="7" t="n">
        <x:v>163912.21</x:v>
      </x:c>
      <x:c r="P14" s="7" t="n">
        <x:v>425425.2</x:v>
      </x:c>
    </x:row>
    <x:row r="15">
      <x:c r="A15" s="6" t="n">
        <x:v>45323</x:v>
      </x:c>
      <x:c r="B15" s="5" t="str">
        <x:v>Actual</x:v>
      </x:c>
      <x:c r="C15" s="7" t="n">
        <x:v>7461942.88</x:v>
      </x:c>
      <x:c r="D15" s="7" t="n">
        <x:v>1708665.44</x:v>
      </x:c>
      <x:c r="E15" s="7" t="n">
        <x:v>9170608.32</x:v>
      </x:c>
      <x:c r="F15" s="7" t="n">
        <x:v>1766954.06</x:v>
      </x:c>
      <x:c r="G15" s="7" t="n">
        <x:v>1244688.34</x:v>
      </x:c>
      <x:c r="H15" s="7" t="n">
        <x:v>6158965.92</x:v>
      </x:c>
      <x:c r="I15" s="8" t="n">
        <x:v>0.6716</x:v>
      </x:c>
      <x:c r="J15" s="7" t="n">
        <x:v>2082873.12</x:v>
      </x:c>
      <x:c r="K15" s="7" t="n">
        <x:v>2129029.18</x:v>
      </x:c>
      <x:c r="L15" s="7" t="n">
        <x:v>1532062.52</x:v>
      </x:c>
      <x:c r="M15" s="7" t="n">
        <x:v>415001.1</x:v>
      </x:c>
      <x:c r="N15" s="8" t="n">
        <x:v>0.0453</x:v>
      </x:c>
      <x:c r="O15" s="7" t="n">
        <x:v>165070.95</x:v>
      </x:c>
      <x:c r="P15" s="7" t="n">
        <x:v>249930.15</x:v>
      </x:c>
    </x:row>
    <x:row r="16">
      <x:c r="A16" s="6" t="n">
        <x:v>45352</x:v>
      </x:c>
      <x:c r="B16" s="5" t="str">
        <x:v>Actual</x:v>
      </x:c>
      <x:c r="C16" s="7" t="n">
        <x:v>7554969.25</x:v>
      </x:c>
      <x:c r="D16" s="7" t="n">
        <x:v>1701592.88</x:v>
      </x:c>
      <x:c r="E16" s="7" t="n">
        <x:v>9256562.13</x:v>
      </x:c>
      <x:c r="F16" s="7" t="n">
        <x:v>1781501.52</x:v>
      </x:c>
      <x:c r="G16" s="7" t="n">
        <x:v>1245594.87</x:v>
      </x:c>
      <x:c r="H16" s="7" t="n">
        <x:v>6229465.74</x:v>
      </x:c>
      <x:c r="I16" s="8" t="n">
        <x:v>0.673</x:v>
      </x:c>
      <x:c r="J16" s="7" t="n">
        <x:v>2138676.78</x:v>
      </x:c>
      <x:c r="K16" s="7" t="n">
        <x:v>2170862.77</x:v>
      </x:c>
      <x:c r="L16" s="7" t="n">
        <x:v>1560317.59</x:v>
      </x:c>
      <x:c r="M16" s="7" t="n">
        <x:v>359608.6</x:v>
      </x:c>
      <x:c r="N16" s="8" t="n">
        <x:v>0.0388</x:v>
      </x:c>
      <x:c r="O16" s="7" t="n">
        <x:v>166618.12</x:v>
      </x:c>
      <x:c r="P16" s="7" t="n">
        <x:v>192990.48</x:v>
      </x:c>
    </x:row>
    <x:row r="17">
      <x:c r="A17" s="6" t="n">
        <x:v>45383</x:v>
      </x:c>
      <x:c r="B17" s="5" t="str">
        <x:v>Actual</x:v>
      </x:c>
      <x:c r="C17" s="7" t="n">
        <x:v>7722654.21</x:v>
      </x:c>
      <x:c r="D17" s="7" t="n">
        <x:v>1638440.68</x:v>
      </x:c>
      <x:c r="E17" s="7" t="n">
        <x:v>9361094.89</x:v>
      </x:c>
      <x:c r="F17" s="7" t="n">
        <x:v>1796841.67</x:v>
      </x:c>
      <x:c r="G17" s="7" t="n">
        <x:v>1224953.98</x:v>
      </x:c>
      <x:c r="H17" s="7" t="n">
        <x:v>6339299.24</x:v>
      </x:c>
      <x:c r="I17" s="8" t="n">
        <x:v>0.6772</x:v>
      </x:c>
      <x:c r="J17" s="7" t="n">
        <x:v>2086415.05</x:v>
      </x:c>
      <x:c r="K17" s="7" t="n">
        <x:v>2225179.38</x:v>
      </x:c>
      <x:c r="L17" s="7" t="n">
        <x:v>1494561.17</x:v>
      </x:c>
      <x:c r="M17" s="7" t="n">
        <x:v>533143.64</x:v>
      </x:c>
      <x:c r="N17" s="8" t="n">
        <x:v>0.057</x:v>
      </x:c>
      <x:c r="O17" s="7" t="n">
        <x:v>168499.71</x:v>
      </x:c>
      <x:c r="P17" s="7" t="n">
        <x:v>364643.93</x:v>
      </x:c>
    </x:row>
    <x:row r="18">
      <x:c r="A18" s="6" t="n">
        <x:v>45413</x:v>
      </x:c>
      <x:c r="B18" s="5" t="str">
        <x:v>Actual</x:v>
      </x:c>
      <x:c r="C18" s="7" t="n">
        <x:v>7880543.63</x:v>
      </x:c>
      <x:c r="D18" s="7" t="n">
        <x:v>1383491.55</x:v>
      </x:c>
      <x:c r="E18" s="7" t="n">
        <x:v>9264035.18</x:v>
      </x:c>
      <x:c r="F18" s="7" t="n">
        <x:v>1819167.18</x:v>
      </x:c>
      <x:c r="G18" s="7" t="n">
        <x:v>1215727.27</x:v>
      </x:c>
      <x:c r="H18" s="7" t="n">
        <x:v>6229140.73</x:v>
      </x:c>
      <x:c r="I18" s="8" t="n">
        <x:v>0.6724</x:v>
      </x:c>
      <x:c r="J18" s="7" t="n">
        <x:v>2099328.75</x:v>
      </x:c>
      <x:c r="K18" s="7" t="n">
        <x:v>2225889.89</x:v>
      </x:c>
      <x:c r="L18" s="7" t="n">
        <x:v>1462746.14</x:v>
      </x:c>
      <x:c r="M18" s="7" t="n">
        <x:v>441175.95</x:v>
      </x:c>
      <x:c r="N18" s="8" t="n">
        <x:v>0.0476</x:v>
      </x:c>
      <x:c r="O18" s="7" t="n">
        <x:v>166752.63</x:v>
      </x:c>
      <x:c r="P18" s="7" t="n">
        <x:v>274423.32</x:v>
      </x:c>
    </x:row>
    <x:row r="19">
      <x:c r="A19" s="6" t="n">
        <x:v>45444</x:v>
      </x:c>
      <x:c r="B19" s="5" t="str">
        <x:v>Actual</x:v>
      </x:c>
      <x:c r="C19" s="7" t="n">
        <x:v>7941952.97</x:v>
      </x:c>
      <x:c r="D19" s="7" t="n">
        <x:v>1668168.85</x:v>
      </x:c>
      <x:c r="E19" s="7" t="n">
        <x:v>9610121.82</x:v>
      </x:c>
      <x:c r="F19" s="7" t="n">
        <x:v>1850096</x:v>
      </x:c>
      <x:c r="G19" s="7" t="n">
        <x:v>1256466.19</x:v>
      </x:c>
      <x:c r="H19" s="7" t="n">
        <x:v>6503559.63</x:v>
      </x:c>
      <x:c r="I19" s="8" t="n">
        <x:v>0.6767</x:v>
      </x:c>
      <x:c r="J19" s="7" t="n">
        <x:v>2120686.33</x:v>
      </x:c>
      <x:c r="K19" s="7" t="n">
        <x:v>2197207.65</x:v>
      </x:c>
      <x:c r="L19" s="7" t="n">
        <x:v>1478506.26</x:v>
      </x:c>
      <x:c r="M19" s="7" t="n">
        <x:v>707159.39</x:v>
      </x:c>
      <x:c r="N19" s="8" t="n">
        <x:v>0.0736</x:v>
      </x:c>
      <x:c r="O19" s="7" t="n">
        <x:v>172982.19</x:v>
      </x:c>
      <x:c r="P19" s="7" t="n">
        <x:v>534177.2</x:v>
      </x:c>
    </x:row>
    <x:row r="20">
      <x:c r="A20" s="6" t="n">
        <x:v>45474</x:v>
      </x:c>
      <x:c r="B20" s="5" t="str">
        <x:v>Actual</x:v>
      </x:c>
      <x:c r="C20" s="7" t="n">
        <x:v>7968586.68</x:v>
      </x:c>
      <x:c r="D20" s="7" t="n">
        <x:v>1261593.1</x:v>
      </x:c>
      <x:c r="E20" s="7" t="n">
        <x:v>9230179.78</x:v>
      </x:c>
      <x:c r="F20" s="7" t="n">
        <x:v>1851803.41</x:v>
      </x:c>
      <x:c r="G20" s="7" t="n">
        <x:v>1211553.63</x:v>
      </x:c>
      <x:c r="H20" s="7" t="n">
        <x:v>6166822.74</x:v>
      </x:c>
      <x:c r="I20" s="8" t="n">
        <x:v>0.6681</x:v>
      </x:c>
      <x:c r="J20" s="7" t="n">
        <x:v>2092252.97</x:v>
      </x:c>
      <x:c r="K20" s="7" t="n">
        <x:v>2218450.72</x:v>
      </x:c>
      <x:c r="L20" s="7" t="n">
        <x:v>1524751.1</x:v>
      </x:c>
      <x:c r="M20" s="7" t="n">
        <x:v>331367.95</x:v>
      </x:c>
      <x:c r="N20" s="8" t="n">
        <x:v>0.0359</x:v>
      </x:c>
      <x:c r="O20" s="7" t="n">
        <x:v>166143.24</x:v>
      </x:c>
      <x:c r="P20" s="7" t="n">
        <x:v>165224.71</x:v>
      </x:c>
    </x:row>
    <x:row r="21">
      <x:c r="A21" s="6" t="n">
        <x:v>45505</x:v>
      </x:c>
      <x:c r="B21" s="5" t="str">
        <x:v>Actual</x:v>
      </x:c>
      <x:c r="C21" s="7" t="n">
        <x:v>8032401.29</x:v>
      </x:c>
      <x:c r="D21" s="7" t="n">
        <x:v>1493391.75</x:v>
      </x:c>
      <x:c r="E21" s="7" t="n">
        <x:v>9525793.04</x:v>
      </x:c>
      <x:c r="F21" s="7" t="n">
        <x:v>1863877.63</x:v>
      </x:c>
      <x:c r="G21" s="7" t="n">
        <x:v>1242843.62</x:v>
      </x:c>
      <x:c r="H21" s="7" t="n">
        <x:v>6419071.79</x:v>
      </x:c>
      <x:c r="I21" s="8" t="n">
        <x:v>0.6739</x:v>
      </x:c>
      <x:c r="J21" s="7" t="n">
        <x:v>2129894.28</x:v>
      </x:c>
      <x:c r="K21" s="7" t="n">
        <x:v>2227465.16</x:v>
      </x:c>
      <x:c r="L21" s="7" t="n">
        <x:v>1515435.07</x:v>
      </x:c>
      <x:c r="M21" s="7" t="n">
        <x:v>546277.28</x:v>
      </x:c>
      <x:c r="N21" s="8" t="n">
        <x:v>0.0573</x:v>
      </x:c>
      <x:c r="O21" s="7" t="n">
        <x:v>171464.27</x:v>
      </x:c>
      <x:c r="P21" s="7" t="n">
        <x:v>374813.01</x:v>
      </x:c>
    </x:row>
    <x:row r="22">
      <x:c r="A22" s="6" t="n">
        <x:v>45536</x:v>
      </x:c>
      <x:c r="B22" s="5" t="str">
        <x:v>Actual</x:v>
      </x:c>
      <x:c r="C22" s="7" t="n">
        <x:v>8120991.54</x:v>
      </x:c>
      <x:c r="D22" s="7" t="n">
        <x:v>1507775.39</x:v>
      </x:c>
      <x:c r="E22" s="7" t="n">
        <x:v>9628766.93</x:v>
      </x:c>
      <x:c r="F22" s="7" t="n">
        <x:v>1875616.11</x:v>
      </x:c>
      <x:c r="G22" s="7" t="n">
        <x:v>1223275.59</x:v>
      </x:c>
      <x:c r="H22" s="7" t="n">
        <x:v>6529875.23</x:v>
      </x:c>
      <x:c r="I22" s="8" t="n">
        <x:v>0.6782</x:v>
      </x:c>
      <x:c r="J22" s="7" t="n">
        <x:v>2137661.46</x:v>
      </x:c>
      <x:c r="K22" s="7" t="n">
        <x:v>2209908.24</x:v>
      </x:c>
      <x:c r="L22" s="7" t="n">
        <x:v>1507559.48</x:v>
      </x:c>
      <x:c r="M22" s="7" t="n">
        <x:v>674746.05</x:v>
      </x:c>
      <x:c r="N22" s="8" t="n">
        <x:v>0.0701</x:v>
      </x:c>
      <x:c r="O22" s="7" t="n">
        <x:v>173317.8</x:v>
      </x:c>
      <x:c r="P22" s="7" t="n">
        <x:v>501428.25</x:v>
      </x:c>
    </x:row>
    <x:row r="23">
      <x:c r="A23" s="6" t="n">
        <x:v>45566</x:v>
      </x:c>
      <x:c r="B23" s="5" t="str">
        <x:v>Actual</x:v>
      </x:c>
      <x:c r="C23" s="7" t="n">
        <x:v>8177403.04</x:v>
      </x:c>
      <x:c r="D23" s="7" t="n">
        <x:v>1492080.78</x:v>
      </x:c>
      <x:c r="E23" s="7" t="n">
        <x:v>9669483.82</x:v>
      </x:c>
      <x:c r="F23" s="7" t="n">
        <x:v>1882773.2</x:v>
      </x:c>
      <x:c r="G23" s="7" t="n">
        <x:v>1215804.23</x:v>
      </x:c>
      <x:c r="H23" s="7" t="n">
        <x:v>6570906.39</x:v>
      </x:c>
      <x:c r="I23" s="8" t="n">
        <x:v>0.6796</x:v>
      </x:c>
      <x:c r="J23" s="7" t="n">
        <x:v>2296802.37</x:v>
      </x:c>
      <x:c r="K23" s="7" t="n">
        <x:v>2196231.62</x:v>
      </x:c>
      <x:c r="L23" s="7" t="n">
        <x:v>1589676.16</x:v>
      </x:c>
      <x:c r="M23" s="7" t="n">
        <x:v>488196.24</x:v>
      </x:c>
      <x:c r="N23" s="8" t="n">
        <x:v>0.0505</x:v>
      </x:c>
      <x:c r="O23" s="7" t="n">
        <x:v>174050.71</x:v>
      </x:c>
      <x:c r="P23" s="7" t="n">
        <x:v>314145.53</x:v>
      </x:c>
    </x:row>
    <x:row r="24">
      <x:c r="A24" s="6" t="n">
        <x:v>45597</x:v>
      </x:c>
      <x:c r="B24" s="5" t="str">
        <x:v>Actual</x:v>
      </x:c>
      <x:c r="C24" s="7" t="n">
        <x:v>8257340.62</x:v>
      </x:c>
      <x:c r="D24" s="7" t="n">
        <x:v>1888813.33</x:v>
      </x:c>
      <x:c r="E24" s="7" t="n">
        <x:v>10146153.95</x:v>
      </x:c>
      <x:c r="F24" s="7" t="n">
        <x:v>1931357.8</x:v>
      </x:c>
      <x:c r="G24" s="7" t="n">
        <x:v>1265008.32</x:v>
      </x:c>
      <x:c r="H24" s="7" t="n">
        <x:v>6949787.83</x:v>
      </x:c>
      <x:c r="I24" s="8" t="n">
        <x:v>0.685</x:v>
      </x:c>
      <x:c r="J24" s="7" t="n">
        <x:v>2329181.59</x:v>
      </x:c>
      <x:c r="K24" s="7" t="n">
        <x:v>2199491.34</x:v>
      </x:c>
      <x:c r="L24" s="7" t="n">
        <x:v>1579523.53</x:v>
      </x:c>
      <x:c r="M24" s="7" t="n">
        <x:v>841591.37</x:v>
      </x:c>
      <x:c r="N24" s="8" t="n">
        <x:v>0.0829</x:v>
      </x:c>
      <x:c r="O24" s="7" t="n">
        <x:v>182630.77</x:v>
      </x:c>
      <x:c r="P24" s="7" t="n">
        <x:v>658960.6</x:v>
      </x:c>
    </x:row>
    <x:row r="25">
      <x:c r="A25" s="6" t="n">
        <x:v>45627</x:v>
      </x:c>
      <x:c r="B25" s="5" t="str">
        <x:v>Actual</x:v>
      </x:c>
      <x:c r="C25" s="7" t="n">
        <x:v>8363385.76</x:v>
      </x:c>
      <x:c r="D25" s="7" t="n">
        <x:v>2034252.86</x:v>
      </x:c>
      <x:c r="E25" s="7" t="n">
        <x:v>10397638.62</x:v>
      </x:c>
      <x:c r="F25" s="7" t="n">
        <x:v>1959526.12</x:v>
      </x:c>
      <x:c r="G25" s="7" t="n">
        <x:v>1247989.01</x:v>
      </x:c>
      <x:c r="H25" s="7" t="n">
        <x:v>7190123.49</x:v>
      </x:c>
      <x:c r="I25" s="8" t="n">
        <x:v>0.6915</x:v>
      </x:c>
      <x:c r="J25" s="7" t="n">
        <x:v>2347988.95</x:v>
      </x:c>
      <x:c r="K25" s="7" t="n">
        <x:v>2228470.85</x:v>
      </x:c>
      <x:c r="L25" s="7" t="n">
        <x:v>1554183.32</x:v>
      </x:c>
      <x:c r="M25" s="7" t="n">
        <x:v>1059480.37</x:v>
      </x:c>
      <x:c r="N25" s="8" t="n">
        <x:v>0.1019</x:v>
      </x:c>
      <x:c r="O25" s="7" t="n">
        <x:v>187157.5</x:v>
      </x:c>
      <x:c r="P25" s="7" t="n">
        <x:v>872322.87</x:v>
      </x:c>
    </x:row>
    <x:row r="26">
      <x:c r="A26" s="6" t="n">
        <x:v>45658</x:v>
      </x:c>
      <x:c r="B26" s="5" t="str">
        <x:v>Actual</x:v>
      </x:c>
      <x:c r="C26" s="7" t="n">
        <x:v>8444899.25</x:v>
      </x:c>
      <x:c r="D26" s="7" t="n">
        <x:v>2008429.36</x:v>
      </x:c>
      <x:c r="E26" s="7" t="n">
        <x:v>10453328.61</x:v>
      </x:c>
      <x:c r="F26" s="7" t="n">
        <x:v>1974728.36</x:v>
      </x:c>
      <x:c r="G26" s="7" t="n">
        <x:v>1263928.26</x:v>
      </x:c>
      <x:c r="H26" s="7" t="n">
        <x:v>7214671.99</x:v>
      </x:c>
      <x:c r="I26" s="8" t="n">
        <x:v>0.6902</x:v>
      </x:c>
      <x:c r="J26" s="7" t="n">
        <x:v>2377281.08</x:v>
      </x:c>
      <x:c r="K26" s="7" t="n">
        <x:v>2298797.59</x:v>
      </x:c>
      <x:c r="L26" s="7" t="n">
        <x:v>1644868.41</x:v>
      </x:c>
      <x:c r="M26" s="7" t="n">
        <x:v>893724.91</x:v>
      </x:c>
      <x:c r="N26" s="8" t="n">
        <x:v>0.0855</x:v>
      </x:c>
      <x:c r="O26" s="7" t="n">
        <x:v>188159.91</x:v>
      </x:c>
      <x:c r="P26" s="7" t="n">
        <x:v>705565</x:v>
      </x:c>
    </x:row>
    <x:row r="27">
      <x:c r="A27" s="6" t="n">
        <x:v>45689</x:v>
      </x:c>
      <x:c r="B27" s="5" t="str">
        <x:v>Actual</x:v>
      </x:c>
      <x:c r="C27" s="7" t="n">
        <x:v>8522419.28</x:v>
      </x:c>
      <x:c r="D27" s="7" t="n">
        <x:v>2221243.81</x:v>
      </x:c>
      <x:c r="E27" s="7" t="n">
        <x:v>10743663.09</x:v>
      </x:c>
      <x:c r="F27" s="7" t="n">
        <x:v>1997948.01</x:v>
      </x:c>
      <x:c r="G27" s="7" t="n">
        <x:v>1300448.66</x:v>
      </x:c>
      <x:c r="H27" s="7" t="n">
        <x:v>7445266.42</x:v>
      </x:c>
      <x:c r="I27" s="8" t="n">
        <x:v>0.693</x:v>
      </x:c>
      <x:c r="J27" s="7" t="n">
        <x:v>2396358.67</x:v>
      </x:c>
      <x:c r="K27" s="7" t="n">
        <x:v>2311669.49</x:v>
      </x:c>
      <x:c r="L27" s="7" t="n">
        <x:v>1681856.22</x:v>
      </x:c>
      <x:c r="M27" s="7" t="n">
        <x:v>1055382.04</x:v>
      </x:c>
      <x:c r="N27" s="8" t="n">
        <x:v>0.0982</x:v>
      </x:c>
      <x:c r="O27" s="7" t="n">
        <x:v>193385.94</x:v>
      </x:c>
      <x:c r="P27" s="7" t="n">
        <x:v>861996.1</x:v>
      </x:c>
    </x:row>
    <x:row r="28">
      <x:c r="A28" s="6" t="n">
        <x:v>45717</x:v>
      </x:c>
      <x:c r="B28" s="5" t="str">
        <x:v>Actual</x:v>
      </x:c>
      <x:c r="C28" s="7" t="n">
        <x:v>8599107.89</x:v>
      </x:c>
      <x:c r="D28" s="7" t="n">
        <x:v>1940440.41</x:v>
      </x:c>
      <x:c r="E28" s="7" t="n">
        <x:v>10539548.3</x:v>
      </x:c>
      <x:c r="F28" s="7" t="n">
        <x:v>2005769.49</x:v>
      </x:c>
      <x:c r="G28" s="7" t="n">
        <x:v>1237321.1</x:v>
      </x:c>
      <x:c r="H28" s="7" t="n">
        <x:v>7296457.71</x:v>
      </x:c>
      <x:c r="I28" s="8" t="n">
        <x:v>0.6923</x:v>
      </x:c>
      <x:c r="J28" s="7" t="n">
        <x:v>2386303.31</x:v>
      </x:c>
      <x:c r="K28" s="7" t="n">
        <x:v>2335604.77</x:v>
      </x:c>
      <x:c r="L28" s="7" t="n">
        <x:v>1719702.7</x:v>
      </x:c>
      <x:c r="M28" s="7" t="n">
        <x:v>854846.93</x:v>
      </x:c>
      <x:c r="N28" s="8" t="n">
        <x:v>0.0811</x:v>
      </x:c>
      <x:c r="O28" s="7" t="n">
        <x:v>189711.87</x:v>
      </x:c>
      <x:c r="P28" s="7" t="n">
        <x:v>665135.06</x:v>
      </x:c>
    </x:row>
    <x:row r="29">
      <x:c r="A29" s="6" t="n">
        <x:v>45748</x:v>
      </x:c>
      <x:c r="B29" s="5" t="str">
        <x:v>Actual</x:v>
      </x:c>
      <x:c r="C29" s="7" t="n">
        <x:v>8689476.56</x:v>
      </x:c>
      <x:c r="D29" s="7" t="n">
        <x:v>1575110.97</x:v>
      </x:c>
      <x:c r="E29" s="7" t="n">
        <x:v>10264587.53</x:v>
      </x:c>
      <x:c r="F29" s="7" t="n">
        <x:v>2019044.29</x:v>
      </x:c>
      <x:c r="G29" s="7" t="n">
        <x:v>1189671.2</x:v>
      </x:c>
      <x:c r="H29" s="7" t="n">
        <x:v>7055872.04</x:v>
      </x:c>
      <x:c r="I29" s="8" t="n">
        <x:v>0.6874</x:v>
      </x:c>
      <x:c r="J29" s="7" t="n">
        <x:v>2297387.85</x:v>
      </x:c>
      <x:c r="K29" s="7" t="n">
        <x:v>2366420.07</x:v>
      </x:c>
      <x:c r="L29" s="7" t="n">
        <x:v>1586661.76</x:v>
      </x:c>
      <x:c r="M29" s="7" t="n">
        <x:v>805402.36</x:v>
      </x:c>
      <x:c r="N29" s="8" t="n">
        <x:v>0.0785</x:v>
      </x:c>
      <x:c r="O29" s="7" t="n">
        <x:v>184762.58</x:v>
      </x:c>
      <x:c r="P29" s="7" t="n">
        <x:v>620639.78</x:v>
      </x:c>
    </x:row>
    <x:row r="30">
      <x:c r="A30" s="6" t="n">
        <x:v>45778</x:v>
      </x:c>
      <x:c r="B30" s="5" t="str">
        <x:v>Actual</x:v>
      </x:c>
      <x:c r="C30" s="7" t="n">
        <x:v>8881303.91</x:v>
      </x:c>
      <x:c r="D30" s="7" t="n">
        <x:v>1322500.81</x:v>
      </x:c>
      <x:c r="E30" s="7" t="n">
        <x:v>10203804.72</x:v>
      </x:c>
      <x:c r="F30" s="7" t="n">
        <x:v>2041618.75</x:v>
      </x:c>
      <x:c r="G30" s="7" t="n">
        <x:v>1162580.73</x:v>
      </x:c>
      <x:c r="H30" s="7" t="n">
        <x:v>6999605.24</x:v>
      </x:c>
      <x:c r="I30" s="8" t="n">
        <x:v>0.686</x:v>
      </x:c>
      <x:c r="J30" s="7" t="n">
        <x:v>2327500.18</x:v>
      </x:c>
      <x:c r="K30" s="7" t="n">
        <x:v>2367283.29</x:v>
      </x:c>
      <x:c r="L30" s="7" t="n">
        <x:v>1594258.27</x:v>
      </x:c>
      <x:c r="M30" s="7" t="n">
        <x:v>710563.5</x:v>
      </x:c>
      <x:c r="N30" s="8" t="n">
        <x:v>0.0696</x:v>
      </x:c>
      <x:c r="O30" s="7" t="n">
        <x:v>183668.48</x:v>
      </x:c>
      <x:c r="P30" s="7" t="n">
        <x:v>526895.02</x:v>
      </x:c>
    </x:row>
    <x:row r="31">
      <x:c r="A31" s="6" t="n">
        <x:v>45809</x:v>
      </x:c>
      <x:c r="B31" s="5" t="str">
        <x:v>Actual</x:v>
      </x:c>
      <x:c r="C31" s="7" t="n">
        <x:v>9121574.47</x:v>
      </x:c>
      <x:c r="D31" s="7" t="n">
        <x:v>1428474.62</x:v>
      </x:c>
      <x:c r="E31" s="7" t="n">
        <x:v>10550049.09</x:v>
      </x:c>
      <x:c r="F31" s="7" t="n">
        <x:v>2084091.14</x:v>
      </x:c>
      <x:c r="G31" s="7" t="n">
        <x:v>1156012.54</x:v>
      </x:c>
      <x:c r="H31" s="7" t="n">
        <x:v>7309945.41</x:v>
      </x:c>
      <x:c r="I31" s="8" t="n">
        <x:v>0.6929</x:v>
      </x:c>
      <x:c r="J31" s="7" t="n">
        <x:v>2368767.11</x:v>
      </x:c>
      <x:c r="K31" s="7" t="n">
        <x:v>2368364.51</x:v>
      </x:c>
      <x:c r="L31" s="7" t="n">
        <x:v>1660647.92</x:v>
      </x:c>
      <x:c r="M31" s="7" t="n">
        <x:v>912165.87</x:v>
      </x:c>
      <x:c r="N31" s="8" t="n">
        <x:v>0.0865</x:v>
      </x:c>
      <x:c r="O31" s="7" t="n">
        <x:v>189900.88</x:v>
      </x:c>
      <x:c r="P31" s="7" t="n">
        <x:v>722264.99</x:v>
      </x:c>
    </x:row>
    <x:row r="32">
      <x:c r="A32" s="6" t="n">
        <x:v>45839</x:v>
      </x:c>
      <x:c r="B32" s="5" t="str">
        <x:v>Actual</x:v>
      </x:c>
      <x:c r="C32" s="7" t="n">
        <x:v>9246914.88</x:v>
      </x:c>
      <x:c r="D32" s="7" t="n">
        <x:v>1368624.91</x:v>
      </x:c>
      <x:c r="E32" s="7" t="n">
        <x:v>10615539.79</x:v>
      </x:c>
      <x:c r="F32" s="7" t="n">
        <x:v>2101611.18</x:v>
      </x:c>
      <x:c r="G32" s="7" t="n">
        <x:v>1167421.22</x:v>
      </x:c>
      <x:c r="H32" s="7" t="n">
        <x:v>7346507.39</x:v>
      </x:c>
      <x:c r="I32" s="8" t="n">
        <x:v>0.6921</x:v>
      </x:c>
      <x:c r="J32" s="7" t="n">
        <x:v>2362533.1</x:v>
      </x:c>
      <x:c r="K32" s="7" t="n">
        <x:v>2381982.59</x:v>
      </x:c>
      <x:c r="L32" s="7" t="n">
        <x:v>1628885.9</x:v>
      </x:c>
      <x:c r="M32" s="7" t="n">
        <x:v>973105.8</x:v>
      </x:c>
      <x:c r="N32" s="8" t="n">
        <x:v>0.0917</x:v>
      </x:c>
      <x:c r="O32" s="7" t="n">
        <x:v>191079.72</x:v>
      </x:c>
      <x:c r="P32" s="7" t="n">
        <x:v>782026.08</x:v>
      </x:c>
    </x:row>
    <x:row r="33">
      <x:c r="A33" s="6" t="n">
        <x:v>45870</x:v>
      </x:c>
      <x:c r="B33" s="5" t="str">
        <x:v>Actual</x:v>
      </x:c>
      <x:c r="C33" s="7" t="n">
        <x:v>9335581.33</x:v>
      </x:c>
      <x:c r="D33" s="7" t="n">
        <x:v>1694764.42</x:v>
      </x:c>
      <x:c r="E33" s="7" t="n">
        <x:v>11030345.75</x:v>
      </x:c>
      <x:c r="F33" s="7" t="n">
        <x:v>2138609.91</x:v>
      </x:c>
      <x:c r="G33" s="7" t="n">
        <x:v>1173477.23</x:v>
      </x:c>
      <x:c r="H33" s="7" t="n">
        <x:v>7718258.61</x:v>
      </x:c>
      <x:c r="I33" s="8" t="n">
        <x:v>0.6997</x:v>
      </x:c>
      <x:c r="J33" s="7" t="n">
        <x:v>2402820.33</x:v>
      </x:c>
      <x:c r="K33" s="7" t="n">
        <x:v>2421228.9</x:v>
      </x:c>
      <x:c r="L33" s="7" t="n">
        <x:v>1665509.39</x:v>
      </x:c>
      <x:c r="M33" s="7" t="n">
        <x:v>1228699.99</x:v>
      </x:c>
      <x:c r="N33" s="8" t="n">
        <x:v>0.1114</x:v>
      </x:c>
      <x:c r="O33" s="7" t="n">
        <x:v>198546.22</x:v>
      </x:c>
      <x:c r="P33" s="7" t="n">
        <x:v>1030153.77</x:v>
      </x:c>
    </x:row>
    <x:row r="34">
      <x:c r="A34" s="6" t="n">
        <x:v>45901</x:v>
      </x:c>
      <x:c r="B34" s="5" t="str">
        <x:v>Actual</x:v>
      </x:c>
      <x:c r="C34" s="7" t="n">
        <x:v>9452391.09</x:v>
      </x:c>
      <x:c r="D34" s="7" t="n">
        <x:v>1738271.54</x:v>
      </x:c>
      <x:c r="E34" s="7" t="n">
        <x:v>11190662.63</x:v>
      </x:c>
      <x:c r="F34" s="7" t="n">
        <x:v>2144591.13</x:v>
      </x:c>
      <x:c r="G34" s="7" t="n">
        <x:v>1188788.13</x:v>
      </x:c>
      <x:c r="H34" s="7" t="n">
        <x:v>7857283.37</x:v>
      </x:c>
      <x:c r="I34" s="8" t="n">
        <x:v>0.7021</x:v>
      </x:c>
      <x:c r="J34" s="7" t="n">
        <x:v>2395917.9</x:v>
      </x:c>
      <x:c r="K34" s="7" t="n">
        <x:v>2438291.22</x:v>
      </x:c>
      <x:c r="L34" s="7" t="n">
        <x:v>1645525.54</x:v>
      </x:c>
      <x:c r="M34" s="7" t="n">
        <x:v>1377548.71</x:v>
      </x:c>
      <x:c r="N34" s="8" t="n">
        <x:v>0.1231</x:v>
      </x:c>
      <x:c r="O34" s="7" t="n">
        <x:v>201431.93</x:v>
      </x:c>
      <x:c r="P34" s="7" t="n">
        <x:v>1176116.78</x:v>
      </x:c>
    </x:row>
    <x:row r="35">
      <x:c r="A35" s="6" t="n">
        <x:v>45931</x:v>
      </x:c>
      <x:c r="B35" s="5" t="str">
        <x:v>Actual</x:v>
      </x:c>
      <x:c r="C35" s="7" t="n">
        <x:v>9526175.2</x:v>
      </x:c>
      <x:c r="D35" s="7" t="n">
        <x:v>2214499.16</x:v>
      </x:c>
      <x:c r="E35" s="7" t="n">
        <x:v>11740674.36</x:v>
      </x:c>
      <x:c r="F35" s="7" t="n">
        <x:v>2163718.7</x:v>
      </x:c>
      <x:c r="G35" s="7" t="n">
        <x:v>1208044.08</x:v>
      </x:c>
      <x:c r="H35" s="7" t="n">
        <x:v>8368911.58</x:v>
      </x:c>
      <x:c r="I35" s="8" t="n">
        <x:v>0.7128</x:v>
      </x:c>
      <x:c r="J35" s="7" t="n">
        <x:v>2574249.37</x:v>
      </x:c>
      <x:c r="K35" s="7" t="n">
        <x:v>2402860.81</x:v>
      </x:c>
      <x:c r="L35" s="7" t="n">
        <x:v>1666406.03</x:v>
      </x:c>
      <x:c r="M35" s="7" t="n">
        <x:v>1725395.37</x:v>
      </x:c>
      <x:c r="N35" s="8" t="n">
        <x:v>0.147</x:v>
      </x:c>
      <x:c r="O35" s="7" t="n">
        <x:v>211332.14</x:v>
      </x:c>
      <x:c r="P35" s="7" t="n">
        <x:v>1514063.23</x:v>
      </x:c>
    </x:row>
    <x:row r="36">
      <x:c r="A36" s="6" t="n">
        <x:v>45962</x:v>
      </x:c>
      <x:c r="B36" s="5" t="str">
        <x:v>Actual</x:v>
      </x:c>
      <x:c r="C36" s="7" t="n">
        <x:v>9545415.48</x:v>
      </x:c>
      <x:c r="D36" s="7" t="n">
        <x:v>2410504.21</x:v>
      </x:c>
      <x:c r="E36" s="7" t="n">
        <x:v>11955919.69</x:v>
      </x:c>
      <x:c r="F36" s="7" t="n">
        <x:v>2157011.75</x:v>
      </x:c>
      <x:c r="G36" s="7" t="n">
        <x:v>1180341.18</x:v>
      </x:c>
      <x:c r="H36" s="7" t="n">
        <x:v>8618566.76</x:v>
      </x:c>
      <x:c r="I36" s="8" t="n">
        <x:v>0.7209</x:v>
      </x:c>
      <x:c r="J36" s="7" t="n">
        <x:v>2596130.22</x:v>
      </x:c>
      <x:c r="K36" s="7" t="n">
        <x:v>2433488.91</x:v>
      </x:c>
      <x:c r="L36" s="7" t="n">
        <x:v>1671794.91</x:v>
      </x:c>
      <x:c r="M36" s="7" t="n">
        <x:v>1917152.72</x:v>
      </x:c>
      <x:c r="N36" s="8" t="n">
        <x:v>0.1604</x:v>
      </x:c>
      <x:c r="O36" s="7" t="n">
        <x:v>215206.55</x:v>
      </x:c>
      <x:c r="P36" s="7" t="n">
        <x:v>1701946.17</x:v>
      </x:c>
    </x:row>
    <x:row r="37">
      <x:c r="A37" s="6" t="n">
        <x:v>45992</x:v>
      </x:c>
      <x:c r="B37" s="5" t="str">
        <x:v>Actual</x:v>
      </x:c>
      <x:c r="C37" s="7" t="n">
        <x:v>9606214.62</x:v>
      </x:c>
      <x:c r="D37" s="7" t="n">
        <x:v>1577135.66</x:v>
      </x:c>
      <x:c r="E37" s="7" t="n">
        <x:v>11183350.28</x:v>
      </x:c>
      <x:c r="F37" s="7" t="n">
        <x:v>2192345.28</x:v>
      </x:c>
      <x:c r="G37" s="7" t="n">
        <x:v>1155602.48</x:v>
      </x:c>
      <x:c r="H37" s="7" t="n">
        <x:v>7835402.52</x:v>
      </x:c>
      <x:c r="I37" s="8" t="n">
        <x:v>0.7006</x:v>
      </x:c>
      <x:c r="J37" s="7" t="n">
        <x:v>2563315.45</x:v>
      </x:c>
      <x:c r="K37" s="7" t="n">
        <x:v>2420851.72</x:v>
      </x:c>
      <x:c r="L37" s="7" t="n">
        <x:v>1633136.89</x:v>
      </x:c>
      <x:c r="M37" s="7" t="n">
        <x:v>1218098.46</x:v>
      </x:c>
      <x:c r="N37" s="8" t="n">
        <x:v>0.1089</x:v>
      </x:c>
      <x:c r="O37" s="7" t="n">
        <x:v>201300.31</x:v>
      </x:c>
      <x:c r="P37" s="7" t="n">
        <x:v>1016798.15</x:v>
      </x:c>
    </x:row>
    <x:row r="38">
      <x:c r="A38" s="6" t="n">
        <x:v>46023</x:v>
      </x:c>
      <x:c r="B38" s="5" t="str">
        <x:v>Actual</x:v>
      </x:c>
      <x:c r="C38" s="7" t="n">
        <x:v>9723598.24</x:v>
      </x:c>
      <x:c r="D38" s="7" t="n">
        <x:v>1668592.53</x:v>
      </x:c>
      <x:c r="E38" s="7" t="n">
        <x:v>11392190.77</x:v>
      </x:c>
      <x:c r="F38" s="7" t="n">
        <x:v>2269755.03</x:v>
      </x:c>
      <x:c r="G38" s="7" t="n">
        <x:v>1228811.8</x:v>
      </x:c>
      <x:c r="H38" s="7" t="n">
        <x:v>7893623.94</x:v>
      </x:c>
      <x:c r="I38" s="8" t="n">
        <x:v>0.6929</x:v>
      </x:c>
      <x:c r="J38" s="7" t="n">
        <x:v>2603511.97</x:v>
      </x:c>
      <x:c r="K38" s="7" t="n">
        <x:v>2558144.16</x:v>
      </x:c>
      <x:c r="L38" s="7" t="n">
        <x:v>1781737.32</x:v>
      </x:c>
      <x:c r="M38" s="7" t="n">
        <x:v>950230.49</x:v>
      </x:c>
      <x:c r="N38" s="8" t="n">
        <x:v>0.0834</x:v>
      </x:c>
      <x:c r="O38" s="7" t="n">
        <x:v>205059.43</x:v>
      </x:c>
      <x:c r="P38" s="7" t="n">
        <x:v>745171.06</x:v>
      </x:c>
    </x:row>
    <x:row r="39">
      <x:c r="A39" s="6" t="n">
        <x:v>46023</x:v>
      </x:c>
      <x:c r="B39" s="5" t="str">
        <x:v>Budget</x:v>
      </x:c>
      <x:c r="C39" s="7" t="n">
        <x:v>9964981.12</x:v>
      </x:c>
      <x:c r="D39" s="7" t="n">
        <x:v>2289609.48</x:v>
      </x:c>
      <x:c r="E39" s="7" t="n">
        <x:v>12254590.6</x:v>
      </x:c>
      <x:c r="F39" s="7" t="n">
        <x:v>2185030.54</x:v>
      </x:c>
      <x:c r="G39" s="7" t="n">
        <x:v>1398494.26</x:v>
      </x:c>
      <x:c r="H39" s="7" t="n">
        <x:v>8671065.8</x:v>
      </x:c>
      <x:c r="I39" s="8" t="n">
        <x:v>0.7076</x:v>
      </x:c>
      <x:c r="J39" s="7" t="n">
        <x:v>2678482</x:v>
      </x:c>
      <x:c r="K39" s="7" t="n">
        <x:v>2616029.6</x:v>
      </x:c>
      <x:c r="L39" s="7" t="n">
        <x:v>1797733.04</x:v>
      </x:c>
      <x:c r="M39" s="7" t="n">
        <x:v>1578821.16</x:v>
      </x:c>
      <x:c r="N39" s="8" t="n">
        <x:v>0.1288</x:v>
      </x:c>
      <x:c r="O39" s="7" t="n">
        <x:v>206975.9</x:v>
      </x:c>
      <x:c r="P39" s="7" t="n">
        <x:v>1371845.26</x:v>
      </x:c>
    </x:row>
    <x:row r="40">
      <x:c r="A40" s="6" t="n">
        <x:v>46023</x:v>
      </x:c>
      <x:c r="B40" s="5" t="str">
        <x:v>Q2 Forecast</x:v>
      </x:c>
      <x:c r="C40" s="7" t="n">
        <x:v>9723598.24</x:v>
      </x:c>
      <x:c r="D40" s="7" t="n">
        <x:v>1668592.53</x:v>
      </x:c>
      <x:c r="E40" s="7" t="n">
        <x:v>11392190.77</x:v>
      </x:c>
      <x:c r="F40" s="7" t="n">
        <x:v>2269755.03</x:v>
      </x:c>
      <x:c r="G40" s="7" t="n">
        <x:v>1228811.8</x:v>
      </x:c>
      <x:c r="H40" s="7" t="n">
        <x:v>7893623.94</x:v>
      </x:c>
      <x:c r="I40" s="8" t="n">
        <x:v>0.6929</x:v>
      </x:c>
      <x:c r="J40" s="7" t="n">
        <x:v>2603511.97</x:v>
      </x:c>
      <x:c r="K40" s="7" t="n">
        <x:v>2558144.16</x:v>
      </x:c>
      <x:c r="L40" s="7" t="n">
        <x:v>1781737.32</x:v>
      </x:c>
      <x:c r="M40" s="7" t="n">
        <x:v>950230.49</x:v>
      </x:c>
      <x:c r="N40" s="8" t="n">
        <x:v>0.0834</x:v>
      </x:c>
      <x:c r="O40" s="7" t="n">
        <x:v>205059.43</x:v>
      </x:c>
      <x:c r="P40" s="7" t="n">
        <x:v>745171.06</x:v>
      </x:c>
    </x:row>
    <x:row r="41">
      <x:c r="A41" s="6" t="n">
        <x:v>46054</x:v>
      </x:c>
      <x:c r="B41" s="5" t="str">
        <x:v>Actual</x:v>
      </x:c>
      <x:c r="C41" s="7" t="n">
        <x:v>9872349.5</x:v>
      </x:c>
      <x:c r="D41" s="7" t="n">
        <x:v>1821056.82</x:v>
      </x:c>
      <x:c r="E41" s="7" t="n">
        <x:v>11693406.32</x:v>
      </x:c>
      <x:c r="F41" s="7" t="n">
        <x:v>2295336.31</x:v>
      </x:c>
      <x:c r="G41" s="7" t="n">
        <x:v>1227088.8</x:v>
      </x:c>
      <x:c r="H41" s="7" t="n">
        <x:v>8170981.21</x:v>
      </x:c>
      <x:c r="I41" s="8" t="n">
        <x:v>0.6988</x:v>
      </x:c>
      <x:c r="J41" s="7" t="n">
        <x:v>2599615.61</x:v>
      </x:c>
      <x:c r="K41" s="7" t="n">
        <x:v>2597812.04</x:v>
      </x:c>
      <x:c r="L41" s="7" t="n">
        <x:v>1753583.18</x:v>
      </x:c>
      <x:c r="M41" s="7" t="n">
        <x:v>1219970.38</x:v>
      </x:c>
      <x:c r="N41" s="8" t="n">
        <x:v>0.1043</x:v>
      </x:c>
      <x:c r="O41" s="7" t="n">
        <x:v>210481.31</x:v>
      </x:c>
      <x:c r="P41" s="7" t="n">
        <x:v>1009489.07</x:v>
      </x:c>
    </x:row>
    <x:row r="42">
      <x:c r="A42" s="6" t="n">
        <x:v>46054</x:v>
      </x:c>
      <x:c r="B42" s="5" t="str">
        <x:v>Budget</x:v>
      </x:c>
      <x:c r="C42" s="7" t="n">
        <x:v>10056454.75</x:v>
      </x:c>
      <x:c r="D42" s="7" t="n">
        <x:v>2532217.95</x:v>
      </x:c>
      <x:c r="E42" s="7" t="n">
        <x:v>12588672.7</x:v>
      </x:c>
      <x:c r="F42" s="7" t="n">
        <x:v>2210715.4</x:v>
      </x:c>
      <x:c r="G42" s="7" t="n">
        <x:v>1438065.35</x:v>
      </x:c>
      <x:c r="H42" s="7" t="n">
        <x:v>8939891.95</x:v>
      </x:c>
      <x:c r="I42" s="8" t="n">
        <x:v>0.7102</x:v>
      </x:c>
      <x:c r="J42" s="7" t="n">
        <x:v>2699862.33</x:v>
      </x:c>
      <x:c r="K42" s="7" t="n">
        <x:v>2630696.6</x:v>
      </x:c>
      <x:c r="L42" s="7" t="n">
        <x:v>1840471.09</x:v>
      </x:c>
      <x:c r="M42" s="7" t="n">
        <x:v>1768861.93</x:v>
      </x:c>
      <x:c r="N42" s="8" t="n">
        <x:v>0.1405</x:v>
      </x:c>
      <x:c r="O42" s="7" t="n">
        <x:v>212724.53</x:v>
      </x:c>
      <x:c r="P42" s="7" t="n">
        <x:v>1556137.4</x:v>
      </x:c>
    </x:row>
    <x:row r="43">
      <x:c r="A43" s="6" t="n">
        <x:v>46054</x:v>
      </x:c>
      <x:c r="B43" s="5" t="str">
        <x:v>Q2 Forecast</x:v>
      </x:c>
      <x:c r="C43" s="7" t="n">
        <x:v>9872349.5</x:v>
      </x:c>
      <x:c r="D43" s="7" t="n">
        <x:v>1821056.82</x:v>
      </x:c>
      <x:c r="E43" s="7" t="n">
        <x:v>11693406.32</x:v>
      </x:c>
      <x:c r="F43" s="7" t="n">
        <x:v>2295336.31</x:v>
      </x:c>
      <x:c r="G43" s="7" t="n">
        <x:v>1227088.8</x:v>
      </x:c>
      <x:c r="H43" s="7" t="n">
        <x:v>8170981.21</x:v>
      </x:c>
      <x:c r="I43" s="8" t="n">
        <x:v>0.6988</x:v>
      </x:c>
      <x:c r="J43" s="7" t="n">
        <x:v>2599615.61</x:v>
      </x:c>
      <x:c r="K43" s="7" t="n">
        <x:v>2597812.04</x:v>
      </x:c>
      <x:c r="L43" s="7" t="n">
        <x:v>1753583.18</x:v>
      </x:c>
      <x:c r="M43" s="7" t="n">
        <x:v>1219970.38</x:v>
      </x:c>
      <x:c r="N43" s="8" t="n">
        <x:v>0.1043</x:v>
      </x:c>
      <x:c r="O43" s="7" t="n">
        <x:v>210481.31</x:v>
      </x:c>
      <x:c r="P43" s="7" t="n">
        <x:v>1009489.07</x:v>
      </x:c>
    </x:row>
    <x:row r="44">
      <x:c r="A44" s="6" t="n">
        <x:v>46082</x:v>
      </x:c>
      <x:c r="B44" s="5" t="str">
        <x:v>Actual</x:v>
      </x:c>
      <x:c r="C44" s="7" t="n">
        <x:v>9961728.13</x:v>
      </x:c>
      <x:c r="D44" s="7" t="n">
        <x:v>1637203.81</x:v>
      </x:c>
      <x:c r="E44" s="7" t="n">
        <x:v>11598931.94</x:v>
      </x:c>
      <x:c r="F44" s="7" t="n">
        <x:v>2323179.24</x:v>
      </x:c>
      <x:c r="G44" s="7" t="n">
        <x:v>1198377.77</x:v>
      </x:c>
      <x:c r="H44" s="7" t="n">
        <x:v>8077374.93</x:v>
      </x:c>
      <x:c r="I44" s="8" t="n">
        <x:v>0.6964</x:v>
      </x:c>
      <x:c r="J44" s="7" t="n">
        <x:v>2596502.11</x:v>
      </x:c>
      <x:c r="K44" s="7" t="n">
        <x:v>2620733.02</x:v>
      </x:c>
      <x:c r="L44" s="7" t="n">
        <x:v>1719342.31</x:v>
      </x:c>
      <x:c r="M44" s="7" t="n">
        <x:v>1140797.49</x:v>
      </x:c>
      <x:c r="N44" s="8" t="n">
        <x:v>0.0984</x:v>
      </x:c>
      <x:c r="O44" s="7" t="n">
        <x:v>208780.77</x:v>
      </x:c>
      <x:c r="P44" s="7" t="n">
        <x:v>932016.72</x:v>
      </x:c>
    </x:row>
    <x:row r="45">
      <x:c r="A45" s="6" t="n">
        <x:v>46082</x:v>
      </x:c>
      <x:c r="B45" s="5" t="str">
        <x:v>Budget</x:v>
      </x:c>
      <x:c r="C45" s="7" t="n">
        <x:v>10146947.31</x:v>
      </x:c>
      <x:c r="D45" s="7" t="n">
        <x:v>2212102.07</x:v>
      </x:c>
      <x:c r="E45" s="7" t="n">
        <x:v>12359049.38</x:v>
      </x:c>
      <x:c r="F45" s="7" t="n">
        <x:v>2219384.99</x:v>
      </x:c>
      <x:c r="G45" s="7" t="n">
        <x:v>1369038.47</x:v>
      </x:c>
      <x:c r="H45" s="7" t="n">
        <x:v>8770625.92</x:v>
      </x:c>
      <x:c r="I45" s="8" t="n">
        <x:v>0.7097</x:v>
      </x:c>
      <x:c r="J45" s="7" t="n">
        <x:v>2688699.01</x:v>
      </x:c>
      <x:c r="K45" s="7" t="n">
        <x:v>2657946.91</x:v>
      </x:c>
      <x:c r="L45" s="7" t="n">
        <x:v>1884982.68</x:v>
      </x:c>
      <x:c r="M45" s="7" t="n">
        <x:v>1538997.32</x:v>
      </x:c>
      <x:c r="N45" s="8" t="n">
        <x:v>0.1245</x:v>
      </x:c>
      <x:c r="O45" s="7" t="n">
        <x:v>208683.06</x:v>
      </x:c>
      <x:c r="P45" s="7" t="n">
        <x:v>1330314.26</x:v>
      </x:c>
    </x:row>
    <x:row r="46">
      <x:c r="A46" s="6" t="n">
        <x:v>46082</x:v>
      </x:c>
      <x:c r="B46" s="5" t="str">
        <x:v>Q2 Forecast</x:v>
      </x:c>
      <x:c r="C46" s="7" t="n">
        <x:v>9961728.13</x:v>
      </x:c>
      <x:c r="D46" s="7" t="n">
        <x:v>1637203.81</x:v>
      </x:c>
      <x:c r="E46" s="7" t="n">
        <x:v>11598931.94</x:v>
      </x:c>
      <x:c r="F46" s="7" t="n">
        <x:v>2323179.24</x:v>
      </x:c>
      <x:c r="G46" s="7" t="n">
        <x:v>1198377.77</x:v>
      </x:c>
      <x:c r="H46" s="7" t="n">
        <x:v>8077374.93</x:v>
      </x:c>
      <x:c r="I46" s="8" t="n">
        <x:v>0.6964</x:v>
      </x:c>
      <x:c r="J46" s="7" t="n">
        <x:v>2596502.11</x:v>
      </x:c>
      <x:c r="K46" s="7" t="n">
        <x:v>2620733.02</x:v>
      </x:c>
      <x:c r="L46" s="7" t="n">
        <x:v>1719342.31</x:v>
      </x:c>
      <x:c r="M46" s="7" t="n">
        <x:v>1140797.49</x:v>
      </x:c>
      <x:c r="N46" s="8" t="n">
        <x:v>0.0984</x:v>
      </x:c>
      <x:c r="O46" s="7" t="n">
        <x:v>208780.77</x:v>
      </x:c>
      <x:c r="P46" s="7" t="n">
        <x:v>932016.72</x:v>
      </x:c>
    </x:row>
    <x:row r="47">
      <x:c r="A47" s="6" t="n">
        <x:v>46113</x:v>
      </x:c>
      <x:c r="B47" s="5" t="str">
        <x:v>Actual</x:v>
      </x:c>
      <x:c r="C47" s="7" t="n">
        <x:v>9869587.73</x:v>
      </x:c>
      <x:c r="D47" s="7" t="n">
        <x:v>1650055.73</x:v>
      </x:c>
      <x:c r="E47" s="7" t="n">
        <x:v>11519643.46</x:v>
      </x:c>
      <x:c r="F47" s="7" t="n">
        <x:v>2285253.93</x:v>
      </x:c>
      <x:c r="G47" s="7" t="n">
        <x:v>1204631.87</x:v>
      </x:c>
      <x:c r="H47" s="7" t="n">
        <x:v>8029757.66</x:v>
      </x:c>
      <x:c r="I47" s="8" t="n">
        <x:v>0.697</x:v>
      </x:c>
      <x:c r="J47" s="7" t="n">
        <x:v>2527217.5</x:v>
      </x:c>
      <x:c r="K47" s="7" t="n">
        <x:v>2637119.45</x:v>
      </x:c>
      <x:c r="L47" s="7" t="n">
        <x:v>1675117.74</x:v>
      </x:c>
      <x:c r="M47" s="7" t="n">
        <x:v>1190302.97</x:v>
      </x:c>
      <x:c r="N47" s="8" t="n">
        <x:v>0.1033</x:v>
      </x:c>
      <x:c r="O47" s="7" t="n">
        <x:v>207353.58</x:v>
      </x:c>
      <x:c r="P47" s="7" t="n">
        <x:v>982949.39</x:v>
      </x:c>
    </x:row>
    <x:row r="48">
      <x:c r="A48" s="6" t="n">
        <x:v>46113</x:v>
      </x:c>
      <x:c r="B48" s="5" t="str">
        <x:v>Budget</x:v>
      </x:c>
      <x:c r="C48" s="7" t="n">
        <x:v>10253582.33</x:v>
      </x:c>
      <x:c r="D48" s="7" t="n">
        <x:v>1795626.51</x:v>
      </x:c>
      <x:c r="E48" s="7" t="n">
        <x:v>12049208.84</x:v>
      </x:c>
      <x:c r="F48" s="7" t="n">
        <x:v>2234085.26</x:v>
      </x:c>
      <x:c r="G48" s="7" t="n">
        <x:v>1317047.24</x:v>
      </x:c>
      <x:c r="H48" s="7" t="n">
        <x:v>8498076.34</x:v>
      </x:c>
      <x:c r="I48" s="8" t="n">
        <x:v>0.7053</x:v>
      </x:c>
      <x:c r="J48" s="7" t="n">
        <x:v>2590420.92</x:v>
      </x:c>
      <x:c r="K48" s="7" t="n">
        <x:v>2693010.22</x:v>
      </x:c>
      <x:c r="L48" s="7" t="n">
        <x:v>1737342.89</x:v>
      </x:c>
      <x:c r="M48" s="7" t="n">
        <x:v>1477302.31</x:v>
      </x:c>
      <x:c r="N48" s="8" t="n">
        <x:v>0.1226</x:v>
      </x:c>
      <x:c r="O48" s="7" t="n">
        <x:v>203238.84</x:v>
      </x:c>
      <x:c r="P48" s="7" t="n">
        <x:v>1274063.47</x:v>
      </x:c>
    </x:row>
    <x:row r="49">
      <x:c r="A49" s="6" t="n">
        <x:v>46113</x:v>
      </x:c>
      <x:c r="B49" s="5" t="str">
        <x:v>Q2 Forecast</x:v>
      </x:c>
      <x:c r="C49" s="7" t="n">
        <x:v>9869587.73</x:v>
      </x:c>
      <x:c r="D49" s="7" t="n">
        <x:v>1650055.73</x:v>
      </x:c>
      <x:c r="E49" s="7" t="n">
        <x:v>11519643.46</x:v>
      </x:c>
      <x:c r="F49" s="7" t="n">
        <x:v>2285253.93</x:v>
      </x:c>
      <x:c r="G49" s="7" t="n">
        <x:v>1204631.87</x:v>
      </x:c>
      <x:c r="H49" s="7" t="n">
        <x:v>8029757.66</x:v>
      </x:c>
      <x:c r="I49" s="8" t="n">
        <x:v>0.697</x:v>
      </x:c>
      <x:c r="J49" s="7" t="n">
        <x:v>2527217.5</x:v>
      </x:c>
      <x:c r="K49" s="7" t="n">
        <x:v>2637119.45</x:v>
      </x:c>
      <x:c r="L49" s="7" t="n">
        <x:v>1675117.74</x:v>
      </x:c>
      <x:c r="M49" s="7" t="n">
        <x:v>1190302.97</x:v>
      </x:c>
      <x:c r="N49" s="8" t="n">
        <x:v>0.1033</x:v>
      </x:c>
      <x:c r="O49" s="7" t="n">
        <x:v>207353.58</x:v>
      </x:c>
      <x:c r="P49" s="7" t="n">
        <x:v>982949.39</x:v>
      </x:c>
    </x:row>
    <x:row r="50">
      <x:c r="A50" s="6" t="n">
        <x:v>46143</x:v>
      </x:c>
      <x:c r="B50" s="5" t="str">
        <x:v>Actual</x:v>
      </x:c>
      <x:c r="C50" s="7" t="n">
        <x:v>9862711.13</x:v>
      </x:c>
      <x:c r="D50" s="7" t="n">
        <x:v>1974030.18</x:v>
      </x:c>
      <x:c r="E50" s="7" t="n">
        <x:v>11836741.31</x:v>
      </x:c>
      <x:c r="F50" s="7" t="n">
        <x:v>2205052.97</x:v>
      </x:c>
      <x:c r="G50" s="7" t="n">
        <x:v>1240229.52</x:v>
      </x:c>
      <x:c r="H50" s="7" t="n">
        <x:v>8391458.82</x:v>
      </x:c>
      <x:c r="I50" s="8" t="n">
        <x:v>0.7089</x:v>
      </x:c>
      <x:c r="J50" s="7" t="n">
        <x:v>2547228.54</x:v>
      </x:c>
      <x:c r="K50" s="7" t="n">
        <x:v>2637088.51</x:v>
      </x:c>
      <x:c r="L50" s="7" t="n">
        <x:v>1737324.02</x:v>
      </x:c>
      <x:c r="M50" s="7" t="n">
        <x:v>1469817.75</x:v>
      </x:c>
      <x:c r="N50" s="8" t="n">
        <x:v>0.1242</x:v>
      </x:c>
      <x:c r="O50" s="7" t="n">
        <x:v>213061.34</x:v>
      </x:c>
      <x:c r="P50" s="7" t="n">
        <x:v>1256756.41</x:v>
      </x:c>
    </x:row>
    <x:row r="51">
      <x:c r="A51" s="6" t="n">
        <x:v>46143</x:v>
      </x:c>
      <x:c r="B51" s="5" t="str">
        <x:v>Budget</x:v>
      </x:c>
      <x:c r="C51" s="7" t="n">
        <x:v>10479938.61</x:v>
      </x:c>
      <x:c r="D51" s="7" t="n">
        <x:v>1507650.92</x:v>
      </x:c>
      <x:c r="E51" s="7" t="n">
        <x:v>11987589.53</x:v>
      </x:c>
      <x:c r="F51" s="7" t="n">
        <x:v>2259097.18</x:v>
      </x:c>
      <x:c r="G51" s="7" t="n">
        <x:v>1287739.81</x:v>
      </x:c>
      <x:c r="H51" s="7" t="n">
        <x:v>8440752.54</x:v>
      </x:c>
      <x:c r="I51" s="8" t="n">
        <x:v>0.7041</x:v>
      </x:c>
      <x:c r="J51" s="7" t="n">
        <x:v>2624301.57</x:v>
      </x:c>
      <x:c r="K51" s="7" t="n">
        <x:v>2693977.03</x:v>
      </x:c>
      <x:c r="L51" s="7" t="n">
        <x:v>1745314.96</x:v>
      </x:c>
      <x:c r="M51" s="7" t="n">
        <x:v>1377158.98</x:v>
      </x:c>
      <x:c r="N51" s="8" t="n">
        <x:v>0.1149</x:v>
      </x:c>
      <x:c r="O51" s="7" t="n">
        <x:v>202035.33</x:v>
      </x:c>
      <x:c r="P51" s="7" t="n">
        <x:v>1175123.65</x:v>
      </x:c>
    </x:row>
    <x:row r="52">
      <x:c r="A52" s="6" t="n">
        <x:v>46143</x:v>
      </x:c>
      <x:c r="B52" s="5" t="str">
        <x:v>Q2 Forecast</x:v>
      </x:c>
      <x:c r="C52" s="7" t="n">
        <x:v>9862711.13</x:v>
      </x:c>
      <x:c r="D52" s="7" t="n">
        <x:v>1974030.18</x:v>
      </x:c>
      <x:c r="E52" s="7" t="n">
        <x:v>11836741.31</x:v>
      </x:c>
      <x:c r="F52" s="7" t="n">
        <x:v>2205052.97</x:v>
      </x:c>
      <x:c r="G52" s="7" t="n">
        <x:v>1240229.52</x:v>
      </x:c>
      <x:c r="H52" s="7" t="n">
        <x:v>8391458.82</x:v>
      </x:c>
      <x:c r="I52" s="8" t="n">
        <x:v>0.7089</x:v>
      </x:c>
      <x:c r="J52" s="7" t="n">
        <x:v>2547228.54</x:v>
      </x:c>
      <x:c r="K52" s="7" t="n">
        <x:v>2637088.51</x:v>
      </x:c>
      <x:c r="L52" s="7" t="n">
        <x:v>1737324.02</x:v>
      </x:c>
      <x:c r="M52" s="7" t="n">
        <x:v>1469817.75</x:v>
      </x:c>
      <x:c r="N52" s="8" t="n">
        <x:v>0.1242</x:v>
      </x:c>
      <x:c r="O52" s="7" t="n">
        <x:v>213061.34</x:v>
      </x:c>
      <x:c r="P52" s="7" t="n">
        <x:v>1256756.41</x:v>
      </x:c>
    </x:row>
    <x:row r="53">
      <x:c r="A53" s="6" t="n">
        <x:v>46174</x:v>
      </x:c>
      <x:c r="B53" s="5" t="str">
        <x:v>Actual</x:v>
      </x:c>
      <x:c r="C53" s="7" t="n">
        <x:v>9876052.54</x:v>
      </x:c>
      <x:c r="D53" s="7" t="n">
        <x:v>1649060.86</x:v>
      </x:c>
      <x:c r="E53" s="7" t="n">
        <x:v>11525113.4</x:v>
      </x:c>
      <x:c r="F53" s="7" t="n">
        <x:v>2193959.09</x:v>
      </x:c>
      <x:c r="G53" s="7" t="n">
        <x:v>1210258.41</x:v>
      </x:c>
      <x:c r="H53" s="7" t="n">
        <x:v>8120895.9</x:v>
      </x:c>
      <x:c r="I53" s="8" t="n">
        <x:v>0.7046</x:v>
      </x:c>
      <x:c r="J53" s="7" t="n">
        <x:v>2553505.27</x:v>
      </x:c>
      <x:c r="K53" s="7" t="n">
        <x:v>2611375.29</x:v>
      </x:c>
      <x:c r="L53" s="7" t="n">
        <x:v>1720913.82</x:v>
      </x:c>
      <x:c r="M53" s="7" t="n">
        <x:v>1235101.52</x:v>
      </x:c>
      <x:c r="N53" s="8" t="n">
        <x:v>0.1072</x:v>
      </x:c>
      <x:c r="O53" s="7" t="n">
        <x:v>207452.04</x:v>
      </x:c>
      <x:c r="P53" s="7" t="n">
        <x:v>1027649.48</x:v>
      </x:c>
    </x:row>
    <x:row r="54">
      <x:c r="A54" s="6" t="n">
        <x:v>46174</x:v>
      </x:c>
      <x:c r="B54" s="5" t="str">
        <x:v>Budget</x:v>
      </x:c>
      <x:c r="C54" s="7" t="n">
        <x:v>10763457.87</x:v>
      </x:c>
      <x:c r="D54" s="7" t="n">
        <x:v>1628461.07</x:v>
      </x:c>
      <x:c r="E54" s="7" t="n">
        <x:v>12391918.94</x:v>
      </x:c>
      <x:c r="F54" s="7" t="n">
        <x:v>2306113.26</x:v>
      </x:c>
      <x:c r="G54" s="7" t="n">
        <x:v>1280272.04</x:v>
      </x:c>
      <x:c r="H54" s="7" t="n">
        <x:v>8805533.64</x:v>
      </x:c>
      <x:c r="I54" s="8" t="n">
        <x:v>0.7106</x:v>
      </x:c>
      <x:c r="J54" s="7" t="n">
        <x:v>2670866.96</x:v>
      </x:c>
      <x:c r="K54" s="7" t="n">
        <x:v>2695187.98</x:v>
      </x:c>
      <x:c r="L54" s="7" t="n">
        <x:v>1820651.35</x:v>
      </x:c>
      <x:c r="M54" s="7" t="n">
        <x:v>1618827.35</x:v>
      </x:c>
      <x:c r="N54" s="8" t="n">
        <x:v>0.1306</x:v>
      </x:c>
      <x:c r="O54" s="7" t="n">
        <x:v>208890.97</x:v>
      </x:c>
      <x:c r="P54" s="7" t="n">
        <x:v>1409936.38</x:v>
      </x:c>
    </x:row>
    <x:row r="55">
      <x:c r="A55" s="6" t="n">
        <x:v>46174</x:v>
      </x:c>
      <x:c r="B55" s="5" t="str">
        <x:v>Q2 Forecast</x:v>
      </x:c>
      <x:c r="C55" s="7" t="n">
        <x:v>9876052.54</x:v>
      </x:c>
      <x:c r="D55" s="7" t="n">
        <x:v>1649060.86</x:v>
      </x:c>
      <x:c r="E55" s="7" t="n">
        <x:v>11525113.4</x:v>
      </x:c>
      <x:c r="F55" s="7" t="n">
        <x:v>2193959.09</x:v>
      </x:c>
      <x:c r="G55" s="7" t="n">
        <x:v>1210258.41</x:v>
      </x:c>
      <x:c r="H55" s="7" t="n">
        <x:v>8120895.9</x:v>
      </x:c>
      <x:c r="I55" s="8" t="n">
        <x:v>0.7046</x:v>
      </x:c>
      <x:c r="J55" s="7" t="n">
        <x:v>2553505.27</x:v>
      </x:c>
      <x:c r="K55" s="7" t="n">
        <x:v>2611375.29</x:v>
      </x:c>
      <x:c r="L55" s="7" t="n">
        <x:v>1720913.82</x:v>
      </x:c>
      <x:c r="M55" s="7" t="n">
        <x:v>1235101.52</x:v>
      </x:c>
      <x:c r="N55" s="8" t="n">
        <x:v>0.1072</x:v>
      </x:c>
      <x:c r="O55" s="7" t="n">
        <x:v>207452.04</x:v>
      </x:c>
      <x:c r="P55" s="7" t="n">
        <x:v>1027649.48</x:v>
      </x:c>
    </x:row>
    <x:row r="56">
      <x:c r="A56" s="6" t="n">
        <x:v>46204</x:v>
      </x:c>
      <x:c r="B56" s="5" t="str">
        <x:v>Budget</x:v>
      </x:c>
      <x:c r="C56" s="7" t="n">
        <x:v>10911359.56</x:v>
      </x:c>
      <x:c r="D56" s="7" t="n">
        <x:v>1560232.39</x:v>
      </x:c>
      <x:c r="E56" s="7" t="n">
        <x:v>12471591.95</x:v>
      </x:c>
      <x:c r="F56" s="7" t="n">
        <x:v>2325516.78</x:v>
      </x:c>
      <x:c r="G56" s="7" t="n">
        <x:v>1292607.7</x:v>
      </x:c>
      <x:c r="H56" s="7" t="n">
        <x:v>8853467.47</x:v>
      </x:c>
      <x:c r="I56" s="8" t="n">
        <x:v>0.7099</x:v>
      </x:c>
      <x:c r="J56" s="7" t="n">
        <x:v>2664113.88</x:v>
      </x:c>
      <x:c r="K56" s="7" t="n">
        <x:v>2710672.33</x:v>
      </x:c>
      <x:c r="L56" s="7" t="n">
        <x:v>1782920.51</x:v>
      </x:c>
      <x:c r="M56" s="7" t="n">
        <x:v>1695760.75</x:v>
      </x:c>
      <x:c r="N56" s="8" t="n">
        <x:v>0.136</x:v>
      </x:c>
      <x:c r="O56" s="7" t="n">
        <x:v>210187.69</x:v>
      </x:c>
      <x:c r="P56" s="7" t="n">
        <x:v>1485573.06</x:v>
      </x:c>
    </x:row>
    <x:row r="57">
      <x:c r="A57" s="6" t="n">
        <x:v>46204</x:v>
      </x:c>
      <x:c r="B57" s="5" t="str">
        <x:v>Q2 Forecast</x:v>
      </x:c>
      <x:c r="C57" s="7" t="n">
        <x:v>10420348.38</x:v>
      </x:c>
      <x:c r="D57" s="7" t="n">
        <x:v>1435413.79</x:v>
      </x:c>
      <x:c r="E57" s="7" t="n">
        <x:v>11855762.17</x:v>
      </x:c>
      <x:c r="F57" s="7" t="n">
        <x:v>2212919.65</x:v>
      </x:c>
      <x:c r="G57" s="7" t="n">
        <x:v>1235997.97</x:v>
      </x:c>
      <x:c r="H57" s="7" t="n">
        <x:v>8406844.55</x:v>
      </x:c>
      <x:c r="I57" s="8" t="n">
        <x:v>0.7091</x:v>
      </x:c>
      <x:c r="J57" s="7" t="n">
        <x:v>2577312.8</x:v>
      </x:c>
      <x:c r="K57" s="7" t="n">
        <x:v>2595395.02</x:v>
      </x:c>
      <x:c r="L57" s="7" t="n">
        <x:v>1770746.54</x:v>
      </x:c>
      <x:c r="M57" s="7" t="n">
        <x:v>1463390.19</x:v>
      </x:c>
      <x:c r="N57" s="8" t="n">
        <x:v>0.1234</x:v>
      </x:c>
      <x:c r="O57" s="7" t="n">
        <x:v>208085.81</x:v>
      </x:c>
      <x:c r="P57" s="7" t="n">
        <x:v>1255304.38</x:v>
      </x:c>
    </x:row>
    <x:row r="58">
      <x:c r="A58" s="6" t="n">
        <x:v>46235</x:v>
      </x:c>
      <x:c r="B58" s="5" t="str">
        <x:v>Budget</x:v>
      </x:c>
      <x:c r="C58" s="7" t="n">
        <x:v>11015985.97</x:v>
      </x:c>
      <x:c r="D58" s="7" t="n">
        <x:v>1932031.43</x:v>
      </x:c>
      <x:c r="E58" s="7" t="n">
        <x:v>12948017.4</x:v>
      </x:c>
      <x:c r="F58" s="7" t="n">
        <x:v>2366431.41</x:v>
      </x:c>
      <x:c r="G58" s="7" t="n">
        <x:v>1299316.25</x:v>
      </x:c>
      <x:c r="H58" s="7" t="n">
        <x:v>9282269.74</x:v>
      </x:c>
      <x:c r="I58" s="8" t="n">
        <x:v>0.7169</x:v>
      </x:c>
      <x:c r="J58" s="7" t="n">
        <x:v>2709451.54</x:v>
      </x:c>
      <x:c r="K58" s="7" t="n">
        <x:v>2755347.16</x:v>
      </x:c>
      <x:c r="L58" s="7" t="n">
        <x:v>1824892.77</x:v>
      </x:c>
      <x:c r="M58" s="7" t="n">
        <x:v>1992578.27</x:v>
      </x:c>
      <x:c r="N58" s="8" t="n">
        <x:v>0.1539</x:v>
      </x:c>
      <x:c r="O58" s="7" t="n">
        <x:v>218400.84</x:v>
      </x:c>
      <x:c r="P58" s="7" t="n">
        <x:v>1774177.43</x:v>
      </x:c>
    </x:row>
    <x:row r="59">
      <x:c r="A59" s="6" t="n">
        <x:v>46235</x:v>
      </x:c>
      <x:c r="B59" s="5" t="str">
        <x:v>Q2 Forecast</x:v>
      </x:c>
      <x:c r="C59" s="7" t="n">
        <x:v>10520266.6</x:v>
      </x:c>
      <x:c r="D59" s="7" t="n">
        <x:v>1780047.06</x:v>
      </x:c>
      <x:c r="E59" s="7" t="n">
        <x:v>12300313.66</x:v>
      </x:c>
      <x:c r="F59" s="7" t="n">
        <x:v>2251702.57</x:v>
      </x:c>
      <x:c r="G59" s="7" t="n">
        <x:v>1242320.4</x:v>
      </x:c>
      <x:c r="H59" s="7" t="n">
        <x:v>8806290.69</x:v>
      </x:c>
      <x:c r="I59" s="8" t="n">
        <x:v>0.7159</x:v>
      </x:c>
      <x:c r="J59" s="7" t="n">
        <x:v>2621595.57</x:v>
      </x:c>
      <x:c r="K59" s="7" t="n">
        <x:v>2638151.85</x:v>
      </x:c>
      <x:c r="L59" s="7" t="n">
        <x:v>1805469.41</x:v>
      </x:c>
      <x:c r="M59" s="7" t="n">
        <x:v>1741073.86</x:v>
      </x:c>
      <x:c r="N59" s="8" t="n">
        <x:v>0.1415</x:v>
      </x:c>
      <x:c r="O59" s="7" t="n">
        <x:v>216216.83</x:v>
      </x:c>
      <x:c r="P59" s="7" t="n">
        <x:v>1524857.03</x:v>
      </x:c>
    </x:row>
    <x:row r="60">
      <x:c r="A60" s="6" t="n">
        <x:v>46266</x:v>
      </x:c>
      <x:c r="B60" s="5" t="str">
        <x:v>Budget</x:v>
      </x:c>
      <x:c r="C60" s="7" t="n">
        <x:v>11153821.49</x:v>
      </x:c>
      <x:c r="D60" s="7" t="n">
        <x:v>1981629.56</x:v>
      </x:c>
      <x:c r="E60" s="7" t="n">
        <x:v>13135451.05</x:v>
      </x:c>
      <x:c r="F60" s="7" t="n">
        <x:v>2373081.54</x:v>
      </x:c>
      <x:c r="G60" s="7" t="n">
        <x:v>1315760.04</x:v>
      </x:c>
      <x:c r="H60" s="7" t="n">
        <x:v>9446609.47</x:v>
      </x:c>
      <x:c r="I60" s="8" t="n">
        <x:v>0.7192</x:v>
      </x:c>
      <x:c r="J60" s="7" t="n">
        <x:v>2701992.63</x:v>
      </x:c>
      <x:c r="K60" s="7" t="n">
        <x:v>2774758.68</x:v>
      </x:c>
      <x:c r="L60" s="7" t="n">
        <x:v>1800392.62</x:v>
      </x:c>
      <x:c r="M60" s="7" t="n">
        <x:v>2169465.54</x:v>
      </x:c>
      <x:c r="N60" s="8" t="n">
        <x:v>0.1652</x:v>
      </x:c>
      <x:c r="O60" s="7" t="n">
        <x:v>221575.12</x:v>
      </x:c>
      <x:c r="P60" s="7" t="n">
        <x:v>1947890.42</x:v>
      </x:c>
    </x:row>
    <x:row r="61">
      <x:c r="A61" s="6" t="n">
        <x:v>46266</x:v>
      </x:c>
      <x:c r="B61" s="5" t="str">
        <x:v>Q2 Forecast</x:v>
      </x:c>
      <x:c r="C61" s="7" t="n">
        <x:v>10651899.52</x:v>
      </x:c>
      <x:c r="D61" s="7" t="n">
        <x:v>1823099.21</x:v>
      </x:c>
      <x:c r="E61" s="7" t="n">
        <x:v>12474998.73</x:v>
      </x:c>
      <x:c r="F61" s="7" t="n">
        <x:v>2257913.09</x:v>
      </x:c>
      <x:c r="G61" s="7" t="n">
        <x:v>1258372.07</x:v>
      </x:c>
      <x:c r="H61" s="7" t="n">
        <x:v>8958713.57</x:v>
      </x:c>
      <x:c r="I61" s="8" t="n">
        <x:v>0.7181</x:v>
      </x:c>
      <x:c r="J61" s="7" t="n">
        <x:v>2614498.07</x:v>
      </x:c>
      <x:c r="K61" s="7" t="n">
        <x:v>2656745.19</x:v>
      </x:c>
      <x:c r="L61" s="7" t="n">
        <x:v>1791293.54</x:v>
      </x:c>
      <x:c r="M61" s="7" t="n">
        <x:v>1896176.77</x:v>
      </x:c>
      <x:c r="N61" s="8" t="n">
        <x:v>0.152</x:v>
      </x:c>
      <x:c r="O61" s="7" t="n">
        <x:v>219359.37</x:v>
      </x:c>
      <x:c r="P61" s="7" t="n">
        <x:v>1676817.4</x:v>
      </x:c>
    </x:row>
    <x:row r="62">
      <x:c r="A62" s="6" t="n">
        <x:v>46296</x:v>
      </x:c>
      <x:c r="B62" s="5" t="str">
        <x:v>Budget</x:v>
      </x:c>
      <x:c r="C62" s="7" t="n">
        <x:v>11240886.73</x:v>
      </x:c>
      <x:c r="D62" s="7" t="n">
        <x:v>2524529.04</x:v>
      </x:c>
      <x:c r="E62" s="7" t="n">
        <x:v>13765415.77</x:v>
      </x:c>
      <x:c r="F62" s="7" t="n">
        <x:v>2394243.34</x:v>
      </x:c>
      <x:c r="G62" s="7" t="n">
        <x:v>1336947.87</x:v>
      </x:c>
      <x:c r="H62" s="7" t="n">
        <x:v>10034224.56</x:v>
      </x:c>
      <x:c r="I62" s="8" t="n">
        <x:v>0.7289</x:v>
      </x:c>
      <x:c r="J62" s="7" t="n">
        <x:v>2898968.2</x:v>
      </x:c>
      <x:c r="K62" s="7" t="n">
        <x:v>2734419.37</x:v>
      </x:c>
      <x:c r="L62" s="7" t="n">
        <x:v>1824871.38</x:v>
      </x:c>
      <x:c r="M62" s="7" t="n">
        <x:v>2575965.61</x:v>
      </x:c>
      <x:c r="N62" s="8" t="n">
        <x:v>0.1871</x:v>
      </x:c>
      <x:c r="O62" s="7" t="n">
        <x:v>232465.35</x:v>
      </x:c>
      <x:c r="P62" s="7" t="n">
        <x:v>2343500.26</x:v>
      </x:c>
    </x:row>
    <x:row r="63">
      <x:c r="A63" s="6" t="n">
        <x:v>46296</x:v>
      </x:c>
      <x:c r="B63" s="5" t="str">
        <x:v>Q2 Forecast</x:v>
      </x:c>
      <x:c r="C63" s="7" t="n">
        <x:v>10735046.83</x:v>
      </x:c>
      <x:c r="D63" s="7" t="n">
        <x:v>2322566.72</x:v>
      </x:c>
      <x:c r="E63" s="7" t="n">
        <x:v>13057613.55</x:v>
      </x:c>
      <x:c r="F63" s="7" t="n">
        <x:v>2277237.92</x:v>
      </x:c>
      <x:c r="G63" s="7" t="n">
        <x:v>1278692.21</x:v>
      </x:c>
      <x:c r="H63" s="7" t="n">
        <x:v>9501683.42</x:v>
      </x:c>
      <x:c r="I63" s="8" t="n">
        <x:v>0.7277</x:v>
      </x:c>
      <x:c r="J63" s="7" t="n">
        <x:v>2813471.86</x:v>
      </x:c>
      <x:c r="K63" s="7" t="n">
        <x:v>2618149.23</x:v>
      </x:c>
      <x:c r="L63" s="7" t="n">
        <x:v>1809871.9</x:v>
      </x:c>
      <x:c r="M63" s="7" t="n">
        <x:v>2260190.43</x:v>
      </x:c>
      <x:c r="N63" s="8" t="n">
        <x:v>0.1731</x:v>
      </x:c>
      <x:c r="O63" s="7" t="n">
        <x:v>230140.7</x:v>
      </x:c>
      <x:c r="P63" s="7" t="n">
        <x:v>2030049.73</x:v>
      </x:c>
    </x:row>
    <x:row r="64">
      <x:c r="A64" s="6" t="n">
        <x:v>46327</x:v>
      </x:c>
      <x:c r="B64" s="5" t="str">
        <x:v>Budget</x:v>
      </x:c>
      <x:c r="C64" s="7" t="n">
        <x:v>11263590.26</x:v>
      </x:c>
      <x:c r="D64" s="7" t="n">
        <x:v>2747974.81</x:v>
      </x:c>
      <x:c r="E64" s="7" t="n">
        <x:v>14011565.07</x:v>
      </x:c>
      <x:c r="F64" s="7" t="n">
        <x:v>2386838.88</x:v>
      </x:c>
      <x:c r="G64" s="7" t="n">
        <x:v>1305780.62</x:v>
      </x:c>
      <x:c r="H64" s="7" t="n">
        <x:v>10318945.57</x:v>
      </x:c>
      <x:c r="I64" s="8" t="n">
        <x:v>0.7365</x:v>
      </x:c>
      <x:c r="J64" s="7" t="n">
        <x:v>2923355.52</x:v>
      </x:c>
      <x:c r="K64" s="7" t="n">
        <x:v>2769246.67</x:v>
      </x:c>
      <x:c r="L64" s="7" t="n">
        <x:v>1833552.39</x:v>
      </x:c>
      <x:c r="M64" s="7" t="n">
        <x:v>2792790.99</x:v>
      </x:c>
      <x:c r="N64" s="8" t="n">
        <x:v>0.1993</x:v>
      </x:c>
      <x:c r="O64" s="7" t="n">
        <x:v>236727.21</x:v>
      </x:c>
      <x:c r="P64" s="7" t="n">
        <x:v>2556063.78</x:v>
      </x:c>
    </x:row>
    <x:row r="65">
      <x:c r="A65" s="6" t="n">
        <x:v>46327</x:v>
      </x:c>
      <x:c r="B65" s="5" t="str">
        <x:v>Q2 Forecast</x:v>
      </x:c>
      <x:c r="C65" s="7" t="n">
        <x:v>10756728.7</x:v>
      </x:c>
      <x:c r="D65" s="7" t="n">
        <x:v>2528136.83</x:v>
      </x:c>
      <x:c r="E65" s="7" t="n">
        <x:v>13284865.53</x:v>
      </x:c>
      <x:c r="F65" s="7" t="n">
        <x:v>2271201.4</x:v>
      </x:c>
      <x:c r="G65" s="7" t="n">
        <x:v>1249125.89</x:v>
      </x:c>
      <x:c r="H65" s="7" t="n">
        <x:v>9764538.24</x:v>
      </x:c>
      <x:c r="I65" s="8" t="n">
        <x:v>0.735</x:v>
      </x:c>
      <x:c r="J65" s="7" t="n">
        <x:v>2837530.38</x:v>
      </x:c>
      <x:c r="K65" s="7" t="n">
        <x:v>2651533.52</x:v>
      </x:c>
      <x:c r="L65" s="7" t="n">
        <x:v>1807870.59</x:v>
      </x:c>
      <x:c r="M65" s="7" t="n">
        <x:v>2467603.75</x:v>
      </x:c>
      <x:c r="N65" s="8" t="n">
        <x:v>0.1857</x:v>
      </x:c>
      <x:c r="O65" s="7" t="n">
        <x:v>234359.94</x:v>
      </x:c>
      <x:c r="P65" s="7" t="n">
        <x:v>2233243.81</x:v>
      </x:c>
    </x:row>
    <x:row r="66">
      <x:c r="A66" s="6" t="n">
        <x:v>46357</x:v>
      </x:c>
      <x:c r="B66" s="5" t="str">
        <x:v>Budget</x:v>
      </x:c>
      <x:c r="C66" s="7" t="n">
        <x:v>11335333.26</x:v>
      </x:c>
      <x:c r="D66" s="7" t="n">
        <x:v>1797934.65</x:v>
      </x:c>
      <x:c r="E66" s="7" t="n">
        <x:v>13133267.91</x:v>
      </x:c>
      <x:c r="F66" s="7" t="n">
        <x:v>2425903.7</x:v>
      </x:c>
      <x:c r="G66" s="7" t="n">
        <x:v>1278967.78</x:v>
      </x:c>
      <x:c r="H66" s="7" t="n">
        <x:v>9428396.43</x:v>
      </x:c>
      <x:c r="I66" s="8" t="n">
        <x:v>0.7179</x:v>
      </x:c>
      <x:c r="J66" s="7" t="n">
        <x:v>2887004.51</x:v>
      </x:c>
      <x:c r="K66" s="7" t="n">
        <x:v>2754863.79</x:v>
      </x:c>
      <x:c r="L66" s="7" t="n">
        <x:v>1788930.39</x:v>
      </x:c>
      <x:c r="M66" s="7" t="n">
        <x:v>1997597.74</x:v>
      </x:c>
      <x:c r="N66" s="8" t="n">
        <x:v>0.1521</x:v>
      </x:c>
      <x:c r="O66" s="7" t="n">
        <x:v>221430.34</x:v>
      </x:c>
      <x:c r="P66" s="7" t="n">
        <x:v>1776167.4</x:v>
      </x:c>
    </x:row>
    <x:row r="67">
      <x:c r="A67" s="6" t="n">
        <x:v>46357</x:v>
      </x:c>
      <x:c r="B67" s="5" t="str">
        <x:v>Q2 Forecast</x:v>
      </x:c>
      <x:c r="C67" s="7" t="n">
        <x:v>10825243.26</x:v>
      </x:c>
      <x:c r="D67" s="7" t="n">
        <x:v>1654099.88</x:v>
      </x:c>
      <x:c r="E67" s="7" t="n">
        <x:v>12479343.14</x:v>
      </x:c>
      <x:c r="F67" s="7" t="n">
        <x:v>2308262.83</x:v>
      </x:c>
      <x:c r="G67" s="7" t="n">
        <x:v>1223221.99</x:v>
      </x:c>
      <x:c r="H67" s="7" t="n">
        <x:v>8947858.32</x:v>
      </x:c>
      <x:c r="I67" s="8" t="n">
        <x:v>0.717</x:v>
      </x:c>
      <x:c r="J67" s="7" t="n">
        <x:v>2800579.28</x:v>
      </x:c>
      <x:c r="K67" s="7" t="n">
        <x:v>2637764.95</x:v>
      </x:c>
      <x:c r="L67" s="7" t="n">
        <x:v>1772213.85</x:v>
      </x:c>
      <x:c r="M67" s="7" t="n">
        <x:v>1737300.24</x:v>
      </x:c>
      <x:c r="N67" s="8" t="n">
        <x:v>0.1392</x:v>
      </x:c>
      <x:c r="O67" s="7" t="n">
        <x:v>219216.04</x:v>
      </x:c>
      <x:c r="P67" s="7" t="n">
        <x:v>1518084.2</x:v>
      </x:c>
    </x:row>
  </x:sheetData>
  <x:pageMargins left="0.7" right="0.7" top="0.75" bottom="0.75" header="0.3" footer="0.3"/>
  <x:tableParts count="1">
    <x:tablePart xmlns:r="http://schemas.openxmlformats.org/officeDocument/2006/relationships" r:id="Re123a58d4a4b4561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6" hidden="0" customWidth="1"/>
  </x:cols>
  <x:sheetData>
    <x:row r="1">
      <x:c r="A1" s="4" t="str">
        <x:v>month_start</x:v>
      </x:c>
      <x:c r="B1" s="4" t="str">
        <x:v>scenario</x:v>
      </x:c>
      <x:c r="C1" s="4" t="str">
        <x:v>pnl_line</x:v>
      </x:c>
      <x:c r="D1" s="4" t="str">
        <x:v>statement_section</x:v>
      </x:c>
      <x:c r="E1" s="4" t="str">
        <x:v>sort_order</x:v>
      </x:c>
      <x:c r="F1" s="4" t="str">
        <x:v>amount_usd</x:v>
      </x:c>
    </x:row>
    <x:row r="2">
      <x:c r="A2" s="6" t="n">
        <x:v>44927</x:v>
      </x:c>
      <x:c r="B2" s="5" t="str">
        <x:v>Actual</x:v>
      </x:c>
      <x:c r="C2" s="5" t="str">
        <x:v>Subscription Revenue</x:v>
      </x:c>
      <x:c r="D2" s="5" t="str">
        <x:v>Revenue</x:v>
      </x:c>
      <x:c r="E2" s="9" t="n">
        <x:v>10</x:v>
      </x:c>
      <x:c r="F2" s="7" t="n">
        <x:v>5807988.14</x:v>
      </x:c>
    </x:row>
    <x:row r="3">
      <x:c r="A3" s="6" t="n">
        <x:v>44927</x:v>
      </x:c>
      <x:c r="B3" s="5" t="str">
        <x:v>Actual</x:v>
      </x:c>
      <x:c r="C3" s="5" t="str">
        <x:v>Professional Services Revenue</x:v>
      </x:c>
      <x:c r="D3" s="5" t="str">
        <x:v>Revenue</x:v>
      </x:c>
      <x:c r="E3" s="9" t="n">
        <x:v>20</x:v>
      </x:c>
      <x:c r="F3" s="7" t="n">
        <x:v>1271207.59</x:v>
      </x:c>
    </x:row>
    <x:row r="4">
      <x:c r="A4" s="6" t="n">
        <x:v>44927</x:v>
      </x:c>
      <x:c r="B4" s="5" t="str">
        <x:v>Actual</x:v>
      </x:c>
      <x:c r="C4" s="5" t="str">
        <x:v>Cost of Subscription</x:v>
      </x:c>
      <x:c r="D4" s="5" t="str">
        <x:v>Cost of Revenue</x:v>
      </x:c>
      <x:c r="E4" s="9" t="n">
        <x:v>40</x:v>
      </x:c>
      <x:c r="F4" s="7" t="n">
        <x:v>1522816.51</x:v>
      </x:c>
    </x:row>
    <x:row r="5">
      <x:c r="A5" s="6" t="n">
        <x:v>44927</x:v>
      </x:c>
      <x:c r="B5" s="5" t="str">
        <x:v>Actual</x:v>
      </x:c>
      <x:c r="C5" s="5" t="str">
        <x:v>Cost of Services</x:v>
      </x:c>
      <x:c r="D5" s="5" t="str">
        <x:v>Cost of Revenue</x:v>
      </x:c>
      <x:c r="E5" s="9" t="n">
        <x:v>60</x:v>
      </x:c>
      <x:c r="F5" s="7" t="n">
        <x:v>1088600.15</x:v>
      </x:c>
    </x:row>
    <x:row r="6">
      <x:c r="A6" s="6" t="n">
        <x:v>44927</x:v>
      </x:c>
      <x:c r="B6" s="5" t="str">
        <x:v>Actual</x:v>
      </x:c>
      <x:c r="C6" s="5" t="str">
        <x:v>Sales &amp; Marketing</x:v>
      </x:c>
      <x:c r="D6" s="5" t="str">
        <x:v>Operating Expense</x:v>
      </x:c>
      <x:c r="E6" s="9" t="n">
        <x:v>100</x:v>
      </x:c>
      <x:c r="F6" s="7" t="n">
        <x:v>1742514.56</x:v>
      </x:c>
    </x:row>
    <x:row r="7">
      <x:c r="A7" s="6" t="n">
        <x:v>44927</x:v>
      </x:c>
      <x:c r="B7" s="5" t="str">
        <x:v>Actual</x:v>
      </x:c>
      <x:c r="C7" s="5" t="str">
        <x:v>Research &amp; Development</x:v>
      </x:c>
      <x:c r="D7" s="5" t="str">
        <x:v>Operating Expense</x:v>
      </x:c>
      <x:c r="E7" s="9" t="n">
        <x:v>140</x:v>
      </x:c>
      <x:c r="F7" s="7" t="n">
        <x:v>1910907.45</x:v>
      </x:c>
    </x:row>
    <x:row r="8">
      <x:c r="A8" s="6" t="n">
        <x:v>44927</x:v>
      </x:c>
      <x:c r="B8" s="5" t="str">
        <x:v>Actual</x:v>
      </x:c>
      <x:c r="C8" s="5" t="str">
        <x:v>General &amp; Administrative</x:v>
      </x:c>
      <x:c r="D8" s="5" t="str">
        <x:v>Operating Expense</x:v>
      </x:c>
      <x:c r="E8" s="9" t="n">
        <x:v>160</x:v>
      </x:c>
      <x:c r="F8" s="7" t="n">
        <x:v>1307018.36</x:v>
      </x:c>
    </x:row>
    <x:row r="9">
      <x:c r="A9" s="6" t="n">
        <x:v>44927</x:v>
      </x:c>
      <x:c r="B9" s="5" t="str">
        <x:v>Actual</x:v>
      </x:c>
      <x:c r="C9" s="5" t="str">
        <x:v>Depreciation &amp; Amortization</x:v>
      </x:c>
      <x:c r="D9" s="5" t="str">
        <x:v>D&amp;A</x:v>
      </x:c>
      <x:c r="E9" s="9" t="n">
        <x:v>230</x:v>
      </x:c>
      <x:c r="F9" s="7" t="n">
        <x:v>127425.52</x:v>
      </x:c>
    </x:row>
    <x:row r="10">
      <x:c r="A10" s="6" t="n">
        <x:v>44958</x:v>
      </x:c>
      <x:c r="B10" s="5" t="str">
        <x:v>Actual</x:v>
      </x:c>
      <x:c r="C10" s="5" t="str">
        <x:v>Subscription Revenue</x:v>
      </x:c>
      <x:c r="D10" s="5" t="str">
        <x:v>Revenue</x:v>
      </x:c>
      <x:c r="E10" s="9" t="n">
        <x:v>10</x:v>
      </x:c>
      <x:c r="F10" s="7" t="n">
        <x:v>5880008.09</x:v>
      </x:c>
    </x:row>
    <x:row r="11">
      <x:c r="A11" s="6" t="n">
        <x:v>44958</x:v>
      </x:c>
      <x:c r="B11" s="5" t="str">
        <x:v>Actual</x:v>
      </x:c>
      <x:c r="C11" s="5" t="str">
        <x:v>Professional Services Revenue</x:v>
      </x:c>
      <x:c r="D11" s="5" t="str">
        <x:v>Revenue</x:v>
      </x:c>
      <x:c r="E11" s="9" t="n">
        <x:v>20</x:v>
      </x:c>
      <x:c r="F11" s="7" t="n">
        <x:v>1363956.8</x:v>
      </x:c>
    </x:row>
    <x:row r="12">
      <x:c r="A12" s="6" t="n">
        <x:v>44958</x:v>
      </x:c>
      <x:c r="B12" s="5" t="str">
        <x:v>Actual</x:v>
      </x:c>
      <x:c r="C12" s="5" t="str">
        <x:v>Cost of Subscription</x:v>
      </x:c>
      <x:c r="D12" s="5" t="str">
        <x:v>Cost of Revenue</x:v>
      </x:c>
      <x:c r="E12" s="9" t="n">
        <x:v>40</x:v>
      </x:c>
      <x:c r="F12" s="7" t="n">
        <x:v>1524736.22</x:v>
      </x:c>
    </x:row>
    <x:row r="13">
      <x:c r="A13" s="6" t="n">
        <x:v>44958</x:v>
      </x:c>
      <x:c r="B13" s="5" t="str">
        <x:v>Actual</x:v>
      </x:c>
      <x:c r="C13" s="5" t="str">
        <x:v>Cost of Services</x:v>
      </x:c>
      <x:c r="D13" s="5" t="str">
        <x:v>Cost of Revenue</x:v>
      </x:c>
      <x:c r="E13" s="9" t="n">
        <x:v>60</x:v>
      </x:c>
      <x:c r="F13" s="7" t="n">
        <x:v>1117648.76</x:v>
      </x:c>
    </x:row>
    <x:row r="14">
      <x:c r="A14" s="6" t="n">
        <x:v>44958</x:v>
      </x:c>
      <x:c r="B14" s="5" t="str">
        <x:v>Actual</x:v>
      </x:c>
      <x:c r="C14" s="5" t="str">
        <x:v>Sales &amp; Marketing</x:v>
      </x:c>
      <x:c r="D14" s="5" t="str">
        <x:v>Operating Expense</x:v>
      </x:c>
      <x:c r="E14" s="9" t="n">
        <x:v>100</x:v>
      </x:c>
      <x:c r="F14" s="7" t="n">
        <x:v>1775752.07</x:v>
      </x:c>
    </x:row>
    <x:row r="15">
      <x:c r="A15" s="6" t="n">
        <x:v>44958</x:v>
      </x:c>
      <x:c r="B15" s="5" t="str">
        <x:v>Actual</x:v>
      </x:c>
      <x:c r="C15" s="5" t="str">
        <x:v>Research &amp; Development</x:v>
      </x:c>
      <x:c r="D15" s="5" t="str">
        <x:v>Operating Expense</x:v>
      </x:c>
      <x:c r="E15" s="9" t="n">
        <x:v>140</x:v>
      </x:c>
      <x:c r="F15" s="7" t="n">
        <x:v>1926903.57</x:v>
      </x:c>
    </x:row>
    <x:row r="16">
      <x:c r="A16" s="6" t="n">
        <x:v>44958</x:v>
      </x:c>
      <x:c r="B16" s="5" t="str">
        <x:v>Actual</x:v>
      </x:c>
      <x:c r="C16" s="5" t="str">
        <x:v>General &amp; Administrative</x:v>
      </x:c>
      <x:c r="D16" s="5" t="str">
        <x:v>Operating Expense</x:v>
      </x:c>
      <x:c r="E16" s="9" t="n">
        <x:v>160</x:v>
      </x:c>
      <x:c r="F16" s="7" t="n">
        <x:v>1301741.59</x:v>
      </x:c>
    </x:row>
    <x:row r="17">
      <x:c r="A17" s="6" t="n">
        <x:v>44958</x:v>
      </x:c>
      <x:c r="B17" s="5" t="str">
        <x:v>Actual</x:v>
      </x:c>
      <x:c r="C17" s="5" t="str">
        <x:v>Depreciation &amp; Amortization</x:v>
      </x:c>
      <x:c r="D17" s="5" t="str">
        <x:v>D&amp;A</x:v>
      </x:c>
      <x:c r="E17" s="9" t="n">
        <x:v>230</x:v>
      </x:c>
      <x:c r="F17" s="7" t="n">
        <x:v>130391.37</x:v>
      </x:c>
    </x:row>
    <x:row r="18">
      <x:c r="A18" s="6" t="n">
        <x:v>44986</x:v>
      </x:c>
      <x:c r="B18" s="5" t="str">
        <x:v>Actual</x:v>
      </x:c>
      <x:c r="C18" s="5" t="str">
        <x:v>Subscription Revenue</x:v>
      </x:c>
      <x:c r="D18" s="5" t="str">
        <x:v>Revenue</x:v>
      </x:c>
      <x:c r="E18" s="9" t="n">
        <x:v>10</x:v>
      </x:c>
      <x:c r="F18" s="7" t="n">
        <x:v>5955656.82</x:v>
      </x:c>
    </x:row>
    <x:row r="19">
      <x:c r="A19" s="6" t="n">
        <x:v>44986</x:v>
      </x:c>
      <x:c r="B19" s="5" t="str">
        <x:v>Actual</x:v>
      </x:c>
      <x:c r="C19" s="5" t="str">
        <x:v>Professional Services Revenue</x:v>
      </x:c>
      <x:c r="D19" s="5" t="str">
        <x:v>Revenue</x:v>
      </x:c>
      <x:c r="E19" s="9" t="n">
        <x:v>20</x:v>
      </x:c>
      <x:c r="F19" s="7" t="n">
        <x:v>1408255.71</x:v>
      </x:c>
    </x:row>
    <x:row r="20">
      <x:c r="A20" s="6" t="n">
        <x:v>44986</x:v>
      </x:c>
      <x:c r="B20" s="5" t="str">
        <x:v>Actual</x:v>
      </x:c>
      <x:c r="C20" s="5" t="str">
        <x:v>Cost of Subscription</x:v>
      </x:c>
      <x:c r="D20" s="5" t="str">
        <x:v>Cost of Revenue</x:v>
      </x:c>
      <x:c r="E20" s="9" t="n">
        <x:v>40</x:v>
      </x:c>
      <x:c r="F20" s="7" t="n">
        <x:v>1569856.8</x:v>
      </x:c>
    </x:row>
    <x:row r="21">
      <x:c r="A21" s="6" t="n">
        <x:v>44986</x:v>
      </x:c>
      <x:c r="B21" s="5" t="str">
        <x:v>Actual</x:v>
      </x:c>
      <x:c r="C21" s="5" t="str">
        <x:v>Cost of Services</x:v>
      </x:c>
      <x:c r="D21" s="5" t="str">
        <x:v>Cost of Revenue</x:v>
      </x:c>
      <x:c r="E21" s="9" t="n">
        <x:v>60</x:v>
      </x:c>
      <x:c r="F21" s="7" t="n">
        <x:v>1091583.76</x:v>
      </x:c>
    </x:row>
    <x:row r="22">
      <x:c r="A22" s="6" t="n">
        <x:v>44986</x:v>
      </x:c>
      <x:c r="B22" s="5" t="str">
        <x:v>Actual</x:v>
      </x:c>
      <x:c r="C22" s="5" t="str">
        <x:v>Sales &amp; Marketing</x:v>
      </x:c>
      <x:c r="D22" s="5" t="str">
        <x:v>Operating Expense</x:v>
      </x:c>
      <x:c r="E22" s="9" t="n">
        <x:v>100</x:v>
      </x:c>
      <x:c r="F22" s="7" t="n">
        <x:v>1796443.99</x:v>
      </x:c>
    </x:row>
    <x:row r="23">
      <x:c r="A23" s="6" t="n">
        <x:v>44986</x:v>
      </x:c>
      <x:c r="B23" s="5" t="str">
        <x:v>Actual</x:v>
      </x:c>
      <x:c r="C23" s="5" t="str">
        <x:v>Research &amp; Development</x:v>
      </x:c>
      <x:c r="D23" s="5" t="str">
        <x:v>Operating Expense</x:v>
      </x:c>
      <x:c r="E23" s="9" t="n">
        <x:v>140</x:v>
      </x:c>
      <x:c r="F23" s="7" t="n">
        <x:v>1913468.36</x:v>
      </x:c>
    </x:row>
    <x:row r="24">
      <x:c r="A24" s="6" t="n">
        <x:v>44986</x:v>
      </x:c>
      <x:c r="B24" s="5" t="str">
        <x:v>Actual</x:v>
      </x:c>
      <x:c r="C24" s="5" t="str">
        <x:v>General &amp; Administrative</x:v>
      </x:c>
      <x:c r="D24" s="5" t="str">
        <x:v>Operating Expense</x:v>
      </x:c>
      <x:c r="E24" s="9" t="n">
        <x:v>160</x:v>
      </x:c>
      <x:c r="F24" s="7" t="n">
        <x:v>1297823.82</x:v>
      </x:c>
    </x:row>
    <x:row r="25">
      <x:c r="A25" s="6" t="n">
        <x:v>44986</x:v>
      </x:c>
      <x:c r="B25" s="5" t="str">
        <x:v>Actual</x:v>
      </x:c>
      <x:c r="C25" s="5" t="str">
        <x:v>Depreciation &amp; Amortization</x:v>
      </x:c>
      <x:c r="D25" s="5" t="str">
        <x:v>D&amp;A</x:v>
      </x:c>
      <x:c r="E25" s="9" t="n">
        <x:v>230</x:v>
      </x:c>
      <x:c r="F25" s="7" t="n">
        <x:v>132550.43</x:v>
      </x:c>
    </x:row>
    <x:row r="26">
      <x:c r="A26" s="6" t="n">
        <x:v>45017</x:v>
      </x:c>
      <x:c r="B26" s="5" t="str">
        <x:v>Actual</x:v>
      </x:c>
      <x:c r="C26" s="5" t="str">
        <x:v>Subscription Revenue</x:v>
      </x:c>
      <x:c r="D26" s="5" t="str">
        <x:v>Revenue</x:v>
      </x:c>
      <x:c r="E26" s="9" t="n">
        <x:v>10</x:v>
      </x:c>
      <x:c r="F26" s="7" t="n">
        <x:v>6127381.56</x:v>
      </x:c>
    </x:row>
    <x:row r="27">
      <x:c r="A27" s="6" t="n">
        <x:v>45017</x:v>
      </x:c>
      <x:c r="B27" s="5" t="str">
        <x:v>Actual</x:v>
      </x:c>
      <x:c r="C27" s="5" t="str">
        <x:v>Professional Services Revenue</x:v>
      </x:c>
      <x:c r="D27" s="5" t="str">
        <x:v>Revenue</x:v>
      </x:c>
      <x:c r="E27" s="9" t="n">
        <x:v>20</x:v>
      </x:c>
      <x:c r="F27" s="7" t="n">
        <x:v>1874092.42</x:v>
      </x:c>
    </x:row>
    <x:row r="28">
      <x:c r="A28" s="6" t="n">
        <x:v>45017</x:v>
      </x:c>
      <x:c r="B28" s="5" t="str">
        <x:v>Actual</x:v>
      </x:c>
      <x:c r="C28" s="5" t="str">
        <x:v>Cost of Subscription</x:v>
      </x:c>
      <x:c r="D28" s="5" t="str">
        <x:v>Cost of Revenue</x:v>
      </x:c>
      <x:c r="E28" s="9" t="n">
        <x:v>40</x:v>
      </x:c>
      <x:c r="F28" s="7" t="n">
        <x:v>1583171.33</x:v>
      </x:c>
    </x:row>
    <x:row r="29">
      <x:c r="A29" s="6" t="n">
        <x:v>45017</x:v>
      </x:c>
      <x:c r="B29" s="5" t="str">
        <x:v>Actual</x:v>
      </x:c>
      <x:c r="C29" s="5" t="str">
        <x:v>Cost of Services</x:v>
      </x:c>
      <x:c r="D29" s="5" t="str">
        <x:v>Cost of Revenue</x:v>
      </x:c>
      <x:c r="E29" s="9" t="n">
        <x:v>60</x:v>
      </x:c>
      <x:c r="F29" s="7" t="n">
        <x:v>1148897.81</x:v>
      </x:c>
    </x:row>
    <x:row r="30">
      <x:c r="A30" s="6" t="n">
        <x:v>45017</x:v>
      </x:c>
      <x:c r="B30" s="5" t="str">
        <x:v>Actual</x:v>
      </x:c>
      <x:c r="C30" s="5" t="str">
        <x:v>Sales &amp; Marketing</x:v>
      </x:c>
      <x:c r="D30" s="5" t="str">
        <x:v>Operating Expense</x:v>
      </x:c>
      <x:c r="E30" s="9" t="n">
        <x:v>100</x:v>
      </x:c>
      <x:c r="F30" s="7" t="n">
        <x:v>1786384.79</x:v>
      </x:c>
    </x:row>
    <x:row r="31">
      <x:c r="A31" s="6" t="n">
        <x:v>45017</x:v>
      </x:c>
      <x:c r="B31" s="5" t="str">
        <x:v>Actual</x:v>
      </x:c>
      <x:c r="C31" s="5" t="str">
        <x:v>Research &amp; Development</x:v>
      </x:c>
      <x:c r="D31" s="5" t="str">
        <x:v>Operating Expense</x:v>
      </x:c>
      <x:c r="E31" s="9" t="n">
        <x:v>140</x:v>
      </x:c>
      <x:c r="F31" s="7" t="n">
        <x:v>1924122.95</x:v>
      </x:c>
    </x:row>
    <x:row r="32">
      <x:c r="A32" s="6" t="n">
        <x:v>45017</x:v>
      </x:c>
      <x:c r="B32" s="5" t="str">
        <x:v>Actual</x:v>
      </x:c>
      <x:c r="C32" s="5" t="str">
        <x:v>General &amp; Administrative</x:v>
      </x:c>
      <x:c r="D32" s="5" t="str">
        <x:v>Operating Expense</x:v>
      </x:c>
      <x:c r="E32" s="9" t="n">
        <x:v>160</x:v>
      </x:c>
      <x:c r="F32" s="7" t="n">
        <x:v>1359646.23</x:v>
      </x:c>
    </x:row>
    <x:row r="33">
      <x:c r="A33" s="6" t="n">
        <x:v>45017</x:v>
      </x:c>
      <x:c r="B33" s="5" t="str">
        <x:v>Actual</x:v>
      </x:c>
      <x:c r="C33" s="5" t="str">
        <x:v>Depreciation &amp; Amortization</x:v>
      </x:c>
      <x:c r="D33" s="5" t="str">
        <x:v>D&amp;A</x:v>
      </x:c>
      <x:c r="E33" s="9" t="n">
        <x:v>230</x:v>
      </x:c>
      <x:c r="F33" s="7" t="n">
        <x:v>144026.53</x:v>
      </x:c>
    </x:row>
    <x:row r="34">
      <x:c r="A34" s="6" t="n">
        <x:v>45047</x:v>
      </x:c>
      <x:c r="B34" s="5" t="str">
        <x:v>Actual</x:v>
      </x:c>
      <x:c r="C34" s="5" t="str">
        <x:v>Subscription Revenue</x:v>
      </x:c>
      <x:c r="D34" s="5" t="str">
        <x:v>Revenue</x:v>
      </x:c>
      <x:c r="E34" s="9" t="n">
        <x:v>10</x:v>
      </x:c>
      <x:c r="F34" s="7" t="n">
        <x:v>6334145.3</x:v>
      </x:c>
    </x:row>
    <x:row r="35">
      <x:c r="A35" s="6" t="n">
        <x:v>45047</x:v>
      </x:c>
      <x:c r="B35" s="5" t="str">
        <x:v>Actual</x:v>
      </x:c>
      <x:c r="C35" s="5" t="str">
        <x:v>Professional Services Revenue</x:v>
      </x:c>
      <x:c r="D35" s="5" t="str">
        <x:v>Revenue</x:v>
      </x:c>
      <x:c r="E35" s="9" t="n">
        <x:v>20</x:v>
      </x:c>
      <x:c r="F35" s="7" t="n">
        <x:v>1582712.57</x:v>
      </x:c>
    </x:row>
    <x:row r="36">
      <x:c r="A36" s="6" t="n">
        <x:v>45047</x:v>
      </x:c>
      <x:c r="B36" s="5" t="str">
        <x:v>Actual</x:v>
      </x:c>
      <x:c r="C36" s="5" t="str">
        <x:v>Cost of Subscription</x:v>
      </x:c>
      <x:c r="D36" s="5" t="str">
        <x:v>Cost of Revenue</x:v>
      </x:c>
      <x:c r="E36" s="9" t="n">
        <x:v>40</x:v>
      </x:c>
      <x:c r="F36" s="7" t="n">
        <x:v>1581376.12</x:v>
      </x:c>
    </x:row>
    <x:row r="37">
      <x:c r="A37" s="6" t="n">
        <x:v>45047</x:v>
      </x:c>
      <x:c r="B37" s="5" t="str">
        <x:v>Actual</x:v>
      </x:c>
      <x:c r="C37" s="5" t="str">
        <x:v>Cost of Services</x:v>
      </x:c>
      <x:c r="D37" s="5" t="str">
        <x:v>Cost of Revenue</x:v>
      </x:c>
      <x:c r="E37" s="9" t="n">
        <x:v>60</x:v>
      </x:c>
      <x:c r="F37" s="7" t="n">
        <x:v>1162699.34</x:v>
      </x:c>
    </x:row>
    <x:row r="38">
      <x:c r="A38" s="6" t="n">
        <x:v>45047</x:v>
      </x:c>
      <x:c r="B38" s="5" t="str">
        <x:v>Actual</x:v>
      </x:c>
      <x:c r="C38" s="5" t="str">
        <x:v>Sales &amp; Marketing</x:v>
      </x:c>
      <x:c r="D38" s="5" t="str">
        <x:v>Operating Expense</x:v>
      </x:c>
      <x:c r="E38" s="9" t="n">
        <x:v>100</x:v>
      </x:c>
      <x:c r="F38" s="7" t="n">
        <x:v>1787550.45</x:v>
      </x:c>
    </x:row>
    <x:row r="39">
      <x:c r="A39" s="6" t="n">
        <x:v>45047</x:v>
      </x:c>
      <x:c r="B39" s="5" t="str">
        <x:v>Actual</x:v>
      </x:c>
      <x:c r="C39" s="5" t="str">
        <x:v>Research &amp; Development</x:v>
      </x:c>
      <x:c r="D39" s="5" t="str">
        <x:v>Operating Expense</x:v>
      </x:c>
      <x:c r="E39" s="9" t="n">
        <x:v>140</x:v>
      </x:c>
      <x:c r="F39" s="7" t="n">
        <x:v>1922153.38</x:v>
      </x:c>
    </x:row>
    <x:row r="40">
      <x:c r="A40" s="6" t="n">
        <x:v>45047</x:v>
      </x:c>
      <x:c r="B40" s="5" t="str">
        <x:v>Actual</x:v>
      </x:c>
      <x:c r="C40" s="5" t="str">
        <x:v>General &amp; Administrative</x:v>
      </x:c>
      <x:c r="D40" s="5" t="str">
        <x:v>Operating Expense</x:v>
      </x:c>
      <x:c r="E40" s="9" t="n">
        <x:v>160</x:v>
      </x:c>
      <x:c r="F40" s="7" t="n">
        <x:v>1274105.12</x:v>
      </x:c>
    </x:row>
    <x:row r="41">
      <x:c r="A41" s="6" t="n">
        <x:v>45047</x:v>
      </x:c>
      <x:c r="B41" s="5" t="str">
        <x:v>Actual</x:v>
      </x:c>
      <x:c r="C41" s="5" t="str">
        <x:v>Depreciation &amp; Amortization</x:v>
      </x:c>
      <x:c r="D41" s="5" t="str">
        <x:v>D&amp;A</x:v>
      </x:c>
      <x:c r="E41" s="9" t="n">
        <x:v>230</x:v>
      </x:c>
      <x:c r="F41" s="7" t="n">
        <x:v>142503.44</x:v>
      </x:c>
    </x:row>
    <x:row r="42">
      <x:c r="A42" s="6" t="n">
        <x:v>45078</x:v>
      </x:c>
      <x:c r="B42" s="5" t="str">
        <x:v>Actual</x:v>
      </x:c>
      <x:c r="C42" s="5" t="str">
        <x:v>Subscription Revenue</x:v>
      </x:c>
      <x:c r="D42" s="5" t="str">
        <x:v>Revenue</x:v>
      </x:c>
      <x:c r="E42" s="9" t="n">
        <x:v>10</x:v>
      </x:c>
      <x:c r="F42" s="7" t="n">
        <x:v>6430053.25</x:v>
      </x:c>
    </x:row>
    <x:row r="43">
      <x:c r="A43" s="6" t="n">
        <x:v>45078</x:v>
      </x:c>
      <x:c r="B43" s="5" t="str">
        <x:v>Actual</x:v>
      </x:c>
      <x:c r="C43" s="5" t="str">
        <x:v>Professional Services Revenue</x:v>
      </x:c>
      <x:c r="D43" s="5" t="str">
        <x:v>Revenue</x:v>
      </x:c>
      <x:c r="E43" s="9" t="n">
        <x:v>20</x:v>
      </x:c>
      <x:c r="F43" s="7" t="n">
        <x:v>1559895.86</x:v>
      </x:c>
    </x:row>
    <x:row r="44">
      <x:c r="A44" s="6" t="n">
        <x:v>45078</x:v>
      </x:c>
      <x:c r="B44" s="5" t="str">
        <x:v>Actual</x:v>
      </x:c>
      <x:c r="C44" s="5" t="str">
        <x:v>Cost of Subscription</x:v>
      </x:c>
      <x:c r="D44" s="5" t="str">
        <x:v>Cost of Revenue</x:v>
      </x:c>
      <x:c r="E44" s="9" t="n">
        <x:v>40</x:v>
      </x:c>
      <x:c r="F44" s="7" t="n">
        <x:v>1598262.3</x:v>
      </x:c>
    </x:row>
    <x:row r="45">
      <x:c r="A45" s="6" t="n">
        <x:v>45078</x:v>
      </x:c>
      <x:c r="B45" s="5" t="str">
        <x:v>Actual</x:v>
      </x:c>
      <x:c r="C45" s="5" t="str">
        <x:v>Cost of Services</x:v>
      </x:c>
      <x:c r="D45" s="5" t="str">
        <x:v>Cost of Revenue</x:v>
      </x:c>
      <x:c r="E45" s="9" t="n">
        <x:v>60</x:v>
      </x:c>
      <x:c r="F45" s="7" t="n">
        <x:v>1154813.59</x:v>
      </x:c>
    </x:row>
    <x:row r="46">
      <x:c r="A46" s="6" t="n">
        <x:v>45078</x:v>
      </x:c>
      <x:c r="B46" s="5" t="str">
        <x:v>Actual</x:v>
      </x:c>
      <x:c r="C46" s="5" t="str">
        <x:v>Sales &amp; Marketing</x:v>
      </x:c>
      <x:c r="D46" s="5" t="str">
        <x:v>Operating Expense</x:v>
      </x:c>
      <x:c r="E46" s="9" t="n">
        <x:v>100</x:v>
      </x:c>
      <x:c r="F46" s="7" t="n">
        <x:v>1805930.81</x:v>
      </x:c>
    </x:row>
    <x:row r="47">
      <x:c r="A47" s="6" t="n">
        <x:v>45078</x:v>
      </x:c>
      <x:c r="B47" s="5" t="str">
        <x:v>Actual</x:v>
      </x:c>
      <x:c r="C47" s="5" t="str">
        <x:v>Research &amp; Development</x:v>
      </x:c>
      <x:c r="D47" s="5" t="str">
        <x:v>Operating Expense</x:v>
      </x:c>
      <x:c r="E47" s="9" t="n">
        <x:v>140</x:v>
      </x:c>
      <x:c r="F47" s="7" t="n">
        <x:v>1957514.41</x:v>
      </x:c>
    </x:row>
    <x:row r="48">
      <x:c r="A48" s="6" t="n">
        <x:v>45078</x:v>
      </x:c>
      <x:c r="B48" s="5" t="str">
        <x:v>Actual</x:v>
      </x:c>
      <x:c r="C48" s="5" t="str">
        <x:v>General &amp; Administrative</x:v>
      </x:c>
      <x:c r="D48" s="5" t="str">
        <x:v>Operating Expense</x:v>
      </x:c>
      <x:c r="E48" s="9" t="n">
        <x:v>160</x:v>
      </x:c>
      <x:c r="F48" s="7" t="n">
        <x:v>1345605.73</x:v>
      </x:c>
    </x:row>
    <x:row r="49">
      <x:c r="A49" s="6" t="n">
        <x:v>45078</x:v>
      </x:c>
      <x:c r="B49" s="5" t="str">
        <x:v>Actual</x:v>
      </x:c>
      <x:c r="C49" s="5" t="str">
        <x:v>Depreciation &amp; Amortization</x:v>
      </x:c>
      <x:c r="D49" s="5" t="str">
        <x:v>D&amp;A</x:v>
      </x:c>
      <x:c r="E49" s="9" t="n">
        <x:v>230</x:v>
      </x:c>
      <x:c r="F49" s="7" t="n">
        <x:v>143819.08</x:v>
      </x:c>
    </x:row>
    <x:row r="50">
      <x:c r="A50" s="6" t="n">
        <x:v>45108</x:v>
      </x:c>
      <x:c r="B50" s="5" t="str">
        <x:v>Actual</x:v>
      </x:c>
      <x:c r="C50" s="5" t="str">
        <x:v>Subscription Revenue</x:v>
      </x:c>
      <x:c r="D50" s="5" t="str">
        <x:v>Revenue</x:v>
      </x:c>
      <x:c r="E50" s="9" t="n">
        <x:v>10</x:v>
      </x:c>
      <x:c r="F50" s="7" t="n">
        <x:v>6510320.47</x:v>
      </x:c>
    </x:row>
    <x:row r="51">
      <x:c r="A51" s="6" t="n">
        <x:v>45108</x:v>
      </x:c>
      <x:c r="B51" s="5" t="str">
        <x:v>Actual</x:v>
      </x:c>
      <x:c r="C51" s="5" t="str">
        <x:v>Professional Services Revenue</x:v>
      </x:c>
      <x:c r="D51" s="5" t="str">
        <x:v>Revenue</x:v>
      </x:c>
      <x:c r="E51" s="9" t="n">
        <x:v>20</x:v>
      </x:c>
      <x:c r="F51" s="7" t="n">
        <x:v>1276689.03</x:v>
      </x:c>
    </x:row>
    <x:row r="52">
      <x:c r="A52" s="6" t="n">
        <x:v>45108</x:v>
      </x:c>
      <x:c r="B52" s="5" t="str">
        <x:v>Actual</x:v>
      </x:c>
      <x:c r="C52" s="5" t="str">
        <x:v>Cost of Subscription</x:v>
      </x:c>
      <x:c r="D52" s="5" t="str">
        <x:v>Cost of Revenue</x:v>
      </x:c>
      <x:c r="E52" s="9" t="n">
        <x:v>40</x:v>
      </x:c>
      <x:c r="F52" s="7" t="n">
        <x:v>1602531.23</x:v>
      </x:c>
    </x:row>
    <x:row r="53">
      <x:c r="A53" s="6" t="n">
        <x:v>45108</x:v>
      </x:c>
      <x:c r="B53" s="5" t="str">
        <x:v>Actual</x:v>
      </x:c>
      <x:c r="C53" s="5" t="str">
        <x:v>Cost of Services</x:v>
      </x:c>
      <x:c r="D53" s="5" t="str">
        <x:v>Cost of Revenue</x:v>
      </x:c>
      <x:c r="E53" s="9" t="n">
        <x:v>60</x:v>
      </x:c>
      <x:c r="F53" s="7" t="n">
        <x:v>1134340.45</x:v>
      </x:c>
    </x:row>
    <x:row r="54">
      <x:c r="A54" s="6" t="n">
        <x:v>45108</x:v>
      </x:c>
      <x:c r="B54" s="5" t="str">
        <x:v>Actual</x:v>
      </x:c>
      <x:c r="C54" s="5" t="str">
        <x:v>Sales &amp; Marketing</x:v>
      </x:c>
      <x:c r="D54" s="5" t="str">
        <x:v>Operating Expense</x:v>
      </x:c>
      <x:c r="E54" s="9" t="n">
        <x:v>100</x:v>
      </x:c>
      <x:c r="F54" s="7" t="n">
        <x:v>1797504.58</x:v>
      </x:c>
    </x:row>
    <x:row r="55">
      <x:c r="A55" s="6" t="n">
        <x:v>45108</x:v>
      </x:c>
      <x:c r="B55" s="5" t="str">
        <x:v>Actual</x:v>
      </x:c>
      <x:c r="C55" s="5" t="str">
        <x:v>Research &amp; Development</x:v>
      </x:c>
      <x:c r="D55" s="5" t="str">
        <x:v>Operating Expense</x:v>
      </x:c>
      <x:c r="E55" s="9" t="n">
        <x:v>140</x:v>
      </x:c>
      <x:c r="F55" s="7" t="n">
        <x:v>1955638.03</x:v>
      </x:c>
    </x:row>
    <x:row r="56">
      <x:c r="A56" s="6" t="n">
        <x:v>45108</x:v>
      </x:c>
      <x:c r="B56" s="5" t="str">
        <x:v>Actual</x:v>
      </x:c>
      <x:c r="C56" s="5" t="str">
        <x:v>General &amp; Administrative</x:v>
      </x:c>
      <x:c r="D56" s="5" t="str">
        <x:v>Operating Expense</x:v>
      </x:c>
      <x:c r="E56" s="9" t="n">
        <x:v>160</x:v>
      </x:c>
      <x:c r="F56" s="7" t="n">
        <x:v>1302038.06</x:v>
      </x:c>
    </x:row>
    <x:row r="57">
      <x:c r="A57" s="6" t="n">
        <x:v>45108</x:v>
      </x:c>
      <x:c r="B57" s="5" t="str">
        <x:v>Actual</x:v>
      </x:c>
      <x:c r="C57" s="5" t="str">
        <x:v>Depreciation &amp; Amortization</x:v>
      </x:c>
      <x:c r="D57" s="5" t="str">
        <x:v>D&amp;A</x:v>
      </x:c>
      <x:c r="E57" s="9" t="n">
        <x:v>230</x:v>
      </x:c>
      <x:c r="F57" s="7" t="n">
        <x:v>140166.17</x:v>
      </x:c>
    </x:row>
    <x:row r="58">
      <x:c r="A58" s="6" t="n">
        <x:v>45139</x:v>
      </x:c>
      <x:c r="B58" s="5" t="str">
        <x:v>Actual</x:v>
      </x:c>
      <x:c r="C58" s="5" t="str">
        <x:v>Subscription Revenue</x:v>
      </x:c>
      <x:c r="D58" s="5" t="str">
        <x:v>Revenue</x:v>
      </x:c>
      <x:c r="E58" s="9" t="n">
        <x:v>10</x:v>
      </x:c>
      <x:c r="F58" s="7" t="n">
        <x:v>6645610.7</x:v>
      </x:c>
    </x:row>
    <x:row r="59">
      <x:c r="A59" s="6" t="n">
        <x:v>45139</x:v>
      </x:c>
      <x:c r="B59" s="5" t="str">
        <x:v>Actual</x:v>
      </x:c>
      <x:c r="C59" s="5" t="str">
        <x:v>Professional Services Revenue</x:v>
      </x:c>
      <x:c r="D59" s="5" t="str">
        <x:v>Revenue</x:v>
      </x:c>
      <x:c r="E59" s="9" t="n">
        <x:v>20</x:v>
      </x:c>
      <x:c r="F59" s="7" t="n">
        <x:v>1145225.13</x:v>
      </x:c>
    </x:row>
    <x:row r="60">
      <x:c r="A60" s="6" t="n">
        <x:v>45139</x:v>
      </x:c>
      <x:c r="B60" s="5" t="str">
        <x:v>Actual</x:v>
      </x:c>
      <x:c r="C60" s="5" t="str">
        <x:v>Cost of Subscription</x:v>
      </x:c>
      <x:c r="D60" s="5" t="str">
        <x:v>Cost of Revenue</x:v>
      </x:c>
      <x:c r="E60" s="9" t="n">
        <x:v>40</x:v>
      </x:c>
      <x:c r="F60" s="7" t="n">
        <x:v>1632728.98</x:v>
      </x:c>
    </x:row>
    <x:row r="61">
      <x:c r="A61" s="6" t="n">
        <x:v>45139</x:v>
      </x:c>
      <x:c r="B61" s="5" t="str">
        <x:v>Actual</x:v>
      </x:c>
      <x:c r="C61" s="5" t="str">
        <x:v>Cost of Services</x:v>
      </x:c>
      <x:c r="D61" s="5" t="str">
        <x:v>Cost of Revenue</x:v>
      </x:c>
      <x:c r="E61" s="9" t="n">
        <x:v>60</x:v>
      </x:c>
      <x:c r="F61" s="7" t="n">
        <x:v>1117931.36</x:v>
      </x:c>
    </x:row>
    <x:row r="62">
      <x:c r="A62" s="6" t="n">
        <x:v>45139</x:v>
      </x:c>
      <x:c r="B62" s="5" t="str">
        <x:v>Actual</x:v>
      </x:c>
      <x:c r="C62" s="5" t="str">
        <x:v>Sales &amp; Marketing</x:v>
      </x:c>
      <x:c r="D62" s="5" t="str">
        <x:v>Operating Expense</x:v>
      </x:c>
      <x:c r="E62" s="9" t="n">
        <x:v>100</x:v>
      </x:c>
      <x:c r="F62" s="7" t="n">
        <x:v>1825378.16</x:v>
      </x:c>
    </x:row>
    <x:row r="63">
      <x:c r="A63" s="6" t="n">
        <x:v>45139</x:v>
      </x:c>
      <x:c r="B63" s="5" t="str">
        <x:v>Actual</x:v>
      </x:c>
      <x:c r="C63" s="5" t="str">
        <x:v>Research &amp; Development</x:v>
      </x:c>
      <x:c r="D63" s="5" t="str">
        <x:v>Operating Expense</x:v>
      </x:c>
      <x:c r="E63" s="9" t="n">
        <x:v>140</x:v>
      </x:c>
      <x:c r="F63" s="7" t="n">
        <x:v>1934952.07</x:v>
      </x:c>
    </x:row>
    <x:row r="64">
      <x:c r="A64" s="6" t="n">
        <x:v>45139</x:v>
      </x:c>
      <x:c r="B64" s="5" t="str">
        <x:v>Actual</x:v>
      </x:c>
      <x:c r="C64" s="5" t="str">
        <x:v>General &amp; Administrative</x:v>
      </x:c>
      <x:c r="D64" s="5" t="str">
        <x:v>Operating Expense</x:v>
      </x:c>
      <x:c r="E64" s="9" t="n">
        <x:v>160</x:v>
      </x:c>
      <x:c r="F64" s="7" t="n">
        <x:v>1372611.22</x:v>
      </x:c>
    </x:row>
    <x:row r="65">
      <x:c r="A65" s="6" t="n">
        <x:v>45139</x:v>
      </x:c>
      <x:c r="B65" s="5" t="str">
        <x:v>Actual</x:v>
      </x:c>
      <x:c r="C65" s="5" t="str">
        <x:v>Depreciation &amp; Amortization</x:v>
      </x:c>
      <x:c r="D65" s="5" t="str">
        <x:v>D&amp;A</x:v>
      </x:c>
      <x:c r="E65" s="9" t="n">
        <x:v>230</x:v>
      </x:c>
      <x:c r="F65" s="7" t="n">
        <x:v>140235.04</x:v>
      </x:c>
    </x:row>
    <x:row r="66">
      <x:c r="A66" s="6" t="n">
        <x:v>45170</x:v>
      </x:c>
      <x:c r="B66" s="5" t="str">
        <x:v>Actual</x:v>
      </x:c>
      <x:c r="C66" s="5" t="str">
        <x:v>Subscription Revenue</x:v>
      </x:c>
      <x:c r="D66" s="5" t="str">
        <x:v>Revenue</x:v>
      </x:c>
      <x:c r="E66" s="9" t="n">
        <x:v>10</x:v>
      </x:c>
      <x:c r="F66" s="7" t="n">
        <x:v>6832292.56</x:v>
      </x:c>
    </x:row>
    <x:row r="67">
      <x:c r="A67" s="6" t="n">
        <x:v>45170</x:v>
      </x:c>
      <x:c r="B67" s="5" t="str">
        <x:v>Actual</x:v>
      </x:c>
      <x:c r="C67" s="5" t="str">
        <x:v>Professional Services Revenue</x:v>
      </x:c>
      <x:c r="D67" s="5" t="str">
        <x:v>Revenue</x:v>
      </x:c>
      <x:c r="E67" s="9" t="n">
        <x:v>20</x:v>
      </x:c>
      <x:c r="F67" s="7" t="n">
        <x:v>1245083.06</x:v>
      </x:c>
    </x:row>
    <x:row r="68">
      <x:c r="A68" s="6" t="n">
        <x:v>45170</x:v>
      </x:c>
      <x:c r="B68" s="5" t="str">
        <x:v>Actual</x:v>
      </x:c>
      <x:c r="C68" s="5" t="str">
        <x:v>Cost of Subscription</x:v>
      </x:c>
      <x:c r="D68" s="5" t="str">
        <x:v>Cost of Revenue</x:v>
      </x:c>
      <x:c r="E68" s="9" t="n">
        <x:v>40</x:v>
      </x:c>
      <x:c r="F68" s="7" t="n">
        <x:v>1660211.98</x:v>
      </x:c>
    </x:row>
    <x:row r="69">
      <x:c r="A69" s="6" t="n">
        <x:v>45170</x:v>
      </x:c>
      <x:c r="B69" s="5" t="str">
        <x:v>Actual</x:v>
      </x:c>
      <x:c r="C69" s="5" t="str">
        <x:v>Cost of Services</x:v>
      </x:c>
      <x:c r="D69" s="5" t="str">
        <x:v>Cost of Revenue</x:v>
      </x:c>
      <x:c r="E69" s="9" t="n">
        <x:v>60</x:v>
      </x:c>
      <x:c r="F69" s="7" t="n">
        <x:v>1154558.11</x:v>
      </x:c>
    </x:row>
    <x:row r="70">
      <x:c r="A70" s="6" t="n">
        <x:v>45170</x:v>
      </x:c>
      <x:c r="B70" s="5" t="str">
        <x:v>Actual</x:v>
      </x:c>
      <x:c r="C70" s="5" t="str">
        <x:v>Sales &amp; Marketing</x:v>
      </x:c>
      <x:c r="D70" s="5" t="str">
        <x:v>Operating Expense</x:v>
      </x:c>
      <x:c r="E70" s="9" t="n">
        <x:v>100</x:v>
      </x:c>
      <x:c r="F70" s="7" t="n">
        <x:v>1843170.23</x:v>
      </x:c>
    </x:row>
    <x:row r="71">
      <x:c r="A71" s="6" t="n">
        <x:v>45170</x:v>
      </x:c>
      <x:c r="B71" s="5" t="str">
        <x:v>Actual</x:v>
      </x:c>
      <x:c r="C71" s="5" t="str">
        <x:v>Research &amp; Development</x:v>
      </x:c>
      <x:c r="D71" s="5" t="str">
        <x:v>Operating Expense</x:v>
      </x:c>
      <x:c r="E71" s="9" t="n">
        <x:v>140</x:v>
      </x:c>
      <x:c r="F71" s="7" t="n">
        <x:v>1935792.15</x:v>
      </x:c>
    </x:row>
    <x:row r="72">
      <x:c r="A72" s="6" t="n">
        <x:v>45170</x:v>
      </x:c>
      <x:c r="B72" s="5" t="str">
        <x:v>Actual</x:v>
      </x:c>
      <x:c r="C72" s="5" t="str">
        <x:v>General &amp; Administrative</x:v>
      </x:c>
      <x:c r="D72" s="5" t="str">
        <x:v>Operating Expense</x:v>
      </x:c>
      <x:c r="E72" s="9" t="n">
        <x:v>160</x:v>
      </x:c>
      <x:c r="F72" s="7" t="n">
        <x:v>1394020.74</x:v>
      </x:c>
    </x:row>
    <x:row r="73">
      <x:c r="A73" s="6" t="n">
        <x:v>45170</x:v>
      </x:c>
      <x:c r="B73" s="5" t="str">
        <x:v>Actual</x:v>
      </x:c>
      <x:c r="C73" s="5" t="str">
        <x:v>Depreciation &amp; Amortization</x:v>
      </x:c>
      <x:c r="D73" s="5" t="str">
        <x:v>D&amp;A</x:v>
      </x:c>
      <x:c r="E73" s="9" t="n">
        <x:v>230</x:v>
      </x:c>
      <x:c r="F73" s="7" t="n">
        <x:v>145392.76</x:v>
      </x:c>
    </x:row>
    <x:row r="74">
      <x:c r="A74" s="6" t="n">
        <x:v>45200</x:v>
      </x:c>
      <x:c r="B74" s="5" t="str">
        <x:v>Actual</x:v>
      </x:c>
      <x:c r="C74" s="5" t="str">
        <x:v>Subscription Revenue</x:v>
      </x:c>
      <x:c r="D74" s="5" t="str">
        <x:v>Revenue</x:v>
      </x:c>
      <x:c r="E74" s="9" t="n">
        <x:v>10</x:v>
      </x:c>
      <x:c r="F74" s="7" t="n">
        <x:v>7030242.72</x:v>
      </x:c>
    </x:row>
    <x:row r="75">
      <x:c r="A75" s="6" t="n">
        <x:v>45200</x:v>
      </x:c>
      <x:c r="B75" s="5" t="str">
        <x:v>Actual</x:v>
      </x:c>
      <x:c r="C75" s="5" t="str">
        <x:v>Professional Services Revenue</x:v>
      </x:c>
      <x:c r="D75" s="5" t="str">
        <x:v>Revenue</x:v>
      </x:c>
      <x:c r="E75" s="9" t="n">
        <x:v>20</x:v>
      </x:c>
      <x:c r="F75" s="7" t="n">
        <x:v>1279628.24</x:v>
      </x:c>
    </x:row>
    <x:row r="76">
      <x:c r="A76" s="6" t="n">
        <x:v>45200</x:v>
      </x:c>
      <x:c r="B76" s="5" t="str">
        <x:v>Actual</x:v>
      </x:c>
      <x:c r="C76" s="5" t="str">
        <x:v>Cost of Subscription</x:v>
      </x:c>
      <x:c r="D76" s="5" t="str">
        <x:v>Cost of Revenue</x:v>
      </x:c>
      <x:c r="E76" s="9" t="n">
        <x:v>40</x:v>
      </x:c>
      <x:c r="F76" s="7" t="n">
        <x:v>1690939.22</x:v>
      </x:c>
    </x:row>
    <x:row r="77">
      <x:c r="A77" s="6" t="n">
        <x:v>45200</x:v>
      </x:c>
      <x:c r="B77" s="5" t="str">
        <x:v>Actual</x:v>
      </x:c>
      <x:c r="C77" s="5" t="str">
        <x:v>Cost of Services</x:v>
      </x:c>
      <x:c r="D77" s="5" t="str">
        <x:v>Cost of Revenue</x:v>
      </x:c>
      <x:c r="E77" s="9" t="n">
        <x:v>60</x:v>
      </x:c>
      <x:c r="F77" s="7" t="n">
        <x:v>1162149.09</x:v>
      </x:c>
    </x:row>
    <x:row r="78">
      <x:c r="A78" s="6" t="n">
        <x:v>45200</x:v>
      </x:c>
      <x:c r="B78" s="5" t="str">
        <x:v>Actual</x:v>
      </x:c>
      <x:c r="C78" s="5" t="str">
        <x:v>Sales &amp; Marketing</x:v>
      </x:c>
      <x:c r="D78" s="5" t="str">
        <x:v>Operating Expense</x:v>
      </x:c>
      <x:c r="E78" s="9" t="n">
        <x:v>100</x:v>
      </x:c>
      <x:c r="F78" s="7" t="n">
        <x:v>1953721.7</x:v>
      </x:c>
    </x:row>
    <x:row r="79">
      <x:c r="A79" s="6" t="n">
        <x:v>45200</x:v>
      </x:c>
      <x:c r="B79" s="5" t="str">
        <x:v>Actual</x:v>
      </x:c>
      <x:c r="C79" s="5" t="str">
        <x:v>Research &amp; Development</x:v>
      </x:c>
      <x:c r="D79" s="5" t="str">
        <x:v>Operating Expense</x:v>
      </x:c>
      <x:c r="E79" s="9" t="n">
        <x:v>140</x:v>
      </x:c>
      <x:c r="F79" s="7" t="n">
        <x:v>1987898.72</x:v>
      </x:c>
    </x:row>
    <x:row r="80">
      <x:c r="A80" s="6" t="n">
        <x:v>45200</x:v>
      </x:c>
      <x:c r="B80" s="5" t="str">
        <x:v>Actual</x:v>
      </x:c>
      <x:c r="C80" s="5" t="str">
        <x:v>General &amp; Administrative</x:v>
      </x:c>
      <x:c r="D80" s="5" t="str">
        <x:v>Operating Expense</x:v>
      </x:c>
      <x:c r="E80" s="9" t="n">
        <x:v>160</x:v>
      </x:c>
      <x:c r="F80" s="7" t="n">
        <x:v>1357805.67</x:v>
      </x:c>
    </x:row>
    <x:row r="81">
      <x:c r="A81" s="6" t="n">
        <x:v>45200</x:v>
      </x:c>
      <x:c r="B81" s="5" t="str">
        <x:v>Actual</x:v>
      </x:c>
      <x:c r="C81" s="5" t="str">
        <x:v>Depreciation &amp; Amortization</x:v>
      </x:c>
      <x:c r="D81" s="5" t="str">
        <x:v>D&amp;A</x:v>
      </x:c>
      <x:c r="E81" s="9" t="n">
        <x:v>230</x:v>
      </x:c>
      <x:c r="F81" s="7" t="n">
        <x:v>149577.68</x:v>
      </x:c>
    </x:row>
    <x:row r="82">
      <x:c r="A82" s="6" t="n">
        <x:v>45231</x:v>
      </x:c>
      <x:c r="B82" s="5" t="str">
        <x:v>Actual</x:v>
      </x:c>
      <x:c r="C82" s="5" t="str">
        <x:v>Subscription Revenue</x:v>
      </x:c>
      <x:c r="D82" s="5" t="str">
        <x:v>Revenue</x:v>
      </x:c>
      <x:c r="E82" s="9" t="n">
        <x:v>10</x:v>
      </x:c>
      <x:c r="F82" s="7" t="n">
        <x:v>7167468.12</x:v>
      </x:c>
    </x:row>
    <x:row r="83">
      <x:c r="A83" s="6" t="n">
        <x:v>45231</x:v>
      </x:c>
      <x:c r="B83" s="5" t="str">
        <x:v>Actual</x:v>
      </x:c>
      <x:c r="C83" s="5" t="str">
        <x:v>Professional Services Revenue</x:v>
      </x:c>
      <x:c r="D83" s="5" t="str">
        <x:v>Revenue</x:v>
      </x:c>
      <x:c r="E83" s="9" t="n">
        <x:v>20</x:v>
      </x:c>
      <x:c r="F83" s="7" t="n">
        <x:v>1362012.25</x:v>
      </x:c>
    </x:row>
    <x:row r="84">
      <x:c r="A84" s="6" t="n">
        <x:v>45231</x:v>
      </x:c>
      <x:c r="B84" s="5" t="str">
        <x:v>Actual</x:v>
      </x:c>
      <x:c r="C84" s="5" t="str">
        <x:v>Cost of Subscription</x:v>
      </x:c>
      <x:c r="D84" s="5" t="str">
        <x:v>Cost of Revenue</x:v>
      </x:c>
      <x:c r="E84" s="9" t="n">
        <x:v>40</x:v>
      </x:c>
      <x:c r="F84" s="7" t="n">
        <x:v>1704208.9</x:v>
      </x:c>
    </x:row>
    <x:row r="85">
      <x:c r="A85" s="6" t="n">
        <x:v>45231</x:v>
      </x:c>
      <x:c r="B85" s="5" t="str">
        <x:v>Actual</x:v>
      </x:c>
      <x:c r="C85" s="5" t="str">
        <x:v>Cost of Services</x:v>
      </x:c>
      <x:c r="D85" s="5" t="str">
        <x:v>Cost of Revenue</x:v>
      </x:c>
      <x:c r="E85" s="9" t="n">
        <x:v>60</x:v>
      </x:c>
      <x:c r="F85" s="7" t="n">
        <x:v>1165649.51</x:v>
      </x:c>
    </x:row>
    <x:row r="86">
      <x:c r="A86" s="6" t="n">
        <x:v>45231</x:v>
      </x:c>
      <x:c r="B86" s="5" t="str">
        <x:v>Actual</x:v>
      </x:c>
      <x:c r="C86" s="5" t="str">
        <x:v>Sales &amp; Marketing</x:v>
      </x:c>
      <x:c r="D86" s="5" t="str">
        <x:v>Operating Expense</x:v>
      </x:c>
      <x:c r="E86" s="9" t="n">
        <x:v>100</x:v>
      </x:c>
      <x:c r="F86" s="7" t="n">
        <x:v>1997134.43</x:v>
      </x:c>
    </x:row>
    <x:row r="87">
      <x:c r="A87" s="6" t="n">
        <x:v>45231</x:v>
      </x:c>
      <x:c r="B87" s="5" t="str">
        <x:v>Actual</x:v>
      </x:c>
      <x:c r="C87" s="5" t="str">
        <x:v>Research &amp; Development</x:v>
      </x:c>
      <x:c r="D87" s="5" t="str">
        <x:v>Operating Expense</x:v>
      </x:c>
      <x:c r="E87" s="9" t="n">
        <x:v>140</x:v>
      </x:c>
      <x:c r="F87" s="7" t="n">
        <x:v>1968070.76</x:v>
      </x:c>
    </x:row>
    <x:row r="88">
      <x:c r="A88" s="6" t="n">
        <x:v>45231</x:v>
      </x:c>
      <x:c r="B88" s="5" t="str">
        <x:v>Actual</x:v>
      </x:c>
      <x:c r="C88" s="5" t="str">
        <x:v>General &amp; Administrative</x:v>
      </x:c>
      <x:c r="D88" s="5" t="str">
        <x:v>Operating Expense</x:v>
      </x:c>
      <x:c r="E88" s="9" t="n">
        <x:v>160</x:v>
      </x:c>
      <x:c r="F88" s="7" t="n">
        <x:v>1398749</x:v>
      </x:c>
    </x:row>
    <x:row r="89">
      <x:c r="A89" s="6" t="n">
        <x:v>45231</x:v>
      </x:c>
      <x:c r="B89" s="5" t="str">
        <x:v>Actual</x:v>
      </x:c>
      <x:c r="C89" s="5" t="str">
        <x:v>Depreciation &amp; Amortization</x:v>
      </x:c>
      <x:c r="D89" s="5" t="str">
        <x:v>D&amp;A</x:v>
      </x:c>
      <x:c r="E89" s="9" t="n">
        <x:v>230</x:v>
      </x:c>
      <x:c r="F89" s="7" t="n">
        <x:v>153530.65</x:v>
      </x:c>
    </x:row>
    <x:row r="90">
      <x:c r="A90" s="6" t="n">
        <x:v>45261</x:v>
      </x:c>
      <x:c r="B90" s="5" t="str">
        <x:v>Actual</x:v>
      </x:c>
      <x:c r="C90" s="5" t="str">
        <x:v>Subscription Revenue</x:v>
      </x:c>
      <x:c r="D90" s="5" t="str">
        <x:v>Revenue</x:v>
      </x:c>
      <x:c r="E90" s="9" t="n">
        <x:v>10</x:v>
      </x:c>
      <x:c r="F90" s="7" t="n">
        <x:v>7278832.59</x:v>
      </x:c>
    </x:row>
    <x:row r="91">
      <x:c r="A91" s="6" t="n">
        <x:v>45261</x:v>
      </x:c>
      <x:c r="B91" s="5" t="str">
        <x:v>Actual</x:v>
      </x:c>
      <x:c r="C91" s="5" t="str">
        <x:v>Professional Services Revenue</x:v>
      </x:c>
      <x:c r="D91" s="5" t="str">
        <x:v>Revenue</x:v>
      </x:c>
      <x:c r="E91" s="9" t="n">
        <x:v>20</x:v>
      </x:c>
      <x:c r="F91" s="7" t="n">
        <x:v>1631241.29</x:v>
      </x:c>
    </x:row>
    <x:row r="92">
      <x:c r="A92" s="6" t="n">
        <x:v>45261</x:v>
      </x:c>
      <x:c r="B92" s="5" t="str">
        <x:v>Actual</x:v>
      </x:c>
      <x:c r="C92" s="5" t="str">
        <x:v>Cost of Subscription</x:v>
      </x:c>
      <x:c r="D92" s="5" t="str">
        <x:v>Cost of Revenue</x:v>
      </x:c>
      <x:c r="E92" s="9" t="n">
        <x:v>40</x:v>
      </x:c>
      <x:c r="F92" s="7" t="n">
        <x:v>1723799.73</x:v>
      </x:c>
    </x:row>
    <x:row r="93">
      <x:c r="A93" s="6" t="n">
        <x:v>45261</x:v>
      </x:c>
      <x:c r="B93" s="5" t="str">
        <x:v>Actual</x:v>
      </x:c>
      <x:c r="C93" s="5" t="str">
        <x:v>Cost of Services</x:v>
      </x:c>
      <x:c r="D93" s="5" t="str">
        <x:v>Cost of Revenue</x:v>
      </x:c>
      <x:c r="E93" s="9" t="n">
        <x:v>60</x:v>
      </x:c>
      <x:c r="F93" s="7" t="n">
        <x:v>1159067.08</x:v>
      </x:c>
    </x:row>
    <x:row r="94">
      <x:c r="A94" s="6" t="n">
        <x:v>45261</x:v>
      </x:c>
      <x:c r="B94" s="5" t="str">
        <x:v>Actual</x:v>
      </x:c>
      <x:c r="C94" s="5" t="str">
        <x:v>Sales &amp; Marketing</x:v>
      </x:c>
      <x:c r="D94" s="5" t="str">
        <x:v>Operating Expense</x:v>
      </x:c>
      <x:c r="E94" s="9" t="n">
        <x:v>100</x:v>
      </x:c>
      <x:c r="F94" s="7" t="n">
        <x:v>2040742.01</x:v>
      </x:c>
    </x:row>
    <x:row r="95">
      <x:c r="A95" s="6" t="n">
        <x:v>45261</x:v>
      </x:c>
      <x:c r="B95" s="5" t="str">
        <x:v>Actual</x:v>
      </x:c>
      <x:c r="C95" s="5" t="str">
        <x:v>Research &amp; Development</x:v>
      </x:c>
      <x:c r="D95" s="5" t="str">
        <x:v>Operating Expense</x:v>
      </x:c>
      <x:c r="E95" s="9" t="n">
        <x:v>140</x:v>
      </x:c>
      <x:c r="F95" s="7" t="n">
        <x:v>1991197.44</x:v>
      </x:c>
    </x:row>
    <x:row r="96">
      <x:c r="A96" s="6" t="n">
        <x:v>45261</x:v>
      </x:c>
      <x:c r="B96" s="5" t="str">
        <x:v>Actual</x:v>
      </x:c>
      <x:c r="C96" s="5" t="str">
        <x:v>General &amp; Administrative</x:v>
      </x:c>
      <x:c r="D96" s="5" t="str">
        <x:v>Operating Expense</x:v>
      </x:c>
      <x:c r="E96" s="9" t="n">
        <x:v>160</x:v>
      </x:c>
      <x:c r="F96" s="7" t="n">
        <x:v>1379912.75</x:v>
      </x:c>
    </x:row>
    <x:row r="97">
      <x:c r="A97" s="6" t="n">
        <x:v>45261</x:v>
      </x:c>
      <x:c r="B97" s="5" t="str">
        <x:v>Actual</x:v>
      </x:c>
      <x:c r="C97" s="5" t="str">
        <x:v>Depreciation &amp; Amortization</x:v>
      </x:c>
      <x:c r="D97" s="5" t="str">
        <x:v>D&amp;A</x:v>
      </x:c>
      <x:c r="E97" s="9" t="n">
        <x:v>230</x:v>
      </x:c>
      <x:c r="F97" s="7" t="n">
        <x:v>160381.33</x:v>
      </x:c>
    </x:row>
    <x:row r="98">
      <x:c r="A98" s="6" t="n">
        <x:v>45292</x:v>
      </x:c>
      <x:c r="B98" s="5" t="str">
        <x:v>Actual</x:v>
      </x:c>
      <x:c r="C98" s="5" t="str">
        <x:v>Subscription Revenue</x:v>
      </x:c>
      <x:c r="D98" s="5" t="str">
        <x:v>Revenue</x:v>
      </x:c>
      <x:c r="E98" s="9" t="n">
        <x:v>10</x:v>
      </x:c>
      <x:c r="F98" s="7" t="n">
        <x:v>7384500.28</x:v>
      </x:c>
    </x:row>
    <x:row r="99">
      <x:c r="A99" s="6" t="n">
        <x:v>45292</x:v>
      </x:c>
      <x:c r="B99" s="5" t="str">
        <x:v>Actual</x:v>
      </x:c>
      <x:c r="C99" s="5" t="str">
        <x:v>Professional Services Revenue</x:v>
      </x:c>
      <x:c r="D99" s="5" t="str">
        <x:v>Revenue</x:v>
      </x:c>
      <x:c r="E99" s="9" t="n">
        <x:v>20</x:v>
      </x:c>
      <x:c r="F99" s="7" t="n">
        <x:v>1721733.36</x:v>
      </x:c>
    </x:row>
    <x:row r="100">
      <x:c r="A100" s="6" t="n">
        <x:v>45292</x:v>
      </x:c>
      <x:c r="B100" s="5" t="str">
        <x:v>Actual</x:v>
      </x:c>
      <x:c r="C100" s="5" t="str">
        <x:v>Cost of Subscription</x:v>
      </x:c>
      <x:c r="D100" s="5" t="str">
        <x:v>Cost of Revenue</x:v>
      </x:c>
      <x:c r="E100" s="9" t="n">
        <x:v>40</x:v>
      </x:c>
      <x:c r="F100" s="7" t="n">
        <x:v>1752303.83</x:v>
      </x:c>
    </x:row>
    <x:row r="101">
      <x:c r="A101" s="6" t="n">
        <x:v>45292</x:v>
      </x:c>
      <x:c r="B101" s="5" t="str">
        <x:v>Actual</x:v>
      </x:c>
      <x:c r="C101" s="5" t="str">
        <x:v>Cost of Services</x:v>
      </x:c>
      <x:c r="D101" s="5" t="str">
        <x:v>Cost of Revenue</x:v>
      </x:c>
      <x:c r="E101" s="9" t="n">
        <x:v>60</x:v>
      </x:c>
      <x:c r="F101" s="7" t="n">
        <x:v>1212223.52</x:v>
      </x:c>
    </x:row>
    <x:row r="102">
      <x:c r="A102" s="6" t="n">
        <x:v>45292</x:v>
      </x:c>
      <x:c r="B102" s="5" t="str">
        <x:v>Actual</x:v>
      </x:c>
      <x:c r="C102" s="5" t="str">
        <x:v>Sales &amp; Marketing</x:v>
      </x:c>
      <x:c r="D102" s="5" t="str">
        <x:v>Operating Expense</x:v>
      </x:c>
      <x:c r="E102" s="9" t="n">
        <x:v>100</x:v>
      </x:c>
      <x:c r="F102" s="7" t="n">
        <x:v>2053955.98</x:v>
      </x:c>
    </x:row>
    <x:row r="103">
      <x:c r="A103" s="6" t="n">
        <x:v>45292</x:v>
      </x:c>
      <x:c r="B103" s="5" t="str">
        <x:v>Actual</x:v>
      </x:c>
      <x:c r="C103" s="5" t="str">
        <x:v>Research &amp; Development</x:v>
      </x:c>
      <x:c r="D103" s="5" t="str">
        <x:v>Operating Expense</x:v>
      </x:c>
      <x:c r="E103" s="9" t="n">
        <x:v>140</x:v>
      </x:c>
      <x:c r="F103" s="7" t="n">
        <x:v>2054087.9</x:v>
      </x:c>
    </x:row>
    <x:row r="104">
      <x:c r="A104" s="6" t="n">
        <x:v>45292</x:v>
      </x:c>
      <x:c r="B104" s="5" t="str">
        <x:v>Actual</x:v>
      </x:c>
      <x:c r="C104" s="5" t="str">
        <x:v>General &amp; Administrative</x:v>
      </x:c>
      <x:c r="D104" s="5" t="str">
        <x:v>Operating Expense</x:v>
      </x:c>
      <x:c r="E104" s="9" t="n">
        <x:v>160</x:v>
      </x:c>
      <x:c r="F104" s="7" t="n">
        <x:v>1444325</x:v>
      </x:c>
    </x:row>
    <x:row r="105">
      <x:c r="A105" s="6" t="n">
        <x:v>45292</x:v>
      </x:c>
      <x:c r="B105" s="5" t="str">
        <x:v>Actual</x:v>
      </x:c>
      <x:c r="C105" s="5" t="str">
        <x:v>Depreciation &amp; Amortization</x:v>
      </x:c>
      <x:c r="D105" s="5" t="str">
        <x:v>D&amp;A</x:v>
      </x:c>
      <x:c r="E105" s="9" t="n">
        <x:v>230</x:v>
      </x:c>
      <x:c r="F105" s="7" t="n">
        <x:v>163912.21</x:v>
      </x:c>
    </x:row>
    <x:row r="106">
      <x:c r="A106" s="6" t="n">
        <x:v>45323</x:v>
      </x:c>
      <x:c r="B106" s="5" t="str">
        <x:v>Actual</x:v>
      </x:c>
      <x:c r="C106" s="5" t="str">
        <x:v>Subscription Revenue</x:v>
      </x:c>
      <x:c r="D106" s="5" t="str">
        <x:v>Revenue</x:v>
      </x:c>
      <x:c r="E106" s="9" t="n">
        <x:v>10</x:v>
      </x:c>
      <x:c r="F106" s="7" t="n">
        <x:v>7461942.88</x:v>
      </x:c>
    </x:row>
    <x:row r="107">
      <x:c r="A107" s="6" t="n">
        <x:v>45323</x:v>
      </x:c>
      <x:c r="B107" s="5" t="str">
        <x:v>Actual</x:v>
      </x:c>
      <x:c r="C107" s="5" t="str">
        <x:v>Professional Services Revenue</x:v>
      </x:c>
      <x:c r="D107" s="5" t="str">
        <x:v>Revenue</x:v>
      </x:c>
      <x:c r="E107" s="9" t="n">
        <x:v>20</x:v>
      </x:c>
      <x:c r="F107" s="7" t="n">
        <x:v>1708665.44</x:v>
      </x:c>
    </x:row>
    <x:row r="108">
      <x:c r="A108" s="6" t="n">
        <x:v>45323</x:v>
      </x:c>
      <x:c r="B108" s="5" t="str">
        <x:v>Actual</x:v>
      </x:c>
      <x:c r="C108" s="5" t="str">
        <x:v>Cost of Subscription</x:v>
      </x:c>
      <x:c r="D108" s="5" t="str">
        <x:v>Cost of Revenue</x:v>
      </x:c>
      <x:c r="E108" s="9" t="n">
        <x:v>40</x:v>
      </x:c>
      <x:c r="F108" s="7" t="n">
        <x:v>1766954.06</x:v>
      </x:c>
    </x:row>
    <x:row r="109">
      <x:c r="A109" s="6" t="n">
        <x:v>45323</x:v>
      </x:c>
      <x:c r="B109" s="5" t="str">
        <x:v>Actual</x:v>
      </x:c>
      <x:c r="C109" s="5" t="str">
        <x:v>Cost of Services</x:v>
      </x:c>
      <x:c r="D109" s="5" t="str">
        <x:v>Cost of Revenue</x:v>
      </x:c>
      <x:c r="E109" s="9" t="n">
        <x:v>60</x:v>
      </x:c>
      <x:c r="F109" s="7" t="n">
        <x:v>1244688.34</x:v>
      </x:c>
    </x:row>
    <x:row r="110">
      <x:c r="A110" s="6" t="n">
        <x:v>45323</x:v>
      </x:c>
      <x:c r="B110" s="5" t="str">
        <x:v>Actual</x:v>
      </x:c>
      <x:c r="C110" s="5" t="str">
        <x:v>Sales &amp; Marketing</x:v>
      </x:c>
      <x:c r="D110" s="5" t="str">
        <x:v>Operating Expense</x:v>
      </x:c>
      <x:c r="E110" s="9" t="n">
        <x:v>100</x:v>
      </x:c>
      <x:c r="F110" s="7" t="n">
        <x:v>2082873.12</x:v>
      </x:c>
    </x:row>
    <x:row r="111">
      <x:c r="A111" s="6" t="n">
        <x:v>45323</x:v>
      </x:c>
      <x:c r="B111" s="5" t="str">
        <x:v>Actual</x:v>
      </x:c>
      <x:c r="C111" s="5" t="str">
        <x:v>Research &amp; Development</x:v>
      </x:c>
      <x:c r="D111" s="5" t="str">
        <x:v>Operating Expense</x:v>
      </x:c>
      <x:c r="E111" s="9" t="n">
        <x:v>140</x:v>
      </x:c>
      <x:c r="F111" s="7" t="n">
        <x:v>2129029.18</x:v>
      </x:c>
    </x:row>
    <x:row r="112">
      <x:c r="A112" s="6" t="n">
        <x:v>45323</x:v>
      </x:c>
      <x:c r="B112" s="5" t="str">
        <x:v>Actual</x:v>
      </x:c>
      <x:c r="C112" s="5" t="str">
        <x:v>General &amp; Administrative</x:v>
      </x:c>
      <x:c r="D112" s="5" t="str">
        <x:v>Operating Expense</x:v>
      </x:c>
      <x:c r="E112" s="9" t="n">
        <x:v>160</x:v>
      </x:c>
      <x:c r="F112" s="7" t="n">
        <x:v>1532062.52</x:v>
      </x:c>
    </x:row>
    <x:row r="113">
      <x:c r="A113" s="6" t="n">
        <x:v>45323</x:v>
      </x:c>
      <x:c r="B113" s="5" t="str">
        <x:v>Actual</x:v>
      </x:c>
      <x:c r="C113" s="5" t="str">
        <x:v>Depreciation &amp; Amortization</x:v>
      </x:c>
      <x:c r="D113" s="5" t="str">
        <x:v>D&amp;A</x:v>
      </x:c>
      <x:c r="E113" s="9" t="n">
        <x:v>230</x:v>
      </x:c>
      <x:c r="F113" s="7" t="n">
        <x:v>165070.95</x:v>
      </x:c>
    </x:row>
    <x:row r="114">
      <x:c r="A114" s="6" t="n">
        <x:v>45352</x:v>
      </x:c>
      <x:c r="B114" s="5" t="str">
        <x:v>Actual</x:v>
      </x:c>
      <x:c r="C114" s="5" t="str">
        <x:v>Subscription Revenue</x:v>
      </x:c>
      <x:c r="D114" s="5" t="str">
        <x:v>Revenue</x:v>
      </x:c>
      <x:c r="E114" s="9" t="n">
        <x:v>10</x:v>
      </x:c>
      <x:c r="F114" s="7" t="n">
        <x:v>7554969.25</x:v>
      </x:c>
    </x:row>
    <x:row r="115">
      <x:c r="A115" s="6" t="n">
        <x:v>45352</x:v>
      </x:c>
      <x:c r="B115" s="5" t="str">
        <x:v>Actual</x:v>
      </x:c>
      <x:c r="C115" s="5" t="str">
        <x:v>Professional Services Revenue</x:v>
      </x:c>
      <x:c r="D115" s="5" t="str">
        <x:v>Revenue</x:v>
      </x:c>
      <x:c r="E115" s="9" t="n">
        <x:v>20</x:v>
      </x:c>
      <x:c r="F115" s="7" t="n">
        <x:v>1701592.88</x:v>
      </x:c>
    </x:row>
    <x:row r="116">
      <x:c r="A116" s="6" t="n">
        <x:v>45352</x:v>
      </x:c>
      <x:c r="B116" s="5" t="str">
        <x:v>Actual</x:v>
      </x:c>
      <x:c r="C116" s="5" t="str">
        <x:v>Cost of Subscription</x:v>
      </x:c>
      <x:c r="D116" s="5" t="str">
        <x:v>Cost of Revenue</x:v>
      </x:c>
      <x:c r="E116" s="9" t="n">
        <x:v>40</x:v>
      </x:c>
      <x:c r="F116" s="7" t="n">
        <x:v>1781501.52</x:v>
      </x:c>
    </x:row>
    <x:row r="117">
      <x:c r="A117" s="6" t="n">
        <x:v>45352</x:v>
      </x:c>
      <x:c r="B117" s="5" t="str">
        <x:v>Actual</x:v>
      </x:c>
      <x:c r="C117" s="5" t="str">
        <x:v>Cost of Services</x:v>
      </x:c>
      <x:c r="D117" s="5" t="str">
        <x:v>Cost of Revenue</x:v>
      </x:c>
      <x:c r="E117" s="9" t="n">
        <x:v>60</x:v>
      </x:c>
      <x:c r="F117" s="7" t="n">
        <x:v>1245594.87</x:v>
      </x:c>
    </x:row>
    <x:row r="118">
      <x:c r="A118" s="6" t="n">
        <x:v>45352</x:v>
      </x:c>
      <x:c r="B118" s="5" t="str">
        <x:v>Actual</x:v>
      </x:c>
      <x:c r="C118" s="5" t="str">
        <x:v>Sales &amp; Marketing</x:v>
      </x:c>
      <x:c r="D118" s="5" t="str">
        <x:v>Operating Expense</x:v>
      </x:c>
      <x:c r="E118" s="9" t="n">
        <x:v>100</x:v>
      </x:c>
      <x:c r="F118" s="7" t="n">
        <x:v>2138676.78</x:v>
      </x:c>
    </x:row>
    <x:row r="119">
      <x:c r="A119" s="6" t="n">
        <x:v>45352</x:v>
      </x:c>
      <x:c r="B119" s="5" t="str">
        <x:v>Actual</x:v>
      </x:c>
      <x:c r="C119" s="5" t="str">
        <x:v>Research &amp; Development</x:v>
      </x:c>
      <x:c r="D119" s="5" t="str">
        <x:v>Operating Expense</x:v>
      </x:c>
      <x:c r="E119" s="9" t="n">
        <x:v>140</x:v>
      </x:c>
      <x:c r="F119" s="7" t="n">
        <x:v>2170862.77</x:v>
      </x:c>
    </x:row>
    <x:row r="120">
      <x:c r="A120" s="6" t="n">
        <x:v>45352</x:v>
      </x:c>
      <x:c r="B120" s="5" t="str">
        <x:v>Actual</x:v>
      </x:c>
      <x:c r="C120" s="5" t="str">
        <x:v>General &amp; Administrative</x:v>
      </x:c>
      <x:c r="D120" s="5" t="str">
        <x:v>Operating Expense</x:v>
      </x:c>
      <x:c r="E120" s="9" t="n">
        <x:v>160</x:v>
      </x:c>
      <x:c r="F120" s="7" t="n">
        <x:v>1560317.59</x:v>
      </x:c>
    </x:row>
    <x:row r="121">
      <x:c r="A121" s="6" t="n">
        <x:v>45352</x:v>
      </x:c>
      <x:c r="B121" s="5" t="str">
        <x:v>Actual</x:v>
      </x:c>
      <x:c r="C121" s="5" t="str">
        <x:v>Depreciation &amp; Amortization</x:v>
      </x:c>
      <x:c r="D121" s="5" t="str">
        <x:v>D&amp;A</x:v>
      </x:c>
      <x:c r="E121" s="9" t="n">
        <x:v>230</x:v>
      </x:c>
      <x:c r="F121" s="7" t="n">
        <x:v>166618.12</x:v>
      </x:c>
    </x:row>
    <x:row r="122">
      <x:c r="A122" s="6" t="n">
        <x:v>45383</x:v>
      </x:c>
      <x:c r="B122" s="5" t="str">
        <x:v>Actual</x:v>
      </x:c>
      <x:c r="C122" s="5" t="str">
        <x:v>Subscription Revenue</x:v>
      </x:c>
      <x:c r="D122" s="5" t="str">
        <x:v>Revenue</x:v>
      </x:c>
      <x:c r="E122" s="9" t="n">
        <x:v>10</x:v>
      </x:c>
      <x:c r="F122" s="7" t="n">
        <x:v>7722654.21</x:v>
      </x:c>
    </x:row>
    <x:row r="123">
      <x:c r="A123" s="6" t="n">
        <x:v>45383</x:v>
      </x:c>
      <x:c r="B123" s="5" t="str">
        <x:v>Actual</x:v>
      </x:c>
      <x:c r="C123" s="5" t="str">
        <x:v>Professional Services Revenue</x:v>
      </x:c>
      <x:c r="D123" s="5" t="str">
        <x:v>Revenue</x:v>
      </x:c>
      <x:c r="E123" s="9" t="n">
        <x:v>20</x:v>
      </x:c>
      <x:c r="F123" s="7" t="n">
        <x:v>1638440.68</x:v>
      </x:c>
    </x:row>
    <x:row r="124">
      <x:c r="A124" s="6" t="n">
        <x:v>45383</x:v>
      </x:c>
      <x:c r="B124" s="5" t="str">
        <x:v>Actual</x:v>
      </x:c>
      <x:c r="C124" s="5" t="str">
        <x:v>Cost of Subscription</x:v>
      </x:c>
      <x:c r="D124" s="5" t="str">
        <x:v>Cost of Revenue</x:v>
      </x:c>
      <x:c r="E124" s="9" t="n">
        <x:v>40</x:v>
      </x:c>
      <x:c r="F124" s="7" t="n">
        <x:v>1796841.67</x:v>
      </x:c>
    </x:row>
    <x:row r="125">
      <x:c r="A125" s="6" t="n">
        <x:v>45383</x:v>
      </x:c>
      <x:c r="B125" s="5" t="str">
        <x:v>Actual</x:v>
      </x:c>
      <x:c r="C125" s="5" t="str">
        <x:v>Cost of Services</x:v>
      </x:c>
      <x:c r="D125" s="5" t="str">
        <x:v>Cost of Revenue</x:v>
      </x:c>
      <x:c r="E125" s="9" t="n">
        <x:v>60</x:v>
      </x:c>
      <x:c r="F125" s="7" t="n">
        <x:v>1224953.98</x:v>
      </x:c>
    </x:row>
    <x:row r="126">
      <x:c r="A126" s="6" t="n">
        <x:v>45383</x:v>
      </x:c>
      <x:c r="B126" s="5" t="str">
        <x:v>Actual</x:v>
      </x:c>
      <x:c r="C126" s="5" t="str">
        <x:v>Sales &amp; Marketing</x:v>
      </x:c>
      <x:c r="D126" s="5" t="str">
        <x:v>Operating Expense</x:v>
      </x:c>
      <x:c r="E126" s="9" t="n">
        <x:v>100</x:v>
      </x:c>
      <x:c r="F126" s="7" t="n">
        <x:v>2086415.05</x:v>
      </x:c>
    </x:row>
    <x:row r="127">
      <x:c r="A127" s="6" t="n">
        <x:v>45383</x:v>
      </x:c>
      <x:c r="B127" s="5" t="str">
        <x:v>Actual</x:v>
      </x:c>
      <x:c r="C127" s="5" t="str">
        <x:v>Research &amp; Development</x:v>
      </x:c>
      <x:c r="D127" s="5" t="str">
        <x:v>Operating Expense</x:v>
      </x:c>
      <x:c r="E127" s="9" t="n">
        <x:v>140</x:v>
      </x:c>
      <x:c r="F127" s="7" t="n">
        <x:v>2225179.38</x:v>
      </x:c>
    </x:row>
    <x:row r="128">
      <x:c r="A128" s="6" t="n">
        <x:v>45383</x:v>
      </x:c>
      <x:c r="B128" s="5" t="str">
        <x:v>Actual</x:v>
      </x:c>
      <x:c r="C128" s="5" t="str">
        <x:v>General &amp; Administrative</x:v>
      </x:c>
      <x:c r="D128" s="5" t="str">
        <x:v>Operating Expense</x:v>
      </x:c>
      <x:c r="E128" s="9" t="n">
        <x:v>160</x:v>
      </x:c>
      <x:c r="F128" s="7" t="n">
        <x:v>1494561.17</x:v>
      </x:c>
    </x:row>
    <x:row r="129">
      <x:c r="A129" s="6" t="n">
        <x:v>45383</x:v>
      </x:c>
      <x:c r="B129" s="5" t="str">
        <x:v>Actual</x:v>
      </x:c>
      <x:c r="C129" s="5" t="str">
        <x:v>Depreciation &amp; Amortization</x:v>
      </x:c>
      <x:c r="D129" s="5" t="str">
        <x:v>D&amp;A</x:v>
      </x:c>
      <x:c r="E129" s="9" t="n">
        <x:v>230</x:v>
      </x:c>
      <x:c r="F129" s="7" t="n">
        <x:v>168499.71</x:v>
      </x:c>
    </x:row>
    <x:row r="130">
      <x:c r="A130" s="6" t="n">
        <x:v>45413</x:v>
      </x:c>
      <x:c r="B130" s="5" t="str">
        <x:v>Actual</x:v>
      </x:c>
      <x:c r="C130" s="5" t="str">
        <x:v>Subscription Revenue</x:v>
      </x:c>
      <x:c r="D130" s="5" t="str">
        <x:v>Revenue</x:v>
      </x:c>
      <x:c r="E130" s="9" t="n">
        <x:v>10</x:v>
      </x:c>
      <x:c r="F130" s="7" t="n">
        <x:v>7880543.63</x:v>
      </x:c>
    </x:row>
    <x:row r="131">
      <x:c r="A131" s="6" t="n">
        <x:v>45413</x:v>
      </x:c>
      <x:c r="B131" s="5" t="str">
        <x:v>Actual</x:v>
      </x:c>
      <x:c r="C131" s="5" t="str">
        <x:v>Professional Services Revenue</x:v>
      </x:c>
      <x:c r="D131" s="5" t="str">
        <x:v>Revenue</x:v>
      </x:c>
      <x:c r="E131" s="9" t="n">
        <x:v>20</x:v>
      </x:c>
      <x:c r="F131" s="7" t="n">
        <x:v>1383491.55</x:v>
      </x:c>
    </x:row>
    <x:row r="132">
      <x:c r="A132" s="6" t="n">
        <x:v>45413</x:v>
      </x:c>
      <x:c r="B132" s="5" t="str">
        <x:v>Actual</x:v>
      </x:c>
      <x:c r="C132" s="5" t="str">
        <x:v>Cost of Subscription</x:v>
      </x:c>
      <x:c r="D132" s="5" t="str">
        <x:v>Cost of Revenue</x:v>
      </x:c>
      <x:c r="E132" s="9" t="n">
        <x:v>40</x:v>
      </x:c>
      <x:c r="F132" s="7" t="n">
        <x:v>1819167.18</x:v>
      </x:c>
    </x:row>
    <x:row r="133">
      <x:c r="A133" s="6" t="n">
        <x:v>45413</x:v>
      </x:c>
      <x:c r="B133" s="5" t="str">
        <x:v>Actual</x:v>
      </x:c>
      <x:c r="C133" s="5" t="str">
        <x:v>Cost of Services</x:v>
      </x:c>
      <x:c r="D133" s="5" t="str">
        <x:v>Cost of Revenue</x:v>
      </x:c>
      <x:c r="E133" s="9" t="n">
        <x:v>60</x:v>
      </x:c>
      <x:c r="F133" s="7" t="n">
        <x:v>1215727.27</x:v>
      </x:c>
    </x:row>
    <x:row r="134">
      <x:c r="A134" s="6" t="n">
        <x:v>45413</x:v>
      </x:c>
      <x:c r="B134" s="5" t="str">
        <x:v>Actual</x:v>
      </x:c>
      <x:c r="C134" s="5" t="str">
        <x:v>Sales &amp; Marketing</x:v>
      </x:c>
      <x:c r="D134" s="5" t="str">
        <x:v>Operating Expense</x:v>
      </x:c>
      <x:c r="E134" s="9" t="n">
        <x:v>100</x:v>
      </x:c>
      <x:c r="F134" s="7" t="n">
        <x:v>2099328.75</x:v>
      </x:c>
    </x:row>
    <x:row r="135">
      <x:c r="A135" s="6" t="n">
        <x:v>45413</x:v>
      </x:c>
      <x:c r="B135" s="5" t="str">
        <x:v>Actual</x:v>
      </x:c>
      <x:c r="C135" s="5" t="str">
        <x:v>Research &amp; Development</x:v>
      </x:c>
      <x:c r="D135" s="5" t="str">
        <x:v>Operating Expense</x:v>
      </x:c>
      <x:c r="E135" s="9" t="n">
        <x:v>140</x:v>
      </x:c>
      <x:c r="F135" s="7" t="n">
        <x:v>2225889.89</x:v>
      </x:c>
    </x:row>
    <x:row r="136">
      <x:c r="A136" s="6" t="n">
        <x:v>45413</x:v>
      </x:c>
      <x:c r="B136" s="5" t="str">
        <x:v>Actual</x:v>
      </x:c>
      <x:c r="C136" s="5" t="str">
        <x:v>General &amp; Administrative</x:v>
      </x:c>
      <x:c r="D136" s="5" t="str">
        <x:v>Operating Expense</x:v>
      </x:c>
      <x:c r="E136" s="9" t="n">
        <x:v>160</x:v>
      </x:c>
      <x:c r="F136" s="7" t="n">
        <x:v>1462746.14</x:v>
      </x:c>
    </x:row>
    <x:row r="137">
      <x:c r="A137" s="6" t="n">
        <x:v>45413</x:v>
      </x:c>
      <x:c r="B137" s="5" t="str">
        <x:v>Actual</x:v>
      </x:c>
      <x:c r="C137" s="5" t="str">
        <x:v>Depreciation &amp; Amortization</x:v>
      </x:c>
      <x:c r="D137" s="5" t="str">
        <x:v>D&amp;A</x:v>
      </x:c>
      <x:c r="E137" s="9" t="n">
        <x:v>230</x:v>
      </x:c>
      <x:c r="F137" s="7" t="n">
        <x:v>166752.63</x:v>
      </x:c>
    </x:row>
    <x:row r="138">
      <x:c r="A138" s="6" t="n">
        <x:v>45444</x:v>
      </x:c>
      <x:c r="B138" s="5" t="str">
        <x:v>Actual</x:v>
      </x:c>
      <x:c r="C138" s="5" t="str">
        <x:v>Subscription Revenue</x:v>
      </x:c>
      <x:c r="D138" s="5" t="str">
        <x:v>Revenue</x:v>
      </x:c>
      <x:c r="E138" s="9" t="n">
        <x:v>10</x:v>
      </x:c>
      <x:c r="F138" s="7" t="n">
        <x:v>7941952.97</x:v>
      </x:c>
    </x:row>
    <x:row r="139">
      <x:c r="A139" s="6" t="n">
        <x:v>45444</x:v>
      </x:c>
      <x:c r="B139" s="5" t="str">
        <x:v>Actual</x:v>
      </x:c>
      <x:c r="C139" s="5" t="str">
        <x:v>Professional Services Revenue</x:v>
      </x:c>
      <x:c r="D139" s="5" t="str">
        <x:v>Revenue</x:v>
      </x:c>
      <x:c r="E139" s="9" t="n">
        <x:v>20</x:v>
      </x:c>
      <x:c r="F139" s="7" t="n">
        <x:v>1668168.85</x:v>
      </x:c>
    </x:row>
    <x:row r="140">
      <x:c r="A140" s="6" t="n">
        <x:v>45444</x:v>
      </x:c>
      <x:c r="B140" s="5" t="str">
        <x:v>Actual</x:v>
      </x:c>
      <x:c r="C140" s="5" t="str">
        <x:v>Cost of Subscription</x:v>
      </x:c>
      <x:c r="D140" s="5" t="str">
        <x:v>Cost of Revenue</x:v>
      </x:c>
      <x:c r="E140" s="9" t="n">
        <x:v>40</x:v>
      </x:c>
      <x:c r="F140" s="7" t="n">
        <x:v>1850096</x:v>
      </x:c>
    </x:row>
    <x:row r="141">
      <x:c r="A141" s="6" t="n">
        <x:v>45444</x:v>
      </x:c>
      <x:c r="B141" s="5" t="str">
        <x:v>Actual</x:v>
      </x:c>
      <x:c r="C141" s="5" t="str">
        <x:v>Cost of Services</x:v>
      </x:c>
      <x:c r="D141" s="5" t="str">
        <x:v>Cost of Revenue</x:v>
      </x:c>
      <x:c r="E141" s="9" t="n">
        <x:v>60</x:v>
      </x:c>
      <x:c r="F141" s="7" t="n">
        <x:v>1256466.19</x:v>
      </x:c>
    </x:row>
    <x:row r="142">
      <x:c r="A142" s="6" t="n">
        <x:v>45444</x:v>
      </x:c>
      <x:c r="B142" s="5" t="str">
        <x:v>Actual</x:v>
      </x:c>
      <x:c r="C142" s="5" t="str">
        <x:v>Sales &amp; Marketing</x:v>
      </x:c>
      <x:c r="D142" s="5" t="str">
        <x:v>Operating Expense</x:v>
      </x:c>
      <x:c r="E142" s="9" t="n">
        <x:v>100</x:v>
      </x:c>
      <x:c r="F142" s="7" t="n">
        <x:v>2120686.33</x:v>
      </x:c>
    </x:row>
    <x:row r="143">
      <x:c r="A143" s="6" t="n">
        <x:v>45444</x:v>
      </x:c>
      <x:c r="B143" s="5" t="str">
        <x:v>Actual</x:v>
      </x:c>
      <x:c r="C143" s="5" t="str">
        <x:v>Research &amp; Development</x:v>
      </x:c>
      <x:c r="D143" s="5" t="str">
        <x:v>Operating Expense</x:v>
      </x:c>
      <x:c r="E143" s="9" t="n">
        <x:v>140</x:v>
      </x:c>
      <x:c r="F143" s="7" t="n">
        <x:v>2197207.65</x:v>
      </x:c>
    </x:row>
    <x:row r="144">
      <x:c r="A144" s="6" t="n">
        <x:v>45444</x:v>
      </x:c>
      <x:c r="B144" s="5" t="str">
        <x:v>Actual</x:v>
      </x:c>
      <x:c r="C144" s="5" t="str">
        <x:v>General &amp; Administrative</x:v>
      </x:c>
      <x:c r="D144" s="5" t="str">
        <x:v>Operating Expense</x:v>
      </x:c>
      <x:c r="E144" s="9" t="n">
        <x:v>160</x:v>
      </x:c>
      <x:c r="F144" s="7" t="n">
        <x:v>1478506.26</x:v>
      </x:c>
    </x:row>
    <x:row r="145">
      <x:c r="A145" s="6" t="n">
        <x:v>45444</x:v>
      </x:c>
      <x:c r="B145" s="5" t="str">
        <x:v>Actual</x:v>
      </x:c>
      <x:c r="C145" s="5" t="str">
        <x:v>Depreciation &amp; Amortization</x:v>
      </x:c>
      <x:c r="D145" s="5" t="str">
        <x:v>D&amp;A</x:v>
      </x:c>
      <x:c r="E145" s="9" t="n">
        <x:v>230</x:v>
      </x:c>
      <x:c r="F145" s="7" t="n">
        <x:v>172982.19</x:v>
      </x:c>
    </x:row>
    <x:row r="146">
      <x:c r="A146" s="6" t="n">
        <x:v>45474</x:v>
      </x:c>
      <x:c r="B146" s="5" t="str">
        <x:v>Actual</x:v>
      </x:c>
      <x:c r="C146" s="5" t="str">
        <x:v>Subscription Revenue</x:v>
      </x:c>
      <x:c r="D146" s="5" t="str">
        <x:v>Revenue</x:v>
      </x:c>
      <x:c r="E146" s="9" t="n">
        <x:v>10</x:v>
      </x:c>
      <x:c r="F146" s="7" t="n">
        <x:v>7968586.68</x:v>
      </x:c>
    </x:row>
    <x:row r="147">
      <x:c r="A147" s="6" t="n">
        <x:v>45474</x:v>
      </x:c>
      <x:c r="B147" s="5" t="str">
        <x:v>Actual</x:v>
      </x:c>
      <x:c r="C147" s="5" t="str">
        <x:v>Professional Services Revenue</x:v>
      </x:c>
      <x:c r="D147" s="5" t="str">
        <x:v>Revenue</x:v>
      </x:c>
      <x:c r="E147" s="9" t="n">
        <x:v>20</x:v>
      </x:c>
      <x:c r="F147" s="7" t="n">
        <x:v>1261593.1</x:v>
      </x:c>
    </x:row>
    <x:row r="148">
      <x:c r="A148" s="6" t="n">
        <x:v>45474</x:v>
      </x:c>
      <x:c r="B148" s="5" t="str">
        <x:v>Actual</x:v>
      </x:c>
      <x:c r="C148" s="5" t="str">
        <x:v>Cost of Subscription</x:v>
      </x:c>
      <x:c r="D148" s="5" t="str">
        <x:v>Cost of Revenue</x:v>
      </x:c>
      <x:c r="E148" s="9" t="n">
        <x:v>40</x:v>
      </x:c>
      <x:c r="F148" s="7" t="n">
        <x:v>1851803.41</x:v>
      </x:c>
    </x:row>
    <x:row r="149">
      <x:c r="A149" s="6" t="n">
        <x:v>45474</x:v>
      </x:c>
      <x:c r="B149" s="5" t="str">
        <x:v>Actual</x:v>
      </x:c>
      <x:c r="C149" s="5" t="str">
        <x:v>Cost of Services</x:v>
      </x:c>
      <x:c r="D149" s="5" t="str">
        <x:v>Cost of Revenue</x:v>
      </x:c>
      <x:c r="E149" s="9" t="n">
        <x:v>60</x:v>
      </x:c>
      <x:c r="F149" s="7" t="n">
        <x:v>1211553.63</x:v>
      </x:c>
    </x:row>
    <x:row r="150">
      <x:c r="A150" s="6" t="n">
        <x:v>45474</x:v>
      </x:c>
      <x:c r="B150" s="5" t="str">
        <x:v>Actual</x:v>
      </x:c>
      <x:c r="C150" s="5" t="str">
        <x:v>Sales &amp; Marketing</x:v>
      </x:c>
      <x:c r="D150" s="5" t="str">
        <x:v>Operating Expense</x:v>
      </x:c>
      <x:c r="E150" s="9" t="n">
        <x:v>100</x:v>
      </x:c>
      <x:c r="F150" s="7" t="n">
        <x:v>2092252.97</x:v>
      </x:c>
    </x:row>
    <x:row r="151">
      <x:c r="A151" s="6" t="n">
        <x:v>45474</x:v>
      </x:c>
      <x:c r="B151" s="5" t="str">
        <x:v>Actual</x:v>
      </x:c>
      <x:c r="C151" s="5" t="str">
        <x:v>Research &amp; Development</x:v>
      </x:c>
      <x:c r="D151" s="5" t="str">
        <x:v>Operating Expense</x:v>
      </x:c>
      <x:c r="E151" s="9" t="n">
        <x:v>140</x:v>
      </x:c>
      <x:c r="F151" s="7" t="n">
        <x:v>2218450.72</x:v>
      </x:c>
    </x:row>
    <x:row r="152">
      <x:c r="A152" s="6" t="n">
        <x:v>45474</x:v>
      </x:c>
      <x:c r="B152" s="5" t="str">
        <x:v>Actual</x:v>
      </x:c>
      <x:c r="C152" s="5" t="str">
        <x:v>General &amp; Administrative</x:v>
      </x:c>
      <x:c r="D152" s="5" t="str">
        <x:v>Operating Expense</x:v>
      </x:c>
      <x:c r="E152" s="9" t="n">
        <x:v>160</x:v>
      </x:c>
      <x:c r="F152" s="7" t="n">
        <x:v>1524751.1</x:v>
      </x:c>
    </x:row>
    <x:row r="153">
      <x:c r="A153" s="6" t="n">
        <x:v>45474</x:v>
      </x:c>
      <x:c r="B153" s="5" t="str">
        <x:v>Actual</x:v>
      </x:c>
      <x:c r="C153" s="5" t="str">
        <x:v>Depreciation &amp; Amortization</x:v>
      </x:c>
      <x:c r="D153" s="5" t="str">
        <x:v>D&amp;A</x:v>
      </x:c>
      <x:c r="E153" s="9" t="n">
        <x:v>230</x:v>
      </x:c>
      <x:c r="F153" s="7" t="n">
        <x:v>166143.24</x:v>
      </x:c>
    </x:row>
    <x:row r="154">
      <x:c r="A154" s="6" t="n">
        <x:v>45505</x:v>
      </x:c>
      <x:c r="B154" s="5" t="str">
        <x:v>Actual</x:v>
      </x:c>
      <x:c r="C154" s="5" t="str">
        <x:v>Subscription Revenue</x:v>
      </x:c>
      <x:c r="D154" s="5" t="str">
        <x:v>Revenue</x:v>
      </x:c>
      <x:c r="E154" s="9" t="n">
        <x:v>10</x:v>
      </x:c>
      <x:c r="F154" s="7" t="n">
        <x:v>8032401.29</x:v>
      </x:c>
    </x:row>
    <x:row r="155">
      <x:c r="A155" s="6" t="n">
        <x:v>45505</x:v>
      </x:c>
      <x:c r="B155" s="5" t="str">
        <x:v>Actual</x:v>
      </x:c>
      <x:c r="C155" s="5" t="str">
        <x:v>Professional Services Revenue</x:v>
      </x:c>
      <x:c r="D155" s="5" t="str">
        <x:v>Revenue</x:v>
      </x:c>
      <x:c r="E155" s="9" t="n">
        <x:v>20</x:v>
      </x:c>
      <x:c r="F155" s="7" t="n">
        <x:v>1493391.75</x:v>
      </x:c>
    </x:row>
    <x:row r="156">
      <x:c r="A156" s="6" t="n">
        <x:v>45505</x:v>
      </x:c>
      <x:c r="B156" s="5" t="str">
        <x:v>Actual</x:v>
      </x:c>
      <x:c r="C156" s="5" t="str">
        <x:v>Cost of Subscription</x:v>
      </x:c>
      <x:c r="D156" s="5" t="str">
        <x:v>Cost of Revenue</x:v>
      </x:c>
      <x:c r="E156" s="9" t="n">
        <x:v>40</x:v>
      </x:c>
      <x:c r="F156" s="7" t="n">
        <x:v>1863877.63</x:v>
      </x:c>
    </x:row>
    <x:row r="157">
      <x:c r="A157" s="6" t="n">
        <x:v>45505</x:v>
      </x:c>
      <x:c r="B157" s="5" t="str">
        <x:v>Actual</x:v>
      </x:c>
      <x:c r="C157" s="5" t="str">
        <x:v>Cost of Services</x:v>
      </x:c>
      <x:c r="D157" s="5" t="str">
        <x:v>Cost of Revenue</x:v>
      </x:c>
      <x:c r="E157" s="9" t="n">
        <x:v>60</x:v>
      </x:c>
      <x:c r="F157" s="7" t="n">
        <x:v>1242843.62</x:v>
      </x:c>
    </x:row>
    <x:row r="158">
      <x:c r="A158" s="6" t="n">
        <x:v>45505</x:v>
      </x:c>
      <x:c r="B158" s="5" t="str">
        <x:v>Actual</x:v>
      </x:c>
      <x:c r="C158" s="5" t="str">
        <x:v>Sales &amp; Marketing</x:v>
      </x:c>
      <x:c r="D158" s="5" t="str">
        <x:v>Operating Expense</x:v>
      </x:c>
      <x:c r="E158" s="9" t="n">
        <x:v>100</x:v>
      </x:c>
      <x:c r="F158" s="7" t="n">
        <x:v>2129894.28</x:v>
      </x:c>
    </x:row>
    <x:row r="159">
      <x:c r="A159" s="6" t="n">
        <x:v>45505</x:v>
      </x:c>
      <x:c r="B159" s="5" t="str">
        <x:v>Actual</x:v>
      </x:c>
      <x:c r="C159" s="5" t="str">
        <x:v>Research &amp; Development</x:v>
      </x:c>
      <x:c r="D159" s="5" t="str">
        <x:v>Operating Expense</x:v>
      </x:c>
      <x:c r="E159" s="9" t="n">
        <x:v>140</x:v>
      </x:c>
      <x:c r="F159" s="7" t="n">
        <x:v>2227465.16</x:v>
      </x:c>
    </x:row>
    <x:row r="160">
      <x:c r="A160" s="6" t="n">
        <x:v>45505</x:v>
      </x:c>
      <x:c r="B160" s="5" t="str">
        <x:v>Actual</x:v>
      </x:c>
      <x:c r="C160" s="5" t="str">
        <x:v>General &amp; Administrative</x:v>
      </x:c>
      <x:c r="D160" s="5" t="str">
        <x:v>Operating Expense</x:v>
      </x:c>
      <x:c r="E160" s="9" t="n">
        <x:v>160</x:v>
      </x:c>
      <x:c r="F160" s="7" t="n">
        <x:v>1515435.07</x:v>
      </x:c>
    </x:row>
    <x:row r="161">
      <x:c r="A161" s="6" t="n">
        <x:v>45505</x:v>
      </x:c>
      <x:c r="B161" s="5" t="str">
        <x:v>Actual</x:v>
      </x:c>
      <x:c r="C161" s="5" t="str">
        <x:v>Depreciation &amp; Amortization</x:v>
      </x:c>
      <x:c r="D161" s="5" t="str">
        <x:v>D&amp;A</x:v>
      </x:c>
      <x:c r="E161" s="9" t="n">
        <x:v>230</x:v>
      </x:c>
      <x:c r="F161" s="7" t="n">
        <x:v>171464.27</x:v>
      </x:c>
    </x:row>
    <x:row r="162">
      <x:c r="A162" s="6" t="n">
        <x:v>45536</x:v>
      </x:c>
      <x:c r="B162" s="5" t="str">
        <x:v>Actual</x:v>
      </x:c>
      <x:c r="C162" s="5" t="str">
        <x:v>Subscription Revenue</x:v>
      </x:c>
      <x:c r="D162" s="5" t="str">
        <x:v>Revenue</x:v>
      </x:c>
      <x:c r="E162" s="9" t="n">
        <x:v>10</x:v>
      </x:c>
      <x:c r="F162" s="7" t="n">
        <x:v>8120991.54</x:v>
      </x:c>
    </x:row>
    <x:row r="163">
      <x:c r="A163" s="6" t="n">
        <x:v>45536</x:v>
      </x:c>
      <x:c r="B163" s="5" t="str">
        <x:v>Actual</x:v>
      </x:c>
      <x:c r="C163" s="5" t="str">
        <x:v>Professional Services Revenue</x:v>
      </x:c>
      <x:c r="D163" s="5" t="str">
        <x:v>Revenue</x:v>
      </x:c>
      <x:c r="E163" s="9" t="n">
        <x:v>20</x:v>
      </x:c>
      <x:c r="F163" s="7" t="n">
        <x:v>1507775.39</x:v>
      </x:c>
    </x:row>
    <x:row r="164">
      <x:c r="A164" s="6" t="n">
        <x:v>45536</x:v>
      </x:c>
      <x:c r="B164" s="5" t="str">
        <x:v>Actual</x:v>
      </x:c>
      <x:c r="C164" s="5" t="str">
        <x:v>Cost of Subscription</x:v>
      </x:c>
      <x:c r="D164" s="5" t="str">
        <x:v>Cost of Revenue</x:v>
      </x:c>
      <x:c r="E164" s="9" t="n">
        <x:v>40</x:v>
      </x:c>
      <x:c r="F164" s="7" t="n">
        <x:v>1875616.11</x:v>
      </x:c>
    </x:row>
    <x:row r="165">
      <x:c r="A165" s="6" t="n">
        <x:v>45536</x:v>
      </x:c>
      <x:c r="B165" s="5" t="str">
        <x:v>Actual</x:v>
      </x:c>
      <x:c r="C165" s="5" t="str">
        <x:v>Cost of Services</x:v>
      </x:c>
      <x:c r="D165" s="5" t="str">
        <x:v>Cost of Revenue</x:v>
      </x:c>
      <x:c r="E165" s="9" t="n">
        <x:v>60</x:v>
      </x:c>
      <x:c r="F165" s="7" t="n">
        <x:v>1223275.59</x:v>
      </x:c>
    </x:row>
    <x:row r="166">
      <x:c r="A166" s="6" t="n">
        <x:v>45536</x:v>
      </x:c>
      <x:c r="B166" s="5" t="str">
        <x:v>Actual</x:v>
      </x:c>
      <x:c r="C166" s="5" t="str">
        <x:v>Sales &amp; Marketing</x:v>
      </x:c>
      <x:c r="D166" s="5" t="str">
        <x:v>Operating Expense</x:v>
      </x:c>
      <x:c r="E166" s="9" t="n">
        <x:v>100</x:v>
      </x:c>
      <x:c r="F166" s="7" t="n">
        <x:v>2137661.46</x:v>
      </x:c>
    </x:row>
    <x:row r="167">
      <x:c r="A167" s="6" t="n">
        <x:v>45536</x:v>
      </x:c>
      <x:c r="B167" s="5" t="str">
        <x:v>Actual</x:v>
      </x:c>
      <x:c r="C167" s="5" t="str">
        <x:v>Research &amp; Development</x:v>
      </x:c>
      <x:c r="D167" s="5" t="str">
        <x:v>Operating Expense</x:v>
      </x:c>
      <x:c r="E167" s="9" t="n">
        <x:v>140</x:v>
      </x:c>
      <x:c r="F167" s="7" t="n">
        <x:v>2209908.24</x:v>
      </x:c>
    </x:row>
    <x:row r="168">
      <x:c r="A168" s="6" t="n">
        <x:v>45536</x:v>
      </x:c>
      <x:c r="B168" s="5" t="str">
        <x:v>Actual</x:v>
      </x:c>
      <x:c r="C168" s="5" t="str">
        <x:v>General &amp; Administrative</x:v>
      </x:c>
      <x:c r="D168" s="5" t="str">
        <x:v>Operating Expense</x:v>
      </x:c>
      <x:c r="E168" s="9" t="n">
        <x:v>160</x:v>
      </x:c>
      <x:c r="F168" s="7" t="n">
        <x:v>1507559.48</x:v>
      </x:c>
    </x:row>
    <x:row r="169">
      <x:c r="A169" s="6" t="n">
        <x:v>45536</x:v>
      </x:c>
      <x:c r="B169" s="5" t="str">
        <x:v>Actual</x:v>
      </x:c>
      <x:c r="C169" s="5" t="str">
        <x:v>Depreciation &amp; Amortization</x:v>
      </x:c>
      <x:c r="D169" s="5" t="str">
        <x:v>D&amp;A</x:v>
      </x:c>
      <x:c r="E169" s="9" t="n">
        <x:v>230</x:v>
      </x:c>
      <x:c r="F169" s="7" t="n">
        <x:v>173317.8</x:v>
      </x:c>
    </x:row>
    <x:row r="170">
      <x:c r="A170" s="6" t="n">
        <x:v>45566</x:v>
      </x:c>
      <x:c r="B170" s="5" t="str">
        <x:v>Actual</x:v>
      </x:c>
      <x:c r="C170" s="5" t="str">
        <x:v>Subscription Revenue</x:v>
      </x:c>
      <x:c r="D170" s="5" t="str">
        <x:v>Revenue</x:v>
      </x:c>
      <x:c r="E170" s="9" t="n">
        <x:v>10</x:v>
      </x:c>
      <x:c r="F170" s="7" t="n">
        <x:v>8177403.04</x:v>
      </x:c>
    </x:row>
    <x:row r="171">
      <x:c r="A171" s="6" t="n">
        <x:v>45566</x:v>
      </x:c>
      <x:c r="B171" s="5" t="str">
        <x:v>Actual</x:v>
      </x:c>
      <x:c r="C171" s="5" t="str">
        <x:v>Professional Services Revenue</x:v>
      </x:c>
      <x:c r="D171" s="5" t="str">
        <x:v>Revenue</x:v>
      </x:c>
      <x:c r="E171" s="9" t="n">
        <x:v>20</x:v>
      </x:c>
      <x:c r="F171" s="7" t="n">
        <x:v>1492080.78</x:v>
      </x:c>
    </x:row>
    <x:row r="172">
      <x:c r="A172" s="6" t="n">
        <x:v>45566</x:v>
      </x:c>
      <x:c r="B172" s="5" t="str">
        <x:v>Actual</x:v>
      </x:c>
      <x:c r="C172" s="5" t="str">
        <x:v>Cost of Subscription</x:v>
      </x:c>
      <x:c r="D172" s="5" t="str">
        <x:v>Cost of Revenue</x:v>
      </x:c>
      <x:c r="E172" s="9" t="n">
        <x:v>40</x:v>
      </x:c>
      <x:c r="F172" s="7" t="n">
        <x:v>1882773.2</x:v>
      </x:c>
    </x:row>
    <x:row r="173">
      <x:c r="A173" s="6" t="n">
        <x:v>45566</x:v>
      </x:c>
      <x:c r="B173" s="5" t="str">
        <x:v>Actual</x:v>
      </x:c>
      <x:c r="C173" s="5" t="str">
        <x:v>Cost of Services</x:v>
      </x:c>
      <x:c r="D173" s="5" t="str">
        <x:v>Cost of Revenue</x:v>
      </x:c>
      <x:c r="E173" s="9" t="n">
        <x:v>60</x:v>
      </x:c>
      <x:c r="F173" s="7" t="n">
        <x:v>1215804.23</x:v>
      </x:c>
    </x:row>
    <x:row r="174">
      <x:c r="A174" s="6" t="n">
        <x:v>45566</x:v>
      </x:c>
      <x:c r="B174" s="5" t="str">
        <x:v>Actual</x:v>
      </x:c>
      <x:c r="C174" s="5" t="str">
        <x:v>Sales &amp; Marketing</x:v>
      </x:c>
      <x:c r="D174" s="5" t="str">
        <x:v>Operating Expense</x:v>
      </x:c>
      <x:c r="E174" s="9" t="n">
        <x:v>100</x:v>
      </x:c>
      <x:c r="F174" s="7" t="n">
        <x:v>2296802.37</x:v>
      </x:c>
    </x:row>
    <x:row r="175">
      <x:c r="A175" s="6" t="n">
        <x:v>45566</x:v>
      </x:c>
      <x:c r="B175" s="5" t="str">
        <x:v>Actual</x:v>
      </x:c>
      <x:c r="C175" s="5" t="str">
        <x:v>Research &amp; Development</x:v>
      </x:c>
      <x:c r="D175" s="5" t="str">
        <x:v>Operating Expense</x:v>
      </x:c>
      <x:c r="E175" s="9" t="n">
        <x:v>140</x:v>
      </x:c>
      <x:c r="F175" s="7" t="n">
        <x:v>2196231.62</x:v>
      </x:c>
    </x:row>
    <x:row r="176">
      <x:c r="A176" s="6" t="n">
        <x:v>45566</x:v>
      </x:c>
      <x:c r="B176" s="5" t="str">
        <x:v>Actual</x:v>
      </x:c>
      <x:c r="C176" s="5" t="str">
        <x:v>General &amp; Administrative</x:v>
      </x:c>
      <x:c r="D176" s="5" t="str">
        <x:v>Operating Expense</x:v>
      </x:c>
      <x:c r="E176" s="9" t="n">
        <x:v>160</x:v>
      </x:c>
      <x:c r="F176" s="7" t="n">
        <x:v>1589676.16</x:v>
      </x:c>
    </x:row>
    <x:row r="177">
      <x:c r="A177" s="6" t="n">
        <x:v>45566</x:v>
      </x:c>
      <x:c r="B177" s="5" t="str">
        <x:v>Actual</x:v>
      </x:c>
      <x:c r="C177" s="5" t="str">
        <x:v>Depreciation &amp; Amortization</x:v>
      </x:c>
      <x:c r="D177" s="5" t="str">
        <x:v>D&amp;A</x:v>
      </x:c>
      <x:c r="E177" s="9" t="n">
        <x:v>230</x:v>
      </x:c>
      <x:c r="F177" s="7" t="n">
        <x:v>174050.71</x:v>
      </x:c>
    </x:row>
    <x:row r="178">
      <x:c r="A178" s="6" t="n">
        <x:v>45597</x:v>
      </x:c>
      <x:c r="B178" s="5" t="str">
        <x:v>Actual</x:v>
      </x:c>
      <x:c r="C178" s="5" t="str">
        <x:v>Subscription Revenue</x:v>
      </x:c>
      <x:c r="D178" s="5" t="str">
        <x:v>Revenue</x:v>
      </x:c>
      <x:c r="E178" s="9" t="n">
        <x:v>10</x:v>
      </x:c>
      <x:c r="F178" s="7" t="n">
        <x:v>8257340.62</x:v>
      </x:c>
    </x:row>
    <x:row r="179">
      <x:c r="A179" s="6" t="n">
        <x:v>45597</x:v>
      </x:c>
      <x:c r="B179" s="5" t="str">
        <x:v>Actual</x:v>
      </x:c>
      <x:c r="C179" s="5" t="str">
        <x:v>Professional Services Revenue</x:v>
      </x:c>
      <x:c r="D179" s="5" t="str">
        <x:v>Revenue</x:v>
      </x:c>
      <x:c r="E179" s="9" t="n">
        <x:v>20</x:v>
      </x:c>
      <x:c r="F179" s="7" t="n">
        <x:v>1888813.33</x:v>
      </x:c>
    </x:row>
    <x:row r="180">
      <x:c r="A180" s="6" t="n">
        <x:v>45597</x:v>
      </x:c>
      <x:c r="B180" s="5" t="str">
        <x:v>Actual</x:v>
      </x:c>
      <x:c r="C180" s="5" t="str">
        <x:v>Cost of Subscription</x:v>
      </x:c>
      <x:c r="D180" s="5" t="str">
        <x:v>Cost of Revenue</x:v>
      </x:c>
      <x:c r="E180" s="9" t="n">
        <x:v>40</x:v>
      </x:c>
      <x:c r="F180" s="7" t="n">
        <x:v>1931357.8</x:v>
      </x:c>
    </x:row>
    <x:row r="181">
      <x:c r="A181" s="6" t="n">
        <x:v>45597</x:v>
      </x:c>
      <x:c r="B181" s="5" t="str">
        <x:v>Actual</x:v>
      </x:c>
      <x:c r="C181" s="5" t="str">
        <x:v>Cost of Services</x:v>
      </x:c>
      <x:c r="D181" s="5" t="str">
        <x:v>Cost of Revenue</x:v>
      </x:c>
      <x:c r="E181" s="9" t="n">
        <x:v>60</x:v>
      </x:c>
      <x:c r="F181" s="7" t="n">
        <x:v>1265008.32</x:v>
      </x:c>
    </x:row>
    <x:row r="182">
      <x:c r="A182" s="6" t="n">
        <x:v>45597</x:v>
      </x:c>
      <x:c r="B182" s="5" t="str">
        <x:v>Actual</x:v>
      </x:c>
      <x:c r="C182" s="5" t="str">
        <x:v>Sales &amp; Marketing</x:v>
      </x:c>
      <x:c r="D182" s="5" t="str">
        <x:v>Operating Expense</x:v>
      </x:c>
      <x:c r="E182" s="9" t="n">
        <x:v>100</x:v>
      </x:c>
      <x:c r="F182" s="7" t="n">
        <x:v>2329181.59</x:v>
      </x:c>
    </x:row>
    <x:row r="183">
      <x:c r="A183" s="6" t="n">
        <x:v>45597</x:v>
      </x:c>
      <x:c r="B183" s="5" t="str">
        <x:v>Actual</x:v>
      </x:c>
      <x:c r="C183" s="5" t="str">
        <x:v>Research &amp; Development</x:v>
      </x:c>
      <x:c r="D183" s="5" t="str">
        <x:v>Operating Expense</x:v>
      </x:c>
      <x:c r="E183" s="9" t="n">
        <x:v>140</x:v>
      </x:c>
      <x:c r="F183" s="7" t="n">
        <x:v>2199491.34</x:v>
      </x:c>
    </x:row>
    <x:row r="184">
      <x:c r="A184" s="6" t="n">
        <x:v>45597</x:v>
      </x:c>
      <x:c r="B184" s="5" t="str">
        <x:v>Actual</x:v>
      </x:c>
      <x:c r="C184" s="5" t="str">
        <x:v>General &amp; Administrative</x:v>
      </x:c>
      <x:c r="D184" s="5" t="str">
        <x:v>Operating Expense</x:v>
      </x:c>
      <x:c r="E184" s="9" t="n">
        <x:v>160</x:v>
      </x:c>
      <x:c r="F184" s="7" t="n">
        <x:v>1579523.53</x:v>
      </x:c>
    </x:row>
    <x:row r="185">
      <x:c r="A185" s="6" t="n">
        <x:v>45597</x:v>
      </x:c>
      <x:c r="B185" s="5" t="str">
        <x:v>Actual</x:v>
      </x:c>
      <x:c r="C185" s="5" t="str">
        <x:v>Depreciation &amp; Amortization</x:v>
      </x:c>
      <x:c r="D185" s="5" t="str">
        <x:v>D&amp;A</x:v>
      </x:c>
      <x:c r="E185" s="9" t="n">
        <x:v>230</x:v>
      </x:c>
      <x:c r="F185" s="7" t="n">
        <x:v>182630.77</x:v>
      </x:c>
    </x:row>
    <x:row r="186">
      <x:c r="A186" s="6" t="n">
        <x:v>45627</x:v>
      </x:c>
      <x:c r="B186" s="5" t="str">
        <x:v>Actual</x:v>
      </x:c>
      <x:c r="C186" s="5" t="str">
        <x:v>Subscription Revenue</x:v>
      </x:c>
      <x:c r="D186" s="5" t="str">
        <x:v>Revenue</x:v>
      </x:c>
      <x:c r="E186" s="9" t="n">
        <x:v>10</x:v>
      </x:c>
      <x:c r="F186" s="7" t="n">
        <x:v>8363385.76</x:v>
      </x:c>
    </x:row>
    <x:row r="187">
      <x:c r="A187" s="6" t="n">
        <x:v>45627</x:v>
      </x:c>
      <x:c r="B187" s="5" t="str">
        <x:v>Actual</x:v>
      </x:c>
      <x:c r="C187" s="5" t="str">
        <x:v>Professional Services Revenue</x:v>
      </x:c>
      <x:c r="D187" s="5" t="str">
        <x:v>Revenue</x:v>
      </x:c>
      <x:c r="E187" s="9" t="n">
        <x:v>20</x:v>
      </x:c>
      <x:c r="F187" s="7" t="n">
        <x:v>2034252.86</x:v>
      </x:c>
    </x:row>
    <x:row r="188">
      <x:c r="A188" s="6" t="n">
        <x:v>45627</x:v>
      </x:c>
      <x:c r="B188" s="5" t="str">
        <x:v>Actual</x:v>
      </x:c>
      <x:c r="C188" s="5" t="str">
        <x:v>Cost of Subscription</x:v>
      </x:c>
      <x:c r="D188" s="5" t="str">
        <x:v>Cost of Revenue</x:v>
      </x:c>
      <x:c r="E188" s="9" t="n">
        <x:v>40</x:v>
      </x:c>
      <x:c r="F188" s="7" t="n">
        <x:v>1959526.12</x:v>
      </x:c>
    </x:row>
    <x:row r="189">
      <x:c r="A189" s="6" t="n">
        <x:v>45627</x:v>
      </x:c>
      <x:c r="B189" s="5" t="str">
        <x:v>Actual</x:v>
      </x:c>
      <x:c r="C189" s="5" t="str">
        <x:v>Cost of Services</x:v>
      </x:c>
      <x:c r="D189" s="5" t="str">
        <x:v>Cost of Revenue</x:v>
      </x:c>
      <x:c r="E189" s="9" t="n">
        <x:v>60</x:v>
      </x:c>
      <x:c r="F189" s="7" t="n">
        <x:v>1247989.01</x:v>
      </x:c>
    </x:row>
    <x:row r="190">
      <x:c r="A190" s="6" t="n">
        <x:v>45627</x:v>
      </x:c>
      <x:c r="B190" s="5" t="str">
        <x:v>Actual</x:v>
      </x:c>
      <x:c r="C190" s="5" t="str">
        <x:v>Sales &amp; Marketing</x:v>
      </x:c>
      <x:c r="D190" s="5" t="str">
        <x:v>Operating Expense</x:v>
      </x:c>
      <x:c r="E190" s="9" t="n">
        <x:v>100</x:v>
      </x:c>
      <x:c r="F190" s="7" t="n">
        <x:v>2347988.95</x:v>
      </x:c>
    </x:row>
    <x:row r="191">
      <x:c r="A191" s="6" t="n">
        <x:v>45627</x:v>
      </x:c>
      <x:c r="B191" s="5" t="str">
        <x:v>Actual</x:v>
      </x:c>
      <x:c r="C191" s="5" t="str">
        <x:v>Research &amp; Development</x:v>
      </x:c>
      <x:c r="D191" s="5" t="str">
        <x:v>Operating Expense</x:v>
      </x:c>
      <x:c r="E191" s="9" t="n">
        <x:v>140</x:v>
      </x:c>
      <x:c r="F191" s="7" t="n">
        <x:v>2228470.85</x:v>
      </x:c>
    </x:row>
    <x:row r="192">
      <x:c r="A192" s="6" t="n">
        <x:v>45627</x:v>
      </x:c>
      <x:c r="B192" s="5" t="str">
        <x:v>Actual</x:v>
      </x:c>
      <x:c r="C192" s="5" t="str">
        <x:v>General &amp; Administrative</x:v>
      </x:c>
      <x:c r="D192" s="5" t="str">
        <x:v>Operating Expense</x:v>
      </x:c>
      <x:c r="E192" s="9" t="n">
        <x:v>160</x:v>
      </x:c>
      <x:c r="F192" s="7" t="n">
        <x:v>1554183.32</x:v>
      </x:c>
    </x:row>
    <x:row r="193">
      <x:c r="A193" s="6" t="n">
        <x:v>45627</x:v>
      </x:c>
      <x:c r="B193" s="5" t="str">
        <x:v>Actual</x:v>
      </x:c>
      <x:c r="C193" s="5" t="str">
        <x:v>Depreciation &amp; Amortization</x:v>
      </x:c>
      <x:c r="D193" s="5" t="str">
        <x:v>D&amp;A</x:v>
      </x:c>
      <x:c r="E193" s="9" t="n">
        <x:v>230</x:v>
      </x:c>
      <x:c r="F193" s="7" t="n">
        <x:v>187157.5</x:v>
      </x:c>
    </x:row>
    <x:row r="194">
      <x:c r="A194" s="6" t="n">
        <x:v>45658</x:v>
      </x:c>
      <x:c r="B194" s="5" t="str">
        <x:v>Actual</x:v>
      </x:c>
      <x:c r="C194" s="5" t="str">
        <x:v>Subscription Revenue</x:v>
      </x:c>
      <x:c r="D194" s="5" t="str">
        <x:v>Revenue</x:v>
      </x:c>
      <x:c r="E194" s="9" t="n">
        <x:v>10</x:v>
      </x:c>
      <x:c r="F194" s="7" t="n">
        <x:v>8444899.25</x:v>
      </x:c>
    </x:row>
    <x:row r="195">
      <x:c r="A195" s="6" t="n">
        <x:v>45658</x:v>
      </x:c>
      <x:c r="B195" s="5" t="str">
        <x:v>Actual</x:v>
      </x:c>
      <x:c r="C195" s="5" t="str">
        <x:v>Professional Services Revenue</x:v>
      </x:c>
      <x:c r="D195" s="5" t="str">
        <x:v>Revenue</x:v>
      </x:c>
      <x:c r="E195" s="9" t="n">
        <x:v>20</x:v>
      </x:c>
      <x:c r="F195" s="7" t="n">
        <x:v>2008429.36</x:v>
      </x:c>
    </x:row>
    <x:row r="196">
      <x:c r="A196" s="6" t="n">
        <x:v>45658</x:v>
      </x:c>
      <x:c r="B196" s="5" t="str">
        <x:v>Actual</x:v>
      </x:c>
      <x:c r="C196" s="5" t="str">
        <x:v>Cost of Subscription</x:v>
      </x:c>
      <x:c r="D196" s="5" t="str">
        <x:v>Cost of Revenue</x:v>
      </x:c>
      <x:c r="E196" s="9" t="n">
        <x:v>40</x:v>
      </x:c>
      <x:c r="F196" s="7" t="n">
        <x:v>1974728.36</x:v>
      </x:c>
    </x:row>
    <x:row r="197">
      <x:c r="A197" s="6" t="n">
        <x:v>45658</x:v>
      </x:c>
      <x:c r="B197" s="5" t="str">
        <x:v>Actual</x:v>
      </x:c>
      <x:c r="C197" s="5" t="str">
        <x:v>Cost of Services</x:v>
      </x:c>
      <x:c r="D197" s="5" t="str">
        <x:v>Cost of Revenue</x:v>
      </x:c>
      <x:c r="E197" s="9" t="n">
        <x:v>60</x:v>
      </x:c>
      <x:c r="F197" s="7" t="n">
        <x:v>1263928.26</x:v>
      </x:c>
    </x:row>
    <x:row r="198">
      <x:c r="A198" s="6" t="n">
        <x:v>45658</x:v>
      </x:c>
      <x:c r="B198" s="5" t="str">
        <x:v>Actual</x:v>
      </x:c>
      <x:c r="C198" s="5" t="str">
        <x:v>Sales &amp; Marketing</x:v>
      </x:c>
      <x:c r="D198" s="5" t="str">
        <x:v>Operating Expense</x:v>
      </x:c>
      <x:c r="E198" s="9" t="n">
        <x:v>100</x:v>
      </x:c>
      <x:c r="F198" s="7" t="n">
        <x:v>2377281.08</x:v>
      </x:c>
    </x:row>
    <x:row r="199">
      <x:c r="A199" s="6" t="n">
        <x:v>45658</x:v>
      </x:c>
      <x:c r="B199" s="5" t="str">
        <x:v>Actual</x:v>
      </x:c>
      <x:c r="C199" s="5" t="str">
        <x:v>Research &amp; Development</x:v>
      </x:c>
      <x:c r="D199" s="5" t="str">
        <x:v>Operating Expense</x:v>
      </x:c>
      <x:c r="E199" s="9" t="n">
        <x:v>140</x:v>
      </x:c>
      <x:c r="F199" s="7" t="n">
        <x:v>2298797.59</x:v>
      </x:c>
    </x:row>
    <x:row r="200">
      <x:c r="A200" s="6" t="n">
        <x:v>45658</x:v>
      </x:c>
      <x:c r="B200" s="5" t="str">
        <x:v>Actual</x:v>
      </x:c>
      <x:c r="C200" s="5" t="str">
        <x:v>General &amp; Administrative</x:v>
      </x:c>
      <x:c r="D200" s="5" t="str">
        <x:v>Operating Expense</x:v>
      </x:c>
      <x:c r="E200" s="9" t="n">
        <x:v>160</x:v>
      </x:c>
      <x:c r="F200" s="7" t="n">
        <x:v>1644868.41</x:v>
      </x:c>
    </x:row>
    <x:row r="201">
      <x:c r="A201" s="6" t="n">
        <x:v>45658</x:v>
      </x:c>
      <x:c r="B201" s="5" t="str">
        <x:v>Actual</x:v>
      </x:c>
      <x:c r="C201" s="5" t="str">
        <x:v>Depreciation &amp; Amortization</x:v>
      </x:c>
      <x:c r="D201" s="5" t="str">
        <x:v>D&amp;A</x:v>
      </x:c>
      <x:c r="E201" s="9" t="n">
        <x:v>230</x:v>
      </x:c>
      <x:c r="F201" s="7" t="n">
        <x:v>188159.91</x:v>
      </x:c>
    </x:row>
    <x:row r="202">
      <x:c r="A202" s="6" t="n">
        <x:v>45689</x:v>
      </x:c>
      <x:c r="B202" s="5" t="str">
        <x:v>Actual</x:v>
      </x:c>
      <x:c r="C202" s="5" t="str">
        <x:v>Subscription Revenue</x:v>
      </x:c>
      <x:c r="D202" s="5" t="str">
        <x:v>Revenue</x:v>
      </x:c>
      <x:c r="E202" s="9" t="n">
        <x:v>10</x:v>
      </x:c>
      <x:c r="F202" s="7" t="n">
        <x:v>8522419.28</x:v>
      </x:c>
    </x:row>
    <x:row r="203">
      <x:c r="A203" s="6" t="n">
        <x:v>45689</x:v>
      </x:c>
      <x:c r="B203" s="5" t="str">
        <x:v>Actual</x:v>
      </x:c>
      <x:c r="C203" s="5" t="str">
        <x:v>Professional Services Revenue</x:v>
      </x:c>
      <x:c r="D203" s="5" t="str">
        <x:v>Revenue</x:v>
      </x:c>
      <x:c r="E203" s="9" t="n">
        <x:v>20</x:v>
      </x:c>
      <x:c r="F203" s="7" t="n">
        <x:v>2221243.81</x:v>
      </x:c>
    </x:row>
    <x:row r="204">
      <x:c r="A204" s="6" t="n">
        <x:v>45689</x:v>
      </x:c>
      <x:c r="B204" s="5" t="str">
        <x:v>Actual</x:v>
      </x:c>
      <x:c r="C204" s="5" t="str">
        <x:v>Cost of Subscription</x:v>
      </x:c>
      <x:c r="D204" s="5" t="str">
        <x:v>Cost of Revenue</x:v>
      </x:c>
      <x:c r="E204" s="9" t="n">
        <x:v>40</x:v>
      </x:c>
      <x:c r="F204" s="7" t="n">
        <x:v>1997948.01</x:v>
      </x:c>
    </x:row>
    <x:row r="205">
      <x:c r="A205" s="6" t="n">
        <x:v>45689</x:v>
      </x:c>
      <x:c r="B205" s="5" t="str">
        <x:v>Actual</x:v>
      </x:c>
      <x:c r="C205" s="5" t="str">
        <x:v>Cost of Services</x:v>
      </x:c>
      <x:c r="D205" s="5" t="str">
        <x:v>Cost of Revenue</x:v>
      </x:c>
      <x:c r="E205" s="9" t="n">
        <x:v>60</x:v>
      </x:c>
      <x:c r="F205" s="7" t="n">
        <x:v>1300448.66</x:v>
      </x:c>
    </x:row>
    <x:row r="206">
      <x:c r="A206" s="6" t="n">
        <x:v>45689</x:v>
      </x:c>
      <x:c r="B206" s="5" t="str">
        <x:v>Actual</x:v>
      </x:c>
      <x:c r="C206" s="5" t="str">
        <x:v>Sales &amp; Marketing</x:v>
      </x:c>
      <x:c r="D206" s="5" t="str">
        <x:v>Operating Expense</x:v>
      </x:c>
      <x:c r="E206" s="9" t="n">
        <x:v>100</x:v>
      </x:c>
      <x:c r="F206" s="7" t="n">
        <x:v>2396358.67</x:v>
      </x:c>
    </x:row>
    <x:row r="207">
      <x:c r="A207" s="6" t="n">
        <x:v>45689</x:v>
      </x:c>
      <x:c r="B207" s="5" t="str">
        <x:v>Actual</x:v>
      </x:c>
      <x:c r="C207" s="5" t="str">
        <x:v>Research &amp; Development</x:v>
      </x:c>
      <x:c r="D207" s="5" t="str">
        <x:v>Operating Expense</x:v>
      </x:c>
      <x:c r="E207" s="9" t="n">
        <x:v>140</x:v>
      </x:c>
      <x:c r="F207" s="7" t="n">
        <x:v>2311669.49</x:v>
      </x:c>
    </x:row>
    <x:row r="208">
      <x:c r="A208" s="6" t="n">
        <x:v>45689</x:v>
      </x:c>
      <x:c r="B208" s="5" t="str">
        <x:v>Actual</x:v>
      </x:c>
      <x:c r="C208" s="5" t="str">
        <x:v>General &amp; Administrative</x:v>
      </x:c>
      <x:c r="D208" s="5" t="str">
        <x:v>Operating Expense</x:v>
      </x:c>
      <x:c r="E208" s="9" t="n">
        <x:v>160</x:v>
      </x:c>
      <x:c r="F208" s="7" t="n">
        <x:v>1681856.22</x:v>
      </x:c>
    </x:row>
    <x:row r="209">
      <x:c r="A209" s="6" t="n">
        <x:v>45689</x:v>
      </x:c>
      <x:c r="B209" s="5" t="str">
        <x:v>Actual</x:v>
      </x:c>
      <x:c r="C209" s="5" t="str">
        <x:v>Depreciation &amp; Amortization</x:v>
      </x:c>
      <x:c r="D209" s="5" t="str">
        <x:v>D&amp;A</x:v>
      </x:c>
      <x:c r="E209" s="9" t="n">
        <x:v>230</x:v>
      </x:c>
      <x:c r="F209" s="7" t="n">
        <x:v>193385.94</x:v>
      </x:c>
    </x:row>
    <x:row r="210">
      <x:c r="A210" s="6" t="n">
        <x:v>45717</x:v>
      </x:c>
      <x:c r="B210" s="5" t="str">
        <x:v>Actual</x:v>
      </x:c>
      <x:c r="C210" s="5" t="str">
        <x:v>Subscription Revenue</x:v>
      </x:c>
      <x:c r="D210" s="5" t="str">
        <x:v>Revenue</x:v>
      </x:c>
      <x:c r="E210" s="9" t="n">
        <x:v>10</x:v>
      </x:c>
      <x:c r="F210" s="7" t="n">
        <x:v>8599107.89</x:v>
      </x:c>
    </x:row>
    <x:row r="211">
      <x:c r="A211" s="6" t="n">
        <x:v>45717</x:v>
      </x:c>
      <x:c r="B211" s="5" t="str">
        <x:v>Actual</x:v>
      </x:c>
      <x:c r="C211" s="5" t="str">
        <x:v>Professional Services Revenue</x:v>
      </x:c>
      <x:c r="D211" s="5" t="str">
        <x:v>Revenue</x:v>
      </x:c>
      <x:c r="E211" s="9" t="n">
        <x:v>20</x:v>
      </x:c>
      <x:c r="F211" s="7" t="n">
        <x:v>1940440.41</x:v>
      </x:c>
    </x:row>
    <x:row r="212">
      <x:c r="A212" s="6" t="n">
        <x:v>45717</x:v>
      </x:c>
      <x:c r="B212" s="5" t="str">
        <x:v>Actual</x:v>
      </x:c>
      <x:c r="C212" s="5" t="str">
        <x:v>Cost of Subscription</x:v>
      </x:c>
      <x:c r="D212" s="5" t="str">
        <x:v>Cost of Revenue</x:v>
      </x:c>
      <x:c r="E212" s="9" t="n">
        <x:v>40</x:v>
      </x:c>
      <x:c r="F212" s="7" t="n">
        <x:v>2005769.49</x:v>
      </x:c>
    </x:row>
    <x:row r="213">
      <x:c r="A213" s="6" t="n">
        <x:v>45717</x:v>
      </x:c>
      <x:c r="B213" s="5" t="str">
        <x:v>Actual</x:v>
      </x:c>
      <x:c r="C213" s="5" t="str">
        <x:v>Cost of Services</x:v>
      </x:c>
      <x:c r="D213" s="5" t="str">
        <x:v>Cost of Revenue</x:v>
      </x:c>
      <x:c r="E213" s="9" t="n">
        <x:v>60</x:v>
      </x:c>
      <x:c r="F213" s="7" t="n">
        <x:v>1237321.1</x:v>
      </x:c>
    </x:row>
    <x:row r="214">
      <x:c r="A214" s="6" t="n">
        <x:v>45717</x:v>
      </x:c>
      <x:c r="B214" s="5" t="str">
        <x:v>Actual</x:v>
      </x:c>
      <x:c r="C214" s="5" t="str">
        <x:v>Sales &amp; Marketing</x:v>
      </x:c>
      <x:c r="D214" s="5" t="str">
        <x:v>Operating Expense</x:v>
      </x:c>
      <x:c r="E214" s="9" t="n">
        <x:v>100</x:v>
      </x:c>
      <x:c r="F214" s="7" t="n">
        <x:v>2386303.31</x:v>
      </x:c>
    </x:row>
    <x:row r="215">
      <x:c r="A215" s="6" t="n">
        <x:v>45717</x:v>
      </x:c>
      <x:c r="B215" s="5" t="str">
        <x:v>Actual</x:v>
      </x:c>
      <x:c r="C215" s="5" t="str">
        <x:v>Research &amp; Development</x:v>
      </x:c>
      <x:c r="D215" s="5" t="str">
        <x:v>Operating Expense</x:v>
      </x:c>
      <x:c r="E215" s="9" t="n">
        <x:v>140</x:v>
      </x:c>
      <x:c r="F215" s="7" t="n">
        <x:v>2335604.77</x:v>
      </x:c>
    </x:row>
    <x:row r="216">
      <x:c r="A216" s="6" t="n">
        <x:v>45717</x:v>
      </x:c>
      <x:c r="B216" s="5" t="str">
        <x:v>Actual</x:v>
      </x:c>
      <x:c r="C216" s="5" t="str">
        <x:v>General &amp; Administrative</x:v>
      </x:c>
      <x:c r="D216" s="5" t="str">
        <x:v>Operating Expense</x:v>
      </x:c>
      <x:c r="E216" s="9" t="n">
        <x:v>160</x:v>
      </x:c>
      <x:c r="F216" s="7" t="n">
        <x:v>1719702.7</x:v>
      </x:c>
    </x:row>
    <x:row r="217">
      <x:c r="A217" s="6" t="n">
        <x:v>45717</x:v>
      </x:c>
      <x:c r="B217" s="5" t="str">
        <x:v>Actual</x:v>
      </x:c>
      <x:c r="C217" s="5" t="str">
        <x:v>Depreciation &amp; Amortization</x:v>
      </x:c>
      <x:c r="D217" s="5" t="str">
        <x:v>D&amp;A</x:v>
      </x:c>
      <x:c r="E217" s="9" t="n">
        <x:v>230</x:v>
      </x:c>
      <x:c r="F217" s="7" t="n">
        <x:v>189711.87</x:v>
      </x:c>
    </x:row>
    <x:row r="218">
      <x:c r="A218" s="6" t="n">
        <x:v>45748</x:v>
      </x:c>
      <x:c r="B218" s="5" t="str">
        <x:v>Actual</x:v>
      </x:c>
      <x:c r="C218" s="5" t="str">
        <x:v>Subscription Revenue</x:v>
      </x:c>
      <x:c r="D218" s="5" t="str">
        <x:v>Revenue</x:v>
      </x:c>
      <x:c r="E218" s="9" t="n">
        <x:v>10</x:v>
      </x:c>
      <x:c r="F218" s="7" t="n">
        <x:v>8689476.56</x:v>
      </x:c>
    </x:row>
    <x:row r="219">
      <x:c r="A219" s="6" t="n">
        <x:v>45748</x:v>
      </x:c>
      <x:c r="B219" s="5" t="str">
        <x:v>Actual</x:v>
      </x:c>
      <x:c r="C219" s="5" t="str">
        <x:v>Professional Services Revenue</x:v>
      </x:c>
      <x:c r="D219" s="5" t="str">
        <x:v>Revenue</x:v>
      </x:c>
      <x:c r="E219" s="9" t="n">
        <x:v>20</x:v>
      </x:c>
      <x:c r="F219" s="7" t="n">
        <x:v>1575110.97</x:v>
      </x:c>
    </x:row>
    <x:row r="220">
      <x:c r="A220" s="6" t="n">
        <x:v>45748</x:v>
      </x:c>
      <x:c r="B220" s="5" t="str">
        <x:v>Actual</x:v>
      </x:c>
      <x:c r="C220" s="5" t="str">
        <x:v>Cost of Subscription</x:v>
      </x:c>
      <x:c r="D220" s="5" t="str">
        <x:v>Cost of Revenue</x:v>
      </x:c>
      <x:c r="E220" s="9" t="n">
        <x:v>40</x:v>
      </x:c>
      <x:c r="F220" s="7" t="n">
        <x:v>2019044.29</x:v>
      </x:c>
    </x:row>
    <x:row r="221">
      <x:c r="A221" s="6" t="n">
        <x:v>45748</x:v>
      </x:c>
      <x:c r="B221" s="5" t="str">
        <x:v>Actual</x:v>
      </x:c>
      <x:c r="C221" s="5" t="str">
        <x:v>Cost of Services</x:v>
      </x:c>
      <x:c r="D221" s="5" t="str">
        <x:v>Cost of Revenue</x:v>
      </x:c>
      <x:c r="E221" s="9" t="n">
        <x:v>60</x:v>
      </x:c>
      <x:c r="F221" s="7" t="n">
        <x:v>1189671.2</x:v>
      </x:c>
    </x:row>
    <x:row r="222">
      <x:c r="A222" s="6" t="n">
        <x:v>45748</x:v>
      </x:c>
      <x:c r="B222" s="5" t="str">
        <x:v>Actual</x:v>
      </x:c>
      <x:c r="C222" s="5" t="str">
        <x:v>Sales &amp; Marketing</x:v>
      </x:c>
      <x:c r="D222" s="5" t="str">
        <x:v>Operating Expense</x:v>
      </x:c>
      <x:c r="E222" s="9" t="n">
        <x:v>100</x:v>
      </x:c>
      <x:c r="F222" s="7" t="n">
        <x:v>2297387.85</x:v>
      </x:c>
    </x:row>
    <x:row r="223">
      <x:c r="A223" s="6" t="n">
        <x:v>45748</x:v>
      </x:c>
      <x:c r="B223" s="5" t="str">
        <x:v>Actual</x:v>
      </x:c>
      <x:c r="C223" s="5" t="str">
        <x:v>Research &amp; Development</x:v>
      </x:c>
      <x:c r="D223" s="5" t="str">
        <x:v>Operating Expense</x:v>
      </x:c>
      <x:c r="E223" s="9" t="n">
        <x:v>140</x:v>
      </x:c>
      <x:c r="F223" s="7" t="n">
        <x:v>2366420.07</x:v>
      </x:c>
    </x:row>
    <x:row r="224">
      <x:c r="A224" s="6" t="n">
        <x:v>45748</x:v>
      </x:c>
      <x:c r="B224" s="5" t="str">
        <x:v>Actual</x:v>
      </x:c>
      <x:c r="C224" s="5" t="str">
        <x:v>General &amp; Administrative</x:v>
      </x:c>
      <x:c r="D224" s="5" t="str">
        <x:v>Operating Expense</x:v>
      </x:c>
      <x:c r="E224" s="9" t="n">
        <x:v>160</x:v>
      </x:c>
      <x:c r="F224" s="7" t="n">
        <x:v>1586661.76</x:v>
      </x:c>
    </x:row>
    <x:row r="225">
      <x:c r="A225" s="6" t="n">
        <x:v>45748</x:v>
      </x:c>
      <x:c r="B225" s="5" t="str">
        <x:v>Actual</x:v>
      </x:c>
      <x:c r="C225" s="5" t="str">
        <x:v>Depreciation &amp; Amortization</x:v>
      </x:c>
      <x:c r="D225" s="5" t="str">
        <x:v>D&amp;A</x:v>
      </x:c>
      <x:c r="E225" s="9" t="n">
        <x:v>230</x:v>
      </x:c>
      <x:c r="F225" s="7" t="n">
        <x:v>184762.58</x:v>
      </x:c>
    </x:row>
    <x:row r="226">
      <x:c r="A226" s="6" t="n">
        <x:v>45778</x:v>
      </x:c>
      <x:c r="B226" s="5" t="str">
        <x:v>Actual</x:v>
      </x:c>
      <x:c r="C226" s="5" t="str">
        <x:v>Subscription Revenue</x:v>
      </x:c>
      <x:c r="D226" s="5" t="str">
        <x:v>Revenue</x:v>
      </x:c>
      <x:c r="E226" s="9" t="n">
        <x:v>10</x:v>
      </x:c>
      <x:c r="F226" s="7" t="n">
        <x:v>8881303.91</x:v>
      </x:c>
    </x:row>
    <x:row r="227">
      <x:c r="A227" s="6" t="n">
        <x:v>45778</x:v>
      </x:c>
      <x:c r="B227" s="5" t="str">
        <x:v>Actual</x:v>
      </x:c>
      <x:c r="C227" s="5" t="str">
        <x:v>Professional Services Revenue</x:v>
      </x:c>
      <x:c r="D227" s="5" t="str">
        <x:v>Revenue</x:v>
      </x:c>
      <x:c r="E227" s="9" t="n">
        <x:v>20</x:v>
      </x:c>
      <x:c r="F227" s="7" t="n">
        <x:v>1322500.81</x:v>
      </x:c>
    </x:row>
    <x:row r="228">
      <x:c r="A228" s="6" t="n">
        <x:v>45778</x:v>
      </x:c>
      <x:c r="B228" s="5" t="str">
        <x:v>Actual</x:v>
      </x:c>
      <x:c r="C228" s="5" t="str">
        <x:v>Cost of Subscription</x:v>
      </x:c>
      <x:c r="D228" s="5" t="str">
        <x:v>Cost of Revenue</x:v>
      </x:c>
      <x:c r="E228" s="9" t="n">
        <x:v>40</x:v>
      </x:c>
      <x:c r="F228" s="7" t="n">
        <x:v>2041618.75</x:v>
      </x:c>
    </x:row>
    <x:row r="229">
      <x:c r="A229" s="6" t="n">
        <x:v>45778</x:v>
      </x:c>
      <x:c r="B229" s="5" t="str">
        <x:v>Actual</x:v>
      </x:c>
      <x:c r="C229" s="5" t="str">
        <x:v>Cost of Services</x:v>
      </x:c>
      <x:c r="D229" s="5" t="str">
        <x:v>Cost of Revenue</x:v>
      </x:c>
      <x:c r="E229" s="9" t="n">
        <x:v>60</x:v>
      </x:c>
      <x:c r="F229" s="7" t="n">
        <x:v>1162580.73</x:v>
      </x:c>
    </x:row>
    <x:row r="230">
      <x:c r="A230" s="6" t="n">
        <x:v>45778</x:v>
      </x:c>
      <x:c r="B230" s="5" t="str">
        <x:v>Actual</x:v>
      </x:c>
      <x:c r="C230" s="5" t="str">
        <x:v>Sales &amp; Marketing</x:v>
      </x:c>
      <x:c r="D230" s="5" t="str">
        <x:v>Operating Expense</x:v>
      </x:c>
      <x:c r="E230" s="9" t="n">
        <x:v>100</x:v>
      </x:c>
      <x:c r="F230" s="7" t="n">
        <x:v>2327500.18</x:v>
      </x:c>
    </x:row>
    <x:row r="231">
      <x:c r="A231" s="6" t="n">
        <x:v>45778</x:v>
      </x:c>
      <x:c r="B231" s="5" t="str">
        <x:v>Actual</x:v>
      </x:c>
      <x:c r="C231" s="5" t="str">
        <x:v>Research &amp; Development</x:v>
      </x:c>
      <x:c r="D231" s="5" t="str">
        <x:v>Operating Expense</x:v>
      </x:c>
      <x:c r="E231" s="9" t="n">
        <x:v>140</x:v>
      </x:c>
      <x:c r="F231" s="7" t="n">
        <x:v>2367283.29</x:v>
      </x:c>
    </x:row>
    <x:row r="232">
      <x:c r="A232" s="6" t="n">
        <x:v>45778</x:v>
      </x:c>
      <x:c r="B232" s="5" t="str">
        <x:v>Actual</x:v>
      </x:c>
      <x:c r="C232" s="5" t="str">
        <x:v>General &amp; Administrative</x:v>
      </x:c>
      <x:c r="D232" s="5" t="str">
        <x:v>Operating Expense</x:v>
      </x:c>
      <x:c r="E232" s="9" t="n">
        <x:v>160</x:v>
      </x:c>
      <x:c r="F232" s="7" t="n">
        <x:v>1594258.27</x:v>
      </x:c>
    </x:row>
    <x:row r="233">
      <x:c r="A233" s="6" t="n">
        <x:v>45778</x:v>
      </x:c>
      <x:c r="B233" s="5" t="str">
        <x:v>Actual</x:v>
      </x:c>
      <x:c r="C233" s="5" t="str">
        <x:v>Depreciation &amp; Amortization</x:v>
      </x:c>
      <x:c r="D233" s="5" t="str">
        <x:v>D&amp;A</x:v>
      </x:c>
      <x:c r="E233" s="9" t="n">
        <x:v>230</x:v>
      </x:c>
      <x:c r="F233" s="7" t="n">
        <x:v>183668.48</x:v>
      </x:c>
    </x:row>
    <x:row r="234">
      <x:c r="A234" s="6" t="n">
        <x:v>45809</x:v>
      </x:c>
      <x:c r="B234" s="5" t="str">
        <x:v>Actual</x:v>
      </x:c>
      <x:c r="C234" s="5" t="str">
        <x:v>Subscription Revenue</x:v>
      </x:c>
      <x:c r="D234" s="5" t="str">
        <x:v>Revenue</x:v>
      </x:c>
      <x:c r="E234" s="9" t="n">
        <x:v>10</x:v>
      </x:c>
      <x:c r="F234" s="7" t="n">
        <x:v>9121574.47</x:v>
      </x:c>
    </x:row>
    <x:row r="235">
      <x:c r="A235" s="6" t="n">
        <x:v>45809</x:v>
      </x:c>
      <x:c r="B235" s="5" t="str">
        <x:v>Actual</x:v>
      </x:c>
      <x:c r="C235" s="5" t="str">
        <x:v>Professional Services Revenue</x:v>
      </x:c>
      <x:c r="D235" s="5" t="str">
        <x:v>Revenue</x:v>
      </x:c>
      <x:c r="E235" s="9" t="n">
        <x:v>20</x:v>
      </x:c>
      <x:c r="F235" s="7" t="n">
        <x:v>1428474.62</x:v>
      </x:c>
    </x:row>
    <x:row r="236">
      <x:c r="A236" s="6" t="n">
        <x:v>45809</x:v>
      </x:c>
      <x:c r="B236" s="5" t="str">
        <x:v>Actual</x:v>
      </x:c>
      <x:c r="C236" s="5" t="str">
        <x:v>Cost of Subscription</x:v>
      </x:c>
      <x:c r="D236" s="5" t="str">
        <x:v>Cost of Revenue</x:v>
      </x:c>
      <x:c r="E236" s="9" t="n">
        <x:v>40</x:v>
      </x:c>
      <x:c r="F236" s="7" t="n">
        <x:v>2084091.14</x:v>
      </x:c>
    </x:row>
    <x:row r="237">
      <x:c r="A237" s="6" t="n">
        <x:v>45809</x:v>
      </x:c>
      <x:c r="B237" s="5" t="str">
        <x:v>Actual</x:v>
      </x:c>
      <x:c r="C237" s="5" t="str">
        <x:v>Cost of Services</x:v>
      </x:c>
      <x:c r="D237" s="5" t="str">
        <x:v>Cost of Revenue</x:v>
      </x:c>
      <x:c r="E237" s="9" t="n">
        <x:v>60</x:v>
      </x:c>
      <x:c r="F237" s="7" t="n">
        <x:v>1156012.54</x:v>
      </x:c>
    </x:row>
    <x:row r="238">
      <x:c r="A238" s="6" t="n">
        <x:v>45809</x:v>
      </x:c>
      <x:c r="B238" s="5" t="str">
        <x:v>Actual</x:v>
      </x:c>
      <x:c r="C238" s="5" t="str">
        <x:v>Sales &amp; Marketing</x:v>
      </x:c>
      <x:c r="D238" s="5" t="str">
        <x:v>Operating Expense</x:v>
      </x:c>
      <x:c r="E238" s="9" t="n">
        <x:v>100</x:v>
      </x:c>
      <x:c r="F238" s="7" t="n">
        <x:v>2368767.11</x:v>
      </x:c>
    </x:row>
    <x:row r="239">
      <x:c r="A239" s="6" t="n">
        <x:v>45809</x:v>
      </x:c>
      <x:c r="B239" s="5" t="str">
        <x:v>Actual</x:v>
      </x:c>
      <x:c r="C239" s="5" t="str">
        <x:v>Research &amp; Development</x:v>
      </x:c>
      <x:c r="D239" s="5" t="str">
        <x:v>Operating Expense</x:v>
      </x:c>
      <x:c r="E239" s="9" t="n">
        <x:v>140</x:v>
      </x:c>
      <x:c r="F239" s="7" t="n">
        <x:v>2368364.51</x:v>
      </x:c>
    </x:row>
    <x:row r="240">
      <x:c r="A240" s="6" t="n">
        <x:v>45809</x:v>
      </x:c>
      <x:c r="B240" s="5" t="str">
        <x:v>Actual</x:v>
      </x:c>
      <x:c r="C240" s="5" t="str">
        <x:v>General &amp; Administrative</x:v>
      </x:c>
      <x:c r="D240" s="5" t="str">
        <x:v>Operating Expense</x:v>
      </x:c>
      <x:c r="E240" s="9" t="n">
        <x:v>160</x:v>
      </x:c>
      <x:c r="F240" s="7" t="n">
        <x:v>1660647.92</x:v>
      </x:c>
    </x:row>
    <x:row r="241">
      <x:c r="A241" s="6" t="n">
        <x:v>45809</x:v>
      </x:c>
      <x:c r="B241" s="5" t="str">
        <x:v>Actual</x:v>
      </x:c>
      <x:c r="C241" s="5" t="str">
        <x:v>Depreciation &amp; Amortization</x:v>
      </x:c>
      <x:c r="D241" s="5" t="str">
        <x:v>D&amp;A</x:v>
      </x:c>
      <x:c r="E241" s="9" t="n">
        <x:v>230</x:v>
      </x:c>
      <x:c r="F241" s="7" t="n">
        <x:v>189900.88</x:v>
      </x:c>
    </x:row>
    <x:row r="242">
      <x:c r="A242" s="6" t="n">
        <x:v>45839</x:v>
      </x:c>
      <x:c r="B242" s="5" t="str">
        <x:v>Actual</x:v>
      </x:c>
      <x:c r="C242" s="5" t="str">
        <x:v>Subscription Revenue</x:v>
      </x:c>
      <x:c r="D242" s="5" t="str">
        <x:v>Revenue</x:v>
      </x:c>
      <x:c r="E242" s="9" t="n">
        <x:v>10</x:v>
      </x:c>
      <x:c r="F242" s="7" t="n">
        <x:v>9246914.88</x:v>
      </x:c>
    </x:row>
    <x:row r="243">
      <x:c r="A243" s="6" t="n">
        <x:v>45839</x:v>
      </x:c>
      <x:c r="B243" s="5" t="str">
        <x:v>Actual</x:v>
      </x:c>
      <x:c r="C243" s="5" t="str">
        <x:v>Professional Services Revenue</x:v>
      </x:c>
      <x:c r="D243" s="5" t="str">
        <x:v>Revenue</x:v>
      </x:c>
      <x:c r="E243" s="9" t="n">
        <x:v>20</x:v>
      </x:c>
      <x:c r="F243" s="7" t="n">
        <x:v>1368624.91</x:v>
      </x:c>
    </x:row>
    <x:row r="244">
      <x:c r="A244" s="6" t="n">
        <x:v>45839</x:v>
      </x:c>
      <x:c r="B244" s="5" t="str">
        <x:v>Actual</x:v>
      </x:c>
      <x:c r="C244" s="5" t="str">
        <x:v>Cost of Subscription</x:v>
      </x:c>
      <x:c r="D244" s="5" t="str">
        <x:v>Cost of Revenue</x:v>
      </x:c>
      <x:c r="E244" s="9" t="n">
        <x:v>40</x:v>
      </x:c>
      <x:c r="F244" s="7" t="n">
        <x:v>2101611.18</x:v>
      </x:c>
    </x:row>
    <x:row r="245">
      <x:c r="A245" s="6" t="n">
        <x:v>45839</x:v>
      </x:c>
      <x:c r="B245" s="5" t="str">
        <x:v>Actual</x:v>
      </x:c>
      <x:c r="C245" s="5" t="str">
        <x:v>Cost of Services</x:v>
      </x:c>
      <x:c r="D245" s="5" t="str">
        <x:v>Cost of Revenue</x:v>
      </x:c>
      <x:c r="E245" s="9" t="n">
        <x:v>60</x:v>
      </x:c>
      <x:c r="F245" s="7" t="n">
        <x:v>1167421.22</x:v>
      </x:c>
    </x:row>
    <x:row r="246">
      <x:c r="A246" s="6" t="n">
        <x:v>45839</x:v>
      </x:c>
      <x:c r="B246" s="5" t="str">
        <x:v>Actual</x:v>
      </x:c>
      <x:c r="C246" s="5" t="str">
        <x:v>Sales &amp; Marketing</x:v>
      </x:c>
      <x:c r="D246" s="5" t="str">
        <x:v>Operating Expense</x:v>
      </x:c>
      <x:c r="E246" s="9" t="n">
        <x:v>100</x:v>
      </x:c>
      <x:c r="F246" s="7" t="n">
        <x:v>2362533.1</x:v>
      </x:c>
    </x:row>
    <x:row r="247">
      <x:c r="A247" s="6" t="n">
        <x:v>45839</x:v>
      </x:c>
      <x:c r="B247" s="5" t="str">
        <x:v>Actual</x:v>
      </x:c>
      <x:c r="C247" s="5" t="str">
        <x:v>Research &amp; Development</x:v>
      </x:c>
      <x:c r="D247" s="5" t="str">
        <x:v>Operating Expense</x:v>
      </x:c>
      <x:c r="E247" s="9" t="n">
        <x:v>140</x:v>
      </x:c>
      <x:c r="F247" s="7" t="n">
        <x:v>2381982.59</x:v>
      </x:c>
    </x:row>
    <x:row r="248">
      <x:c r="A248" s="6" t="n">
        <x:v>45839</x:v>
      </x:c>
      <x:c r="B248" s="5" t="str">
        <x:v>Actual</x:v>
      </x:c>
      <x:c r="C248" s="5" t="str">
        <x:v>General &amp; Administrative</x:v>
      </x:c>
      <x:c r="D248" s="5" t="str">
        <x:v>Operating Expense</x:v>
      </x:c>
      <x:c r="E248" s="9" t="n">
        <x:v>160</x:v>
      </x:c>
      <x:c r="F248" s="7" t="n">
        <x:v>1628885.9</x:v>
      </x:c>
    </x:row>
    <x:row r="249">
      <x:c r="A249" s="6" t="n">
        <x:v>45839</x:v>
      </x:c>
      <x:c r="B249" s="5" t="str">
        <x:v>Actual</x:v>
      </x:c>
      <x:c r="C249" s="5" t="str">
        <x:v>Depreciation &amp; Amortization</x:v>
      </x:c>
      <x:c r="D249" s="5" t="str">
        <x:v>D&amp;A</x:v>
      </x:c>
      <x:c r="E249" s="9" t="n">
        <x:v>230</x:v>
      </x:c>
      <x:c r="F249" s="7" t="n">
        <x:v>191079.72</x:v>
      </x:c>
    </x:row>
    <x:row r="250">
      <x:c r="A250" s="6" t="n">
        <x:v>45870</x:v>
      </x:c>
      <x:c r="B250" s="5" t="str">
        <x:v>Actual</x:v>
      </x:c>
      <x:c r="C250" s="5" t="str">
        <x:v>Subscription Revenue</x:v>
      </x:c>
      <x:c r="D250" s="5" t="str">
        <x:v>Revenue</x:v>
      </x:c>
      <x:c r="E250" s="9" t="n">
        <x:v>10</x:v>
      </x:c>
      <x:c r="F250" s="7" t="n">
        <x:v>9335581.33</x:v>
      </x:c>
    </x:row>
    <x:row r="251">
      <x:c r="A251" s="6" t="n">
        <x:v>45870</x:v>
      </x:c>
      <x:c r="B251" s="5" t="str">
        <x:v>Actual</x:v>
      </x:c>
      <x:c r="C251" s="5" t="str">
        <x:v>Professional Services Revenue</x:v>
      </x:c>
      <x:c r="D251" s="5" t="str">
        <x:v>Revenue</x:v>
      </x:c>
      <x:c r="E251" s="9" t="n">
        <x:v>20</x:v>
      </x:c>
      <x:c r="F251" s="7" t="n">
        <x:v>1694764.42</x:v>
      </x:c>
    </x:row>
    <x:row r="252">
      <x:c r="A252" s="6" t="n">
        <x:v>45870</x:v>
      </x:c>
      <x:c r="B252" s="5" t="str">
        <x:v>Actual</x:v>
      </x:c>
      <x:c r="C252" s="5" t="str">
        <x:v>Cost of Subscription</x:v>
      </x:c>
      <x:c r="D252" s="5" t="str">
        <x:v>Cost of Revenue</x:v>
      </x:c>
      <x:c r="E252" s="9" t="n">
        <x:v>40</x:v>
      </x:c>
      <x:c r="F252" s="7" t="n">
        <x:v>2138609.91</x:v>
      </x:c>
    </x:row>
    <x:row r="253">
      <x:c r="A253" s="6" t="n">
        <x:v>45870</x:v>
      </x:c>
      <x:c r="B253" s="5" t="str">
        <x:v>Actual</x:v>
      </x:c>
      <x:c r="C253" s="5" t="str">
        <x:v>Cost of Services</x:v>
      </x:c>
      <x:c r="D253" s="5" t="str">
        <x:v>Cost of Revenue</x:v>
      </x:c>
      <x:c r="E253" s="9" t="n">
        <x:v>60</x:v>
      </x:c>
      <x:c r="F253" s="7" t="n">
        <x:v>1173477.23</x:v>
      </x:c>
    </x:row>
    <x:row r="254">
      <x:c r="A254" s="6" t="n">
        <x:v>45870</x:v>
      </x:c>
      <x:c r="B254" s="5" t="str">
        <x:v>Actual</x:v>
      </x:c>
      <x:c r="C254" s="5" t="str">
        <x:v>Sales &amp; Marketing</x:v>
      </x:c>
      <x:c r="D254" s="5" t="str">
        <x:v>Operating Expense</x:v>
      </x:c>
      <x:c r="E254" s="9" t="n">
        <x:v>100</x:v>
      </x:c>
      <x:c r="F254" s="7" t="n">
        <x:v>2402820.33</x:v>
      </x:c>
    </x:row>
    <x:row r="255">
      <x:c r="A255" s="6" t="n">
        <x:v>45870</x:v>
      </x:c>
      <x:c r="B255" s="5" t="str">
        <x:v>Actual</x:v>
      </x:c>
      <x:c r="C255" s="5" t="str">
        <x:v>Research &amp; Development</x:v>
      </x:c>
      <x:c r="D255" s="5" t="str">
        <x:v>Operating Expense</x:v>
      </x:c>
      <x:c r="E255" s="9" t="n">
        <x:v>140</x:v>
      </x:c>
      <x:c r="F255" s="7" t="n">
        <x:v>2421228.9</x:v>
      </x:c>
    </x:row>
    <x:row r="256">
      <x:c r="A256" s="6" t="n">
        <x:v>45870</x:v>
      </x:c>
      <x:c r="B256" s="5" t="str">
        <x:v>Actual</x:v>
      </x:c>
      <x:c r="C256" s="5" t="str">
        <x:v>General &amp; Administrative</x:v>
      </x:c>
      <x:c r="D256" s="5" t="str">
        <x:v>Operating Expense</x:v>
      </x:c>
      <x:c r="E256" s="9" t="n">
        <x:v>160</x:v>
      </x:c>
      <x:c r="F256" s="7" t="n">
        <x:v>1665509.39</x:v>
      </x:c>
    </x:row>
    <x:row r="257">
      <x:c r="A257" s="6" t="n">
        <x:v>45870</x:v>
      </x:c>
      <x:c r="B257" s="5" t="str">
        <x:v>Actual</x:v>
      </x:c>
      <x:c r="C257" s="5" t="str">
        <x:v>Depreciation &amp; Amortization</x:v>
      </x:c>
      <x:c r="D257" s="5" t="str">
        <x:v>D&amp;A</x:v>
      </x:c>
      <x:c r="E257" s="9" t="n">
        <x:v>230</x:v>
      </x:c>
      <x:c r="F257" s="7" t="n">
        <x:v>198546.22</x:v>
      </x:c>
    </x:row>
    <x:row r="258">
      <x:c r="A258" s="6" t="n">
        <x:v>45901</x:v>
      </x:c>
      <x:c r="B258" s="5" t="str">
        <x:v>Actual</x:v>
      </x:c>
      <x:c r="C258" s="5" t="str">
        <x:v>Subscription Revenue</x:v>
      </x:c>
      <x:c r="D258" s="5" t="str">
        <x:v>Revenue</x:v>
      </x:c>
      <x:c r="E258" s="9" t="n">
        <x:v>10</x:v>
      </x:c>
      <x:c r="F258" s="7" t="n">
        <x:v>9452391.09</x:v>
      </x:c>
    </x:row>
    <x:row r="259">
      <x:c r="A259" s="6" t="n">
        <x:v>45901</x:v>
      </x:c>
      <x:c r="B259" s="5" t="str">
        <x:v>Actual</x:v>
      </x:c>
      <x:c r="C259" s="5" t="str">
        <x:v>Professional Services Revenue</x:v>
      </x:c>
      <x:c r="D259" s="5" t="str">
        <x:v>Revenue</x:v>
      </x:c>
      <x:c r="E259" s="9" t="n">
        <x:v>20</x:v>
      </x:c>
      <x:c r="F259" s="7" t="n">
        <x:v>1738271.54</x:v>
      </x:c>
    </x:row>
    <x:row r="260">
      <x:c r="A260" s="6" t="n">
        <x:v>45901</x:v>
      </x:c>
      <x:c r="B260" s="5" t="str">
        <x:v>Actual</x:v>
      </x:c>
      <x:c r="C260" s="5" t="str">
        <x:v>Cost of Subscription</x:v>
      </x:c>
      <x:c r="D260" s="5" t="str">
        <x:v>Cost of Revenue</x:v>
      </x:c>
      <x:c r="E260" s="9" t="n">
        <x:v>40</x:v>
      </x:c>
      <x:c r="F260" s="7" t="n">
        <x:v>2144591.13</x:v>
      </x:c>
    </x:row>
    <x:row r="261">
      <x:c r="A261" s="6" t="n">
        <x:v>45901</x:v>
      </x:c>
      <x:c r="B261" s="5" t="str">
        <x:v>Actual</x:v>
      </x:c>
      <x:c r="C261" s="5" t="str">
        <x:v>Cost of Services</x:v>
      </x:c>
      <x:c r="D261" s="5" t="str">
        <x:v>Cost of Revenue</x:v>
      </x:c>
      <x:c r="E261" s="9" t="n">
        <x:v>60</x:v>
      </x:c>
      <x:c r="F261" s="7" t="n">
        <x:v>1188788.13</x:v>
      </x:c>
    </x:row>
    <x:row r="262">
      <x:c r="A262" s="6" t="n">
        <x:v>45901</x:v>
      </x:c>
      <x:c r="B262" s="5" t="str">
        <x:v>Actual</x:v>
      </x:c>
      <x:c r="C262" s="5" t="str">
        <x:v>Sales &amp; Marketing</x:v>
      </x:c>
      <x:c r="D262" s="5" t="str">
        <x:v>Operating Expense</x:v>
      </x:c>
      <x:c r="E262" s="9" t="n">
        <x:v>100</x:v>
      </x:c>
      <x:c r="F262" s="7" t="n">
        <x:v>2395917.9</x:v>
      </x:c>
    </x:row>
    <x:row r="263">
      <x:c r="A263" s="6" t="n">
        <x:v>45901</x:v>
      </x:c>
      <x:c r="B263" s="5" t="str">
        <x:v>Actual</x:v>
      </x:c>
      <x:c r="C263" s="5" t="str">
        <x:v>Research &amp; Development</x:v>
      </x:c>
      <x:c r="D263" s="5" t="str">
        <x:v>Operating Expense</x:v>
      </x:c>
      <x:c r="E263" s="9" t="n">
        <x:v>140</x:v>
      </x:c>
      <x:c r="F263" s="7" t="n">
        <x:v>2438291.22</x:v>
      </x:c>
    </x:row>
    <x:row r="264">
      <x:c r="A264" s="6" t="n">
        <x:v>45901</x:v>
      </x:c>
      <x:c r="B264" s="5" t="str">
        <x:v>Actual</x:v>
      </x:c>
      <x:c r="C264" s="5" t="str">
        <x:v>General &amp; Administrative</x:v>
      </x:c>
      <x:c r="D264" s="5" t="str">
        <x:v>Operating Expense</x:v>
      </x:c>
      <x:c r="E264" s="9" t="n">
        <x:v>160</x:v>
      </x:c>
      <x:c r="F264" s="7" t="n">
        <x:v>1645525.54</x:v>
      </x:c>
    </x:row>
    <x:row r="265">
      <x:c r="A265" s="6" t="n">
        <x:v>45901</x:v>
      </x:c>
      <x:c r="B265" s="5" t="str">
        <x:v>Actual</x:v>
      </x:c>
      <x:c r="C265" s="5" t="str">
        <x:v>Depreciation &amp; Amortization</x:v>
      </x:c>
      <x:c r="D265" s="5" t="str">
        <x:v>D&amp;A</x:v>
      </x:c>
      <x:c r="E265" s="9" t="n">
        <x:v>230</x:v>
      </x:c>
      <x:c r="F265" s="7" t="n">
        <x:v>201431.93</x:v>
      </x:c>
    </x:row>
    <x:row r="266">
      <x:c r="A266" s="6" t="n">
        <x:v>45931</x:v>
      </x:c>
      <x:c r="B266" s="5" t="str">
        <x:v>Actual</x:v>
      </x:c>
      <x:c r="C266" s="5" t="str">
        <x:v>Subscription Revenue</x:v>
      </x:c>
      <x:c r="D266" s="5" t="str">
        <x:v>Revenue</x:v>
      </x:c>
      <x:c r="E266" s="9" t="n">
        <x:v>10</x:v>
      </x:c>
      <x:c r="F266" s="7" t="n">
        <x:v>9526175.2</x:v>
      </x:c>
    </x:row>
    <x:row r="267">
      <x:c r="A267" s="6" t="n">
        <x:v>45931</x:v>
      </x:c>
      <x:c r="B267" s="5" t="str">
        <x:v>Actual</x:v>
      </x:c>
      <x:c r="C267" s="5" t="str">
        <x:v>Professional Services Revenue</x:v>
      </x:c>
      <x:c r="D267" s="5" t="str">
        <x:v>Revenue</x:v>
      </x:c>
      <x:c r="E267" s="9" t="n">
        <x:v>20</x:v>
      </x:c>
      <x:c r="F267" s="7" t="n">
        <x:v>2214499.16</x:v>
      </x:c>
    </x:row>
    <x:row r="268">
      <x:c r="A268" s="6" t="n">
        <x:v>45931</x:v>
      </x:c>
      <x:c r="B268" s="5" t="str">
        <x:v>Actual</x:v>
      </x:c>
      <x:c r="C268" s="5" t="str">
        <x:v>Cost of Subscription</x:v>
      </x:c>
      <x:c r="D268" s="5" t="str">
        <x:v>Cost of Revenue</x:v>
      </x:c>
      <x:c r="E268" s="9" t="n">
        <x:v>40</x:v>
      </x:c>
      <x:c r="F268" s="7" t="n">
        <x:v>2163718.7</x:v>
      </x:c>
    </x:row>
    <x:row r="269">
      <x:c r="A269" s="6" t="n">
        <x:v>45931</x:v>
      </x:c>
      <x:c r="B269" s="5" t="str">
        <x:v>Actual</x:v>
      </x:c>
      <x:c r="C269" s="5" t="str">
        <x:v>Cost of Services</x:v>
      </x:c>
      <x:c r="D269" s="5" t="str">
        <x:v>Cost of Revenue</x:v>
      </x:c>
      <x:c r="E269" s="9" t="n">
        <x:v>60</x:v>
      </x:c>
      <x:c r="F269" s="7" t="n">
        <x:v>1208044.08</x:v>
      </x:c>
    </x:row>
    <x:row r="270">
      <x:c r="A270" s="6" t="n">
        <x:v>45931</x:v>
      </x:c>
      <x:c r="B270" s="5" t="str">
        <x:v>Actual</x:v>
      </x:c>
      <x:c r="C270" s="5" t="str">
        <x:v>Sales &amp; Marketing</x:v>
      </x:c>
      <x:c r="D270" s="5" t="str">
        <x:v>Operating Expense</x:v>
      </x:c>
      <x:c r="E270" s="9" t="n">
        <x:v>100</x:v>
      </x:c>
      <x:c r="F270" s="7" t="n">
        <x:v>2574249.37</x:v>
      </x:c>
    </x:row>
    <x:row r="271">
      <x:c r="A271" s="6" t="n">
        <x:v>45931</x:v>
      </x:c>
      <x:c r="B271" s="5" t="str">
        <x:v>Actual</x:v>
      </x:c>
      <x:c r="C271" s="5" t="str">
        <x:v>Research &amp; Development</x:v>
      </x:c>
      <x:c r="D271" s="5" t="str">
        <x:v>Operating Expense</x:v>
      </x:c>
      <x:c r="E271" s="9" t="n">
        <x:v>140</x:v>
      </x:c>
      <x:c r="F271" s="7" t="n">
        <x:v>2402860.81</x:v>
      </x:c>
    </x:row>
    <x:row r="272">
      <x:c r="A272" s="6" t="n">
        <x:v>45931</x:v>
      </x:c>
      <x:c r="B272" s="5" t="str">
        <x:v>Actual</x:v>
      </x:c>
      <x:c r="C272" s="5" t="str">
        <x:v>General &amp; Administrative</x:v>
      </x:c>
      <x:c r="D272" s="5" t="str">
        <x:v>Operating Expense</x:v>
      </x:c>
      <x:c r="E272" s="9" t="n">
        <x:v>160</x:v>
      </x:c>
      <x:c r="F272" s="7" t="n">
        <x:v>1666406.03</x:v>
      </x:c>
    </x:row>
    <x:row r="273">
      <x:c r="A273" s="6" t="n">
        <x:v>45931</x:v>
      </x:c>
      <x:c r="B273" s="5" t="str">
        <x:v>Actual</x:v>
      </x:c>
      <x:c r="C273" s="5" t="str">
        <x:v>Depreciation &amp; Amortization</x:v>
      </x:c>
      <x:c r="D273" s="5" t="str">
        <x:v>D&amp;A</x:v>
      </x:c>
      <x:c r="E273" s="9" t="n">
        <x:v>230</x:v>
      </x:c>
      <x:c r="F273" s="7" t="n">
        <x:v>211332.14</x:v>
      </x:c>
    </x:row>
    <x:row r="274">
      <x:c r="A274" s="6" t="n">
        <x:v>45962</x:v>
      </x:c>
      <x:c r="B274" s="5" t="str">
        <x:v>Actual</x:v>
      </x:c>
      <x:c r="C274" s="5" t="str">
        <x:v>Subscription Revenue</x:v>
      </x:c>
      <x:c r="D274" s="5" t="str">
        <x:v>Revenue</x:v>
      </x:c>
      <x:c r="E274" s="9" t="n">
        <x:v>10</x:v>
      </x:c>
      <x:c r="F274" s="7" t="n">
        <x:v>9545415.48</x:v>
      </x:c>
    </x:row>
    <x:row r="275">
      <x:c r="A275" s="6" t="n">
        <x:v>45962</x:v>
      </x:c>
      <x:c r="B275" s="5" t="str">
        <x:v>Actual</x:v>
      </x:c>
      <x:c r="C275" s="5" t="str">
        <x:v>Professional Services Revenue</x:v>
      </x:c>
      <x:c r="D275" s="5" t="str">
        <x:v>Revenue</x:v>
      </x:c>
      <x:c r="E275" s="9" t="n">
        <x:v>20</x:v>
      </x:c>
      <x:c r="F275" s="7" t="n">
        <x:v>2410504.21</x:v>
      </x:c>
    </x:row>
    <x:row r="276">
      <x:c r="A276" s="6" t="n">
        <x:v>45962</x:v>
      </x:c>
      <x:c r="B276" s="5" t="str">
        <x:v>Actual</x:v>
      </x:c>
      <x:c r="C276" s="5" t="str">
        <x:v>Cost of Subscription</x:v>
      </x:c>
      <x:c r="D276" s="5" t="str">
        <x:v>Cost of Revenue</x:v>
      </x:c>
      <x:c r="E276" s="9" t="n">
        <x:v>40</x:v>
      </x:c>
      <x:c r="F276" s="7" t="n">
        <x:v>2157011.75</x:v>
      </x:c>
    </x:row>
    <x:row r="277">
      <x:c r="A277" s="6" t="n">
        <x:v>45962</x:v>
      </x:c>
      <x:c r="B277" s="5" t="str">
        <x:v>Actual</x:v>
      </x:c>
      <x:c r="C277" s="5" t="str">
        <x:v>Cost of Services</x:v>
      </x:c>
      <x:c r="D277" s="5" t="str">
        <x:v>Cost of Revenue</x:v>
      </x:c>
      <x:c r="E277" s="9" t="n">
        <x:v>60</x:v>
      </x:c>
      <x:c r="F277" s="7" t="n">
        <x:v>1180341.18</x:v>
      </x:c>
    </x:row>
    <x:row r="278">
      <x:c r="A278" s="6" t="n">
        <x:v>45962</x:v>
      </x:c>
      <x:c r="B278" s="5" t="str">
        <x:v>Actual</x:v>
      </x:c>
      <x:c r="C278" s="5" t="str">
        <x:v>Sales &amp; Marketing</x:v>
      </x:c>
      <x:c r="D278" s="5" t="str">
        <x:v>Operating Expense</x:v>
      </x:c>
      <x:c r="E278" s="9" t="n">
        <x:v>100</x:v>
      </x:c>
      <x:c r="F278" s="7" t="n">
        <x:v>2596130.22</x:v>
      </x:c>
    </x:row>
    <x:row r="279">
      <x:c r="A279" s="6" t="n">
        <x:v>45962</x:v>
      </x:c>
      <x:c r="B279" s="5" t="str">
        <x:v>Actual</x:v>
      </x:c>
      <x:c r="C279" s="5" t="str">
        <x:v>Research &amp; Development</x:v>
      </x:c>
      <x:c r="D279" s="5" t="str">
        <x:v>Operating Expense</x:v>
      </x:c>
      <x:c r="E279" s="9" t="n">
        <x:v>140</x:v>
      </x:c>
      <x:c r="F279" s="7" t="n">
        <x:v>2433488.91</x:v>
      </x:c>
    </x:row>
    <x:row r="280">
      <x:c r="A280" s="6" t="n">
        <x:v>45962</x:v>
      </x:c>
      <x:c r="B280" s="5" t="str">
        <x:v>Actual</x:v>
      </x:c>
      <x:c r="C280" s="5" t="str">
        <x:v>General &amp; Administrative</x:v>
      </x:c>
      <x:c r="D280" s="5" t="str">
        <x:v>Operating Expense</x:v>
      </x:c>
      <x:c r="E280" s="9" t="n">
        <x:v>160</x:v>
      </x:c>
      <x:c r="F280" s="7" t="n">
        <x:v>1671794.91</x:v>
      </x:c>
    </x:row>
    <x:row r="281">
      <x:c r="A281" s="6" t="n">
        <x:v>45962</x:v>
      </x:c>
      <x:c r="B281" s="5" t="str">
        <x:v>Actual</x:v>
      </x:c>
      <x:c r="C281" s="5" t="str">
        <x:v>Depreciation &amp; Amortization</x:v>
      </x:c>
      <x:c r="D281" s="5" t="str">
        <x:v>D&amp;A</x:v>
      </x:c>
      <x:c r="E281" s="9" t="n">
        <x:v>230</x:v>
      </x:c>
      <x:c r="F281" s="7" t="n">
        <x:v>215206.55</x:v>
      </x:c>
    </x:row>
    <x:row r="282">
      <x:c r="A282" s="6" t="n">
        <x:v>45992</x:v>
      </x:c>
      <x:c r="B282" s="5" t="str">
        <x:v>Actual</x:v>
      </x:c>
      <x:c r="C282" s="5" t="str">
        <x:v>Subscription Revenue</x:v>
      </x:c>
      <x:c r="D282" s="5" t="str">
        <x:v>Revenue</x:v>
      </x:c>
      <x:c r="E282" s="9" t="n">
        <x:v>10</x:v>
      </x:c>
      <x:c r="F282" s="7" t="n">
        <x:v>9606214.62</x:v>
      </x:c>
    </x:row>
    <x:row r="283">
      <x:c r="A283" s="6" t="n">
        <x:v>45992</x:v>
      </x:c>
      <x:c r="B283" s="5" t="str">
        <x:v>Actual</x:v>
      </x:c>
      <x:c r="C283" s="5" t="str">
        <x:v>Professional Services Revenue</x:v>
      </x:c>
      <x:c r="D283" s="5" t="str">
        <x:v>Revenue</x:v>
      </x:c>
      <x:c r="E283" s="9" t="n">
        <x:v>20</x:v>
      </x:c>
      <x:c r="F283" s="7" t="n">
        <x:v>1577135.66</x:v>
      </x:c>
    </x:row>
    <x:row r="284">
      <x:c r="A284" s="6" t="n">
        <x:v>45992</x:v>
      </x:c>
      <x:c r="B284" s="5" t="str">
        <x:v>Actual</x:v>
      </x:c>
      <x:c r="C284" s="5" t="str">
        <x:v>Cost of Subscription</x:v>
      </x:c>
      <x:c r="D284" s="5" t="str">
        <x:v>Cost of Revenue</x:v>
      </x:c>
      <x:c r="E284" s="9" t="n">
        <x:v>40</x:v>
      </x:c>
      <x:c r="F284" s="7" t="n">
        <x:v>2192345.28</x:v>
      </x:c>
    </x:row>
    <x:row r="285">
      <x:c r="A285" s="6" t="n">
        <x:v>45992</x:v>
      </x:c>
      <x:c r="B285" s="5" t="str">
        <x:v>Actual</x:v>
      </x:c>
      <x:c r="C285" s="5" t="str">
        <x:v>Cost of Services</x:v>
      </x:c>
      <x:c r="D285" s="5" t="str">
        <x:v>Cost of Revenue</x:v>
      </x:c>
      <x:c r="E285" s="9" t="n">
        <x:v>60</x:v>
      </x:c>
      <x:c r="F285" s="7" t="n">
        <x:v>1155602.48</x:v>
      </x:c>
    </x:row>
    <x:row r="286">
      <x:c r="A286" s="6" t="n">
        <x:v>45992</x:v>
      </x:c>
      <x:c r="B286" s="5" t="str">
        <x:v>Actual</x:v>
      </x:c>
      <x:c r="C286" s="5" t="str">
        <x:v>Sales &amp; Marketing</x:v>
      </x:c>
      <x:c r="D286" s="5" t="str">
        <x:v>Operating Expense</x:v>
      </x:c>
      <x:c r="E286" s="9" t="n">
        <x:v>100</x:v>
      </x:c>
      <x:c r="F286" s="7" t="n">
        <x:v>2563315.45</x:v>
      </x:c>
    </x:row>
    <x:row r="287">
      <x:c r="A287" s="6" t="n">
        <x:v>45992</x:v>
      </x:c>
      <x:c r="B287" s="5" t="str">
        <x:v>Actual</x:v>
      </x:c>
      <x:c r="C287" s="5" t="str">
        <x:v>Research &amp; Development</x:v>
      </x:c>
      <x:c r="D287" s="5" t="str">
        <x:v>Operating Expense</x:v>
      </x:c>
      <x:c r="E287" s="9" t="n">
        <x:v>140</x:v>
      </x:c>
      <x:c r="F287" s="7" t="n">
        <x:v>2420851.72</x:v>
      </x:c>
    </x:row>
    <x:row r="288">
      <x:c r="A288" s="6" t="n">
        <x:v>45992</x:v>
      </x:c>
      <x:c r="B288" s="5" t="str">
        <x:v>Actual</x:v>
      </x:c>
      <x:c r="C288" s="5" t="str">
        <x:v>General &amp; Administrative</x:v>
      </x:c>
      <x:c r="D288" s="5" t="str">
        <x:v>Operating Expense</x:v>
      </x:c>
      <x:c r="E288" s="9" t="n">
        <x:v>160</x:v>
      </x:c>
      <x:c r="F288" s="7" t="n">
        <x:v>1633136.89</x:v>
      </x:c>
    </x:row>
    <x:row r="289">
      <x:c r="A289" s="6" t="n">
        <x:v>45992</x:v>
      </x:c>
      <x:c r="B289" s="5" t="str">
        <x:v>Actual</x:v>
      </x:c>
      <x:c r="C289" s="5" t="str">
        <x:v>Depreciation &amp; Amortization</x:v>
      </x:c>
      <x:c r="D289" s="5" t="str">
        <x:v>D&amp;A</x:v>
      </x:c>
      <x:c r="E289" s="9" t="n">
        <x:v>230</x:v>
      </x:c>
      <x:c r="F289" s="7" t="n">
        <x:v>201300.31</x:v>
      </x:c>
    </x:row>
    <x:row r="290">
      <x:c r="A290" s="6" t="n">
        <x:v>46023</x:v>
      </x:c>
      <x:c r="B290" s="5" t="str">
        <x:v>Actual</x:v>
      </x:c>
      <x:c r="C290" s="5" t="str">
        <x:v>Subscription Revenue</x:v>
      </x:c>
      <x:c r="D290" s="5" t="str">
        <x:v>Revenue</x:v>
      </x:c>
      <x:c r="E290" s="9" t="n">
        <x:v>10</x:v>
      </x:c>
      <x:c r="F290" s="7" t="n">
        <x:v>9723598.24</x:v>
      </x:c>
    </x:row>
    <x:row r="291">
      <x:c r="A291" s="6" t="n">
        <x:v>46023</x:v>
      </x:c>
      <x:c r="B291" s="5" t="str">
        <x:v>Actual</x:v>
      </x:c>
      <x:c r="C291" s="5" t="str">
        <x:v>Professional Services Revenue</x:v>
      </x:c>
      <x:c r="D291" s="5" t="str">
        <x:v>Revenue</x:v>
      </x:c>
      <x:c r="E291" s="9" t="n">
        <x:v>20</x:v>
      </x:c>
      <x:c r="F291" s="7" t="n">
        <x:v>1668592.53</x:v>
      </x:c>
    </x:row>
    <x:row r="292">
      <x:c r="A292" s="6" t="n">
        <x:v>46023</x:v>
      </x:c>
      <x:c r="B292" s="5" t="str">
        <x:v>Actual</x:v>
      </x:c>
      <x:c r="C292" s="5" t="str">
        <x:v>Cost of Subscription</x:v>
      </x:c>
      <x:c r="D292" s="5" t="str">
        <x:v>Cost of Revenue</x:v>
      </x:c>
      <x:c r="E292" s="9" t="n">
        <x:v>40</x:v>
      </x:c>
      <x:c r="F292" s="7" t="n">
        <x:v>2269755.03</x:v>
      </x:c>
    </x:row>
    <x:row r="293">
      <x:c r="A293" s="6" t="n">
        <x:v>46023</x:v>
      </x:c>
      <x:c r="B293" s="5" t="str">
        <x:v>Actual</x:v>
      </x:c>
      <x:c r="C293" s="5" t="str">
        <x:v>Cost of Services</x:v>
      </x:c>
      <x:c r="D293" s="5" t="str">
        <x:v>Cost of Revenue</x:v>
      </x:c>
      <x:c r="E293" s="9" t="n">
        <x:v>60</x:v>
      </x:c>
      <x:c r="F293" s="7" t="n">
        <x:v>1228811.8</x:v>
      </x:c>
    </x:row>
    <x:row r="294">
      <x:c r="A294" s="6" t="n">
        <x:v>46023</x:v>
      </x:c>
      <x:c r="B294" s="5" t="str">
        <x:v>Actual</x:v>
      </x:c>
      <x:c r="C294" s="5" t="str">
        <x:v>Sales &amp; Marketing</x:v>
      </x:c>
      <x:c r="D294" s="5" t="str">
        <x:v>Operating Expense</x:v>
      </x:c>
      <x:c r="E294" s="9" t="n">
        <x:v>100</x:v>
      </x:c>
      <x:c r="F294" s="7" t="n">
        <x:v>2603511.97</x:v>
      </x:c>
    </x:row>
    <x:row r="295">
      <x:c r="A295" s="6" t="n">
        <x:v>46023</x:v>
      </x:c>
      <x:c r="B295" s="5" t="str">
        <x:v>Actual</x:v>
      </x:c>
      <x:c r="C295" s="5" t="str">
        <x:v>Research &amp; Development</x:v>
      </x:c>
      <x:c r="D295" s="5" t="str">
        <x:v>Operating Expense</x:v>
      </x:c>
      <x:c r="E295" s="9" t="n">
        <x:v>140</x:v>
      </x:c>
      <x:c r="F295" s="7" t="n">
        <x:v>2558144.16</x:v>
      </x:c>
    </x:row>
    <x:row r="296">
      <x:c r="A296" s="6" t="n">
        <x:v>46023</x:v>
      </x:c>
      <x:c r="B296" s="5" t="str">
        <x:v>Actual</x:v>
      </x:c>
      <x:c r="C296" s="5" t="str">
        <x:v>General &amp; Administrative</x:v>
      </x:c>
      <x:c r="D296" s="5" t="str">
        <x:v>Operating Expense</x:v>
      </x:c>
      <x:c r="E296" s="9" t="n">
        <x:v>160</x:v>
      </x:c>
      <x:c r="F296" s="7" t="n">
        <x:v>1781737.32</x:v>
      </x:c>
    </x:row>
    <x:row r="297">
      <x:c r="A297" s="6" t="n">
        <x:v>46023</x:v>
      </x:c>
      <x:c r="B297" s="5" t="str">
        <x:v>Actual</x:v>
      </x:c>
      <x:c r="C297" s="5" t="str">
        <x:v>Depreciation &amp; Amortization</x:v>
      </x:c>
      <x:c r="D297" s="5" t="str">
        <x:v>D&amp;A</x:v>
      </x:c>
      <x:c r="E297" s="9" t="n">
        <x:v>230</x:v>
      </x:c>
      <x:c r="F297" s="7" t="n">
        <x:v>205059.43</x:v>
      </x:c>
    </x:row>
    <x:row r="298">
      <x:c r="A298" s="6" t="n">
        <x:v>46023</x:v>
      </x:c>
      <x:c r="B298" s="5" t="str">
        <x:v>Budget</x:v>
      </x:c>
      <x:c r="C298" s="5" t="str">
        <x:v>Subscription Revenue</x:v>
      </x:c>
      <x:c r="D298" s="5" t="str">
        <x:v>Revenue</x:v>
      </x:c>
      <x:c r="E298" s="9" t="n">
        <x:v>10</x:v>
      </x:c>
      <x:c r="F298" s="7" t="n">
        <x:v>9964981.12</x:v>
      </x:c>
    </x:row>
    <x:row r="299">
      <x:c r="A299" s="6" t="n">
        <x:v>46023</x:v>
      </x:c>
      <x:c r="B299" s="5" t="str">
        <x:v>Budget</x:v>
      </x:c>
      <x:c r="C299" s="5" t="str">
        <x:v>Professional Services Revenue</x:v>
      </x:c>
      <x:c r="D299" s="5" t="str">
        <x:v>Revenue</x:v>
      </x:c>
      <x:c r="E299" s="9" t="n">
        <x:v>20</x:v>
      </x:c>
      <x:c r="F299" s="7" t="n">
        <x:v>2289609.48</x:v>
      </x:c>
    </x:row>
    <x:row r="300">
      <x:c r="A300" s="6" t="n">
        <x:v>46023</x:v>
      </x:c>
      <x:c r="B300" s="5" t="str">
        <x:v>Budget</x:v>
      </x:c>
      <x:c r="C300" s="5" t="str">
        <x:v>Cost of Subscription</x:v>
      </x:c>
      <x:c r="D300" s="5" t="str">
        <x:v>Cost of Revenue</x:v>
      </x:c>
      <x:c r="E300" s="9" t="n">
        <x:v>40</x:v>
      </x:c>
      <x:c r="F300" s="7" t="n">
        <x:v>2185030.54</x:v>
      </x:c>
    </x:row>
    <x:row r="301">
      <x:c r="A301" s="6" t="n">
        <x:v>46023</x:v>
      </x:c>
      <x:c r="B301" s="5" t="str">
        <x:v>Budget</x:v>
      </x:c>
      <x:c r="C301" s="5" t="str">
        <x:v>Cost of Services</x:v>
      </x:c>
      <x:c r="D301" s="5" t="str">
        <x:v>Cost of Revenue</x:v>
      </x:c>
      <x:c r="E301" s="9" t="n">
        <x:v>60</x:v>
      </x:c>
      <x:c r="F301" s="7" t="n">
        <x:v>1398494.26</x:v>
      </x:c>
    </x:row>
    <x:row r="302">
      <x:c r="A302" s="6" t="n">
        <x:v>46023</x:v>
      </x:c>
      <x:c r="B302" s="5" t="str">
        <x:v>Budget</x:v>
      </x:c>
      <x:c r="C302" s="5" t="str">
        <x:v>Sales &amp; Marketing</x:v>
      </x:c>
      <x:c r="D302" s="5" t="str">
        <x:v>Operating Expense</x:v>
      </x:c>
      <x:c r="E302" s="9" t="n">
        <x:v>100</x:v>
      </x:c>
      <x:c r="F302" s="7" t="n">
        <x:v>2678482</x:v>
      </x:c>
    </x:row>
    <x:row r="303">
      <x:c r="A303" s="6" t="n">
        <x:v>46023</x:v>
      </x:c>
      <x:c r="B303" s="5" t="str">
        <x:v>Budget</x:v>
      </x:c>
      <x:c r="C303" s="5" t="str">
        <x:v>Research &amp; Development</x:v>
      </x:c>
      <x:c r="D303" s="5" t="str">
        <x:v>Operating Expense</x:v>
      </x:c>
      <x:c r="E303" s="9" t="n">
        <x:v>140</x:v>
      </x:c>
      <x:c r="F303" s="7" t="n">
        <x:v>2616029.6</x:v>
      </x:c>
    </x:row>
    <x:row r="304">
      <x:c r="A304" s="6" t="n">
        <x:v>46023</x:v>
      </x:c>
      <x:c r="B304" s="5" t="str">
        <x:v>Budget</x:v>
      </x:c>
      <x:c r="C304" s="5" t="str">
        <x:v>General &amp; Administrative</x:v>
      </x:c>
      <x:c r="D304" s="5" t="str">
        <x:v>Operating Expense</x:v>
      </x:c>
      <x:c r="E304" s="9" t="n">
        <x:v>160</x:v>
      </x:c>
      <x:c r="F304" s="7" t="n">
        <x:v>1797733.04</x:v>
      </x:c>
    </x:row>
    <x:row r="305">
      <x:c r="A305" s="6" t="n">
        <x:v>46023</x:v>
      </x:c>
      <x:c r="B305" s="5" t="str">
        <x:v>Budget</x:v>
      </x:c>
      <x:c r="C305" s="5" t="str">
        <x:v>Depreciation &amp; Amortization</x:v>
      </x:c>
      <x:c r="D305" s="5" t="str">
        <x:v>D&amp;A</x:v>
      </x:c>
      <x:c r="E305" s="9" t="n">
        <x:v>230</x:v>
      </x:c>
      <x:c r="F305" s="7" t="n">
        <x:v>206975.9</x:v>
      </x:c>
    </x:row>
    <x:row r="306">
      <x:c r="A306" s="6" t="n">
        <x:v>46023</x:v>
      </x:c>
      <x:c r="B306" s="5" t="str">
        <x:v>Q2 Forecast</x:v>
      </x:c>
      <x:c r="C306" s="5" t="str">
        <x:v>Subscription Revenue</x:v>
      </x:c>
      <x:c r="D306" s="5" t="str">
        <x:v>Revenue</x:v>
      </x:c>
      <x:c r="E306" s="9" t="n">
        <x:v>10</x:v>
      </x:c>
      <x:c r="F306" s="7" t="n">
        <x:v>9723598.24</x:v>
      </x:c>
    </x:row>
    <x:row r="307">
      <x:c r="A307" s="6" t="n">
        <x:v>46023</x:v>
      </x:c>
      <x:c r="B307" s="5" t="str">
        <x:v>Q2 Forecast</x:v>
      </x:c>
      <x:c r="C307" s="5" t="str">
        <x:v>Professional Services Revenue</x:v>
      </x:c>
      <x:c r="D307" s="5" t="str">
        <x:v>Revenue</x:v>
      </x:c>
      <x:c r="E307" s="9" t="n">
        <x:v>20</x:v>
      </x:c>
      <x:c r="F307" s="7" t="n">
        <x:v>1668592.53</x:v>
      </x:c>
    </x:row>
    <x:row r="308">
      <x:c r="A308" s="6" t="n">
        <x:v>46023</x:v>
      </x:c>
      <x:c r="B308" s="5" t="str">
        <x:v>Q2 Forecast</x:v>
      </x:c>
      <x:c r="C308" s="5" t="str">
        <x:v>Cost of Subscription</x:v>
      </x:c>
      <x:c r="D308" s="5" t="str">
        <x:v>Cost of Revenue</x:v>
      </x:c>
      <x:c r="E308" s="9" t="n">
        <x:v>40</x:v>
      </x:c>
      <x:c r="F308" s="7" t="n">
        <x:v>2269755.03</x:v>
      </x:c>
    </x:row>
    <x:row r="309">
      <x:c r="A309" s="6" t="n">
        <x:v>46023</x:v>
      </x:c>
      <x:c r="B309" s="5" t="str">
        <x:v>Q2 Forecast</x:v>
      </x:c>
      <x:c r="C309" s="5" t="str">
        <x:v>Cost of Services</x:v>
      </x:c>
      <x:c r="D309" s="5" t="str">
        <x:v>Cost of Revenue</x:v>
      </x:c>
      <x:c r="E309" s="9" t="n">
        <x:v>60</x:v>
      </x:c>
      <x:c r="F309" s="7" t="n">
        <x:v>1228811.8</x:v>
      </x:c>
    </x:row>
    <x:row r="310">
      <x:c r="A310" s="6" t="n">
        <x:v>46023</x:v>
      </x:c>
      <x:c r="B310" s="5" t="str">
        <x:v>Q2 Forecast</x:v>
      </x:c>
      <x:c r="C310" s="5" t="str">
        <x:v>Sales &amp; Marketing</x:v>
      </x:c>
      <x:c r="D310" s="5" t="str">
        <x:v>Operating Expense</x:v>
      </x:c>
      <x:c r="E310" s="9" t="n">
        <x:v>100</x:v>
      </x:c>
      <x:c r="F310" s="7" t="n">
        <x:v>2603511.97</x:v>
      </x:c>
    </x:row>
    <x:row r="311">
      <x:c r="A311" s="6" t="n">
        <x:v>46023</x:v>
      </x:c>
      <x:c r="B311" s="5" t="str">
        <x:v>Q2 Forecast</x:v>
      </x:c>
      <x:c r="C311" s="5" t="str">
        <x:v>Research &amp; Development</x:v>
      </x:c>
      <x:c r="D311" s="5" t="str">
        <x:v>Operating Expense</x:v>
      </x:c>
      <x:c r="E311" s="9" t="n">
        <x:v>140</x:v>
      </x:c>
      <x:c r="F311" s="7" t="n">
        <x:v>2558144.16</x:v>
      </x:c>
    </x:row>
    <x:row r="312">
      <x:c r="A312" s="6" t="n">
        <x:v>46023</x:v>
      </x:c>
      <x:c r="B312" s="5" t="str">
        <x:v>Q2 Forecast</x:v>
      </x:c>
      <x:c r="C312" s="5" t="str">
        <x:v>General &amp; Administrative</x:v>
      </x:c>
      <x:c r="D312" s="5" t="str">
        <x:v>Operating Expense</x:v>
      </x:c>
      <x:c r="E312" s="9" t="n">
        <x:v>160</x:v>
      </x:c>
      <x:c r="F312" s="7" t="n">
        <x:v>1781737.32</x:v>
      </x:c>
    </x:row>
    <x:row r="313">
      <x:c r="A313" s="6" t="n">
        <x:v>46023</x:v>
      </x:c>
      <x:c r="B313" s="5" t="str">
        <x:v>Q2 Forecast</x:v>
      </x:c>
      <x:c r="C313" s="5" t="str">
        <x:v>Depreciation &amp; Amortization</x:v>
      </x:c>
      <x:c r="D313" s="5" t="str">
        <x:v>D&amp;A</x:v>
      </x:c>
      <x:c r="E313" s="9" t="n">
        <x:v>230</x:v>
      </x:c>
      <x:c r="F313" s="7" t="n">
        <x:v>205059.43</x:v>
      </x:c>
    </x:row>
    <x:row r="314">
      <x:c r="A314" s="6" t="n">
        <x:v>46054</x:v>
      </x:c>
      <x:c r="B314" s="5" t="str">
        <x:v>Actual</x:v>
      </x:c>
      <x:c r="C314" s="5" t="str">
        <x:v>Subscription Revenue</x:v>
      </x:c>
      <x:c r="D314" s="5" t="str">
        <x:v>Revenue</x:v>
      </x:c>
      <x:c r="E314" s="9" t="n">
        <x:v>10</x:v>
      </x:c>
      <x:c r="F314" s="7" t="n">
        <x:v>9872349.5</x:v>
      </x:c>
    </x:row>
    <x:row r="315">
      <x:c r="A315" s="6" t="n">
        <x:v>46054</x:v>
      </x:c>
      <x:c r="B315" s="5" t="str">
        <x:v>Actual</x:v>
      </x:c>
      <x:c r="C315" s="5" t="str">
        <x:v>Professional Services Revenue</x:v>
      </x:c>
      <x:c r="D315" s="5" t="str">
        <x:v>Revenue</x:v>
      </x:c>
      <x:c r="E315" s="9" t="n">
        <x:v>20</x:v>
      </x:c>
      <x:c r="F315" s="7" t="n">
        <x:v>1821056.82</x:v>
      </x:c>
    </x:row>
    <x:row r="316">
      <x:c r="A316" s="6" t="n">
        <x:v>46054</x:v>
      </x:c>
      <x:c r="B316" s="5" t="str">
        <x:v>Actual</x:v>
      </x:c>
      <x:c r="C316" s="5" t="str">
        <x:v>Cost of Subscription</x:v>
      </x:c>
      <x:c r="D316" s="5" t="str">
        <x:v>Cost of Revenue</x:v>
      </x:c>
      <x:c r="E316" s="9" t="n">
        <x:v>40</x:v>
      </x:c>
      <x:c r="F316" s="7" t="n">
        <x:v>2295336.31</x:v>
      </x:c>
    </x:row>
    <x:row r="317">
      <x:c r="A317" s="6" t="n">
        <x:v>46054</x:v>
      </x:c>
      <x:c r="B317" s="5" t="str">
        <x:v>Actual</x:v>
      </x:c>
      <x:c r="C317" s="5" t="str">
        <x:v>Cost of Services</x:v>
      </x:c>
      <x:c r="D317" s="5" t="str">
        <x:v>Cost of Revenue</x:v>
      </x:c>
      <x:c r="E317" s="9" t="n">
        <x:v>60</x:v>
      </x:c>
      <x:c r="F317" s="7" t="n">
        <x:v>1227088.8</x:v>
      </x:c>
    </x:row>
    <x:row r="318">
      <x:c r="A318" s="6" t="n">
        <x:v>46054</x:v>
      </x:c>
      <x:c r="B318" s="5" t="str">
        <x:v>Actual</x:v>
      </x:c>
      <x:c r="C318" s="5" t="str">
        <x:v>Sales &amp; Marketing</x:v>
      </x:c>
      <x:c r="D318" s="5" t="str">
        <x:v>Operating Expense</x:v>
      </x:c>
      <x:c r="E318" s="9" t="n">
        <x:v>100</x:v>
      </x:c>
      <x:c r="F318" s="7" t="n">
        <x:v>2599615.61</x:v>
      </x:c>
    </x:row>
    <x:row r="319">
      <x:c r="A319" s="6" t="n">
        <x:v>46054</x:v>
      </x:c>
      <x:c r="B319" s="5" t="str">
        <x:v>Actual</x:v>
      </x:c>
      <x:c r="C319" s="5" t="str">
        <x:v>Research &amp; Development</x:v>
      </x:c>
      <x:c r="D319" s="5" t="str">
        <x:v>Operating Expense</x:v>
      </x:c>
      <x:c r="E319" s="9" t="n">
        <x:v>140</x:v>
      </x:c>
      <x:c r="F319" s="7" t="n">
        <x:v>2597812.04</x:v>
      </x:c>
    </x:row>
    <x:row r="320">
      <x:c r="A320" s="6" t="n">
        <x:v>46054</x:v>
      </x:c>
      <x:c r="B320" s="5" t="str">
        <x:v>Actual</x:v>
      </x:c>
      <x:c r="C320" s="5" t="str">
        <x:v>General &amp; Administrative</x:v>
      </x:c>
      <x:c r="D320" s="5" t="str">
        <x:v>Operating Expense</x:v>
      </x:c>
      <x:c r="E320" s="9" t="n">
        <x:v>160</x:v>
      </x:c>
      <x:c r="F320" s="7" t="n">
        <x:v>1753583.18</x:v>
      </x:c>
    </x:row>
    <x:row r="321">
      <x:c r="A321" s="6" t="n">
        <x:v>46054</x:v>
      </x:c>
      <x:c r="B321" s="5" t="str">
        <x:v>Actual</x:v>
      </x:c>
      <x:c r="C321" s="5" t="str">
        <x:v>Depreciation &amp; Amortization</x:v>
      </x:c>
      <x:c r="D321" s="5" t="str">
        <x:v>D&amp;A</x:v>
      </x:c>
      <x:c r="E321" s="9" t="n">
        <x:v>230</x:v>
      </x:c>
      <x:c r="F321" s="7" t="n">
        <x:v>210481.31</x:v>
      </x:c>
    </x:row>
    <x:row r="322">
      <x:c r="A322" s="6" t="n">
        <x:v>46054</x:v>
      </x:c>
      <x:c r="B322" s="5" t="str">
        <x:v>Budget</x:v>
      </x:c>
      <x:c r="C322" s="5" t="str">
        <x:v>Subscription Revenue</x:v>
      </x:c>
      <x:c r="D322" s="5" t="str">
        <x:v>Revenue</x:v>
      </x:c>
      <x:c r="E322" s="9" t="n">
        <x:v>10</x:v>
      </x:c>
      <x:c r="F322" s="7" t="n">
        <x:v>10056454.75</x:v>
      </x:c>
    </x:row>
    <x:row r="323">
      <x:c r="A323" s="6" t="n">
        <x:v>46054</x:v>
      </x:c>
      <x:c r="B323" s="5" t="str">
        <x:v>Budget</x:v>
      </x:c>
      <x:c r="C323" s="5" t="str">
        <x:v>Professional Services Revenue</x:v>
      </x:c>
      <x:c r="D323" s="5" t="str">
        <x:v>Revenue</x:v>
      </x:c>
      <x:c r="E323" s="9" t="n">
        <x:v>20</x:v>
      </x:c>
      <x:c r="F323" s="7" t="n">
        <x:v>2532217.95</x:v>
      </x:c>
    </x:row>
    <x:row r="324">
      <x:c r="A324" s="6" t="n">
        <x:v>46054</x:v>
      </x:c>
      <x:c r="B324" s="5" t="str">
        <x:v>Budget</x:v>
      </x:c>
      <x:c r="C324" s="5" t="str">
        <x:v>Cost of Subscription</x:v>
      </x:c>
      <x:c r="D324" s="5" t="str">
        <x:v>Cost of Revenue</x:v>
      </x:c>
      <x:c r="E324" s="9" t="n">
        <x:v>40</x:v>
      </x:c>
      <x:c r="F324" s="7" t="n">
        <x:v>2210715.4</x:v>
      </x:c>
    </x:row>
    <x:row r="325">
      <x:c r="A325" s="6" t="n">
        <x:v>46054</x:v>
      </x:c>
      <x:c r="B325" s="5" t="str">
        <x:v>Budget</x:v>
      </x:c>
      <x:c r="C325" s="5" t="str">
        <x:v>Cost of Services</x:v>
      </x:c>
      <x:c r="D325" s="5" t="str">
        <x:v>Cost of Revenue</x:v>
      </x:c>
      <x:c r="E325" s="9" t="n">
        <x:v>60</x:v>
      </x:c>
      <x:c r="F325" s="7" t="n">
        <x:v>1438065.35</x:v>
      </x:c>
    </x:row>
    <x:row r="326">
      <x:c r="A326" s="6" t="n">
        <x:v>46054</x:v>
      </x:c>
      <x:c r="B326" s="5" t="str">
        <x:v>Budget</x:v>
      </x:c>
      <x:c r="C326" s="5" t="str">
        <x:v>Sales &amp; Marketing</x:v>
      </x:c>
      <x:c r="D326" s="5" t="str">
        <x:v>Operating Expense</x:v>
      </x:c>
      <x:c r="E326" s="9" t="n">
        <x:v>100</x:v>
      </x:c>
      <x:c r="F326" s="7" t="n">
        <x:v>2699862.33</x:v>
      </x:c>
    </x:row>
    <x:row r="327">
      <x:c r="A327" s="6" t="n">
        <x:v>46054</x:v>
      </x:c>
      <x:c r="B327" s="5" t="str">
        <x:v>Budget</x:v>
      </x:c>
      <x:c r="C327" s="5" t="str">
        <x:v>Research &amp; Development</x:v>
      </x:c>
      <x:c r="D327" s="5" t="str">
        <x:v>Operating Expense</x:v>
      </x:c>
      <x:c r="E327" s="9" t="n">
        <x:v>140</x:v>
      </x:c>
      <x:c r="F327" s="7" t="n">
        <x:v>2630696.6</x:v>
      </x:c>
    </x:row>
    <x:row r="328">
      <x:c r="A328" s="6" t="n">
        <x:v>46054</x:v>
      </x:c>
      <x:c r="B328" s="5" t="str">
        <x:v>Budget</x:v>
      </x:c>
      <x:c r="C328" s="5" t="str">
        <x:v>General &amp; Administrative</x:v>
      </x:c>
      <x:c r="D328" s="5" t="str">
        <x:v>Operating Expense</x:v>
      </x:c>
      <x:c r="E328" s="9" t="n">
        <x:v>160</x:v>
      </x:c>
      <x:c r="F328" s="7" t="n">
        <x:v>1840471.09</x:v>
      </x:c>
    </x:row>
    <x:row r="329">
      <x:c r="A329" s="6" t="n">
        <x:v>46054</x:v>
      </x:c>
      <x:c r="B329" s="5" t="str">
        <x:v>Budget</x:v>
      </x:c>
      <x:c r="C329" s="5" t="str">
        <x:v>Depreciation &amp; Amortization</x:v>
      </x:c>
      <x:c r="D329" s="5" t="str">
        <x:v>D&amp;A</x:v>
      </x:c>
      <x:c r="E329" s="9" t="n">
        <x:v>230</x:v>
      </x:c>
      <x:c r="F329" s="7" t="n">
        <x:v>212724.53</x:v>
      </x:c>
    </x:row>
    <x:row r="330">
      <x:c r="A330" s="6" t="n">
        <x:v>46054</x:v>
      </x:c>
      <x:c r="B330" s="5" t="str">
        <x:v>Q2 Forecast</x:v>
      </x:c>
      <x:c r="C330" s="5" t="str">
        <x:v>Subscription Revenue</x:v>
      </x:c>
      <x:c r="D330" s="5" t="str">
        <x:v>Revenue</x:v>
      </x:c>
      <x:c r="E330" s="9" t="n">
        <x:v>10</x:v>
      </x:c>
      <x:c r="F330" s="7" t="n">
        <x:v>9872349.5</x:v>
      </x:c>
    </x:row>
    <x:row r="331">
      <x:c r="A331" s="6" t="n">
        <x:v>46054</x:v>
      </x:c>
      <x:c r="B331" s="5" t="str">
        <x:v>Q2 Forecast</x:v>
      </x:c>
      <x:c r="C331" s="5" t="str">
        <x:v>Professional Services Revenue</x:v>
      </x:c>
      <x:c r="D331" s="5" t="str">
        <x:v>Revenue</x:v>
      </x:c>
      <x:c r="E331" s="9" t="n">
        <x:v>20</x:v>
      </x:c>
      <x:c r="F331" s="7" t="n">
        <x:v>1821056.82</x:v>
      </x:c>
    </x:row>
    <x:row r="332">
      <x:c r="A332" s="6" t="n">
        <x:v>46054</x:v>
      </x:c>
      <x:c r="B332" s="5" t="str">
        <x:v>Q2 Forecast</x:v>
      </x:c>
      <x:c r="C332" s="5" t="str">
        <x:v>Cost of Subscription</x:v>
      </x:c>
      <x:c r="D332" s="5" t="str">
        <x:v>Cost of Revenue</x:v>
      </x:c>
      <x:c r="E332" s="9" t="n">
        <x:v>40</x:v>
      </x:c>
      <x:c r="F332" s="7" t="n">
        <x:v>2295336.31</x:v>
      </x:c>
    </x:row>
    <x:row r="333">
      <x:c r="A333" s="6" t="n">
        <x:v>46054</x:v>
      </x:c>
      <x:c r="B333" s="5" t="str">
        <x:v>Q2 Forecast</x:v>
      </x:c>
      <x:c r="C333" s="5" t="str">
        <x:v>Cost of Services</x:v>
      </x:c>
      <x:c r="D333" s="5" t="str">
        <x:v>Cost of Revenue</x:v>
      </x:c>
      <x:c r="E333" s="9" t="n">
        <x:v>60</x:v>
      </x:c>
      <x:c r="F333" s="7" t="n">
        <x:v>1227088.8</x:v>
      </x:c>
    </x:row>
    <x:row r="334">
      <x:c r="A334" s="6" t="n">
        <x:v>46054</x:v>
      </x:c>
      <x:c r="B334" s="5" t="str">
        <x:v>Q2 Forecast</x:v>
      </x:c>
      <x:c r="C334" s="5" t="str">
        <x:v>Sales &amp; Marketing</x:v>
      </x:c>
      <x:c r="D334" s="5" t="str">
        <x:v>Operating Expense</x:v>
      </x:c>
      <x:c r="E334" s="9" t="n">
        <x:v>100</x:v>
      </x:c>
      <x:c r="F334" s="7" t="n">
        <x:v>2599615.61</x:v>
      </x:c>
    </x:row>
    <x:row r="335">
      <x:c r="A335" s="6" t="n">
        <x:v>46054</x:v>
      </x:c>
      <x:c r="B335" s="5" t="str">
        <x:v>Q2 Forecast</x:v>
      </x:c>
      <x:c r="C335" s="5" t="str">
        <x:v>Research &amp; Development</x:v>
      </x:c>
      <x:c r="D335" s="5" t="str">
        <x:v>Operating Expense</x:v>
      </x:c>
      <x:c r="E335" s="9" t="n">
        <x:v>140</x:v>
      </x:c>
      <x:c r="F335" s="7" t="n">
        <x:v>2597812.04</x:v>
      </x:c>
    </x:row>
    <x:row r="336">
      <x:c r="A336" s="6" t="n">
        <x:v>46054</x:v>
      </x:c>
      <x:c r="B336" s="5" t="str">
        <x:v>Q2 Forecast</x:v>
      </x:c>
      <x:c r="C336" s="5" t="str">
        <x:v>General &amp; Administrative</x:v>
      </x:c>
      <x:c r="D336" s="5" t="str">
        <x:v>Operating Expense</x:v>
      </x:c>
      <x:c r="E336" s="9" t="n">
        <x:v>160</x:v>
      </x:c>
      <x:c r="F336" s="7" t="n">
        <x:v>1753583.18</x:v>
      </x:c>
    </x:row>
    <x:row r="337">
      <x:c r="A337" s="6" t="n">
        <x:v>46054</x:v>
      </x:c>
      <x:c r="B337" s="5" t="str">
        <x:v>Q2 Forecast</x:v>
      </x:c>
      <x:c r="C337" s="5" t="str">
        <x:v>Depreciation &amp; Amortization</x:v>
      </x:c>
      <x:c r="D337" s="5" t="str">
        <x:v>D&amp;A</x:v>
      </x:c>
      <x:c r="E337" s="9" t="n">
        <x:v>230</x:v>
      </x:c>
      <x:c r="F337" s="7" t="n">
        <x:v>210481.31</x:v>
      </x:c>
    </x:row>
    <x:row r="338">
      <x:c r="A338" s="6" t="n">
        <x:v>46082</x:v>
      </x:c>
      <x:c r="B338" s="5" t="str">
        <x:v>Actual</x:v>
      </x:c>
      <x:c r="C338" s="5" t="str">
        <x:v>Subscription Revenue</x:v>
      </x:c>
      <x:c r="D338" s="5" t="str">
        <x:v>Revenue</x:v>
      </x:c>
      <x:c r="E338" s="9" t="n">
        <x:v>10</x:v>
      </x:c>
      <x:c r="F338" s="7" t="n">
        <x:v>9961728.13</x:v>
      </x:c>
    </x:row>
    <x:row r="339">
      <x:c r="A339" s="6" t="n">
        <x:v>46082</x:v>
      </x:c>
      <x:c r="B339" s="5" t="str">
        <x:v>Actual</x:v>
      </x:c>
      <x:c r="C339" s="5" t="str">
        <x:v>Professional Services Revenue</x:v>
      </x:c>
      <x:c r="D339" s="5" t="str">
        <x:v>Revenue</x:v>
      </x:c>
      <x:c r="E339" s="9" t="n">
        <x:v>20</x:v>
      </x:c>
      <x:c r="F339" s="7" t="n">
        <x:v>1637203.81</x:v>
      </x:c>
    </x:row>
    <x:row r="340">
      <x:c r="A340" s="6" t="n">
        <x:v>46082</x:v>
      </x:c>
      <x:c r="B340" s="5" t="str">
        <x:v>Actual</x:v>
      </x:c>
      <x:c r="C340" s="5" t="str">
        <x:v>Cost of Subscription</x:v>
      </x:c>
      <x:c r="D340" s="5" t="str">
        <x:v>Cost of Revenue</x:v>
      </x:c>
      <x:c r="E340" s="9" t="n">
        <x:v>40</x:v>
      </x:c>
      <x:c r="F340" s="7" t="n">
        <x:v>2323179.24</x:v>
      </x:c>
    </x:row>
    <x:row r="341">
      <x:c r="A341" s="6" t="n">
        <x:v>46082</x:v>
      </x:c>
      <x:c r="B341" s="5" t="str">
        <x:v>Actual</x:v>
      </x:c>
      <x:c r="C341" s="5" t="str">
        <x:v>Cost of Services</x:v>
      </x:c>
      <x:c r="D341" s="5" t="str">
        <x:v>Cost of Revenue</x:v>
      </x:c>
      <x:c r="E341" s="9" t="n">
        <x:v>60</x:v>
      </x:c>
      <x:c r="F341" s="7" t="n">
        <x:v>1198377.77</x:v>
      </x:c>
    </x:row>
    <x:row r="342">
      <x:c r="A342" s="6" t="n">
        <x:v>46082</x:v>
      </x:c>
      <x:c r="B342" s="5" t="str">
        <x:v>Actual</x:v>
      </x:c>
      <x:c r="C342" s="5" t="str">
        <x:v>Sales &amp; Marketing</x:v>
      </x:c>
      <x:c r="D342" s="5" t="str">
        <x:v>Operating Expense</x:v>
      </x:c>
      <x:c r="E342" s="9" t="n">
        <x:v>100</x:v>
      </x:c>
      <x:c r="F342" s="7" t="n">
        <x:v>2596502.11</x:v>
      </x:c>
    </x:row>
    <x:row r="343">
      <x:c r="A343" s="6" t="n">
        <x:v>46082</x:v>
      </x:c>
      <x:c r="B343" s="5" t="str">
        <x:v>Actual</x:v>
      </x:c>
      <x:c r="C343" s="5" t="str">
        <x:v>Research &amp; Development</x:v>
      </x:c>
      <x:c r="D343" s="5" t="str">
        <x:v>Operating Expense</x:v>
      </x:c>
      <x:c r="E343" s="9" t="n">
        <x:v>140</x:v>
      </x:c>
      <x:c r="F343" s="7" t="n">
        <x:v>2620733.02</x:v>
      </x:c>
    </x:row>
    <x:row r="344">
      <x:c r="A344" s="6" t="n">
        <x:v>46082</x:v>
      </x:c>
      <x:c r="B344" s="5" t="str">
        <x:v>Actual</x:v>
      </x:c>
      <x:c r="C344" s="5" t="str">
        <x:v>General &amp; Administrative</x:v>
      </x:c>
      <x:c r="D344" s="5" t="str">
        <x:v>Operating Expense</x:v>
      </x:c>
      <x:c r="E344" s="9" t="n">
        <x:v>160</x:v>
      </x:c>
      <x:c r="F344" s="7" t="n">
        <x:v>1719342.31</x:v>
      </x:c>
    </x:row>
    <x:row r="345">
      <x:c r="A345" s="6" t="n">
        <x:v>46082</x:v>
      </x:c>
      <x:c r="B345" s="5" t="str">
        <x:v>Actual</x:v>
      </x:c>
      <x:c r="C345" s="5" t="str">
        <x:v>Depreciation &amp; Amortization</x:v>
      </x:c>
      <x:c r="D345" s="5" t="str">
        <x:v>D&amp;A</x:v>
      </x:c>
      <x:c r="E345" s="9" t="n">
        <x:v>230</x:v>
      </x:c>
      <x:c r="F345" s="7" t="n">
        <x:v>208780.77</x:v>
      </x:c>
    </x:row>
    <x:row r="346">
      <x:c r="A346" s="6" t="n">
        <x:v>46082</x:v>
      </x:c>
      <x:c r="B346" s="5" t="str">
        <x:v>Budget</x:v>
      </x:c>
      <x:c r="C346" s="5" t="str">
        <x:v>Subscription Revenue</x:v>
      </x:c>
      <x:c r="D346" s="5" t="str">
        <x:v>Revenue</x:v>
      </x:c>
      <x:c r="E346" s="9" t="n">
        <x:v>10</x:v>
      </x:c>
      <x:c r="F346" s="7" t="n">
        <x:v>10146947.31</x:v>
      </x:c>
    </x:row>
    <x:row r="347">
      <x:c r="A347" s="6" t="n">
        <x:v>46082</x:v>
      </x:c>
      <x:c r="B347" s="5" t="str">
        <x:v>Budget</x:v>
      </x:c>
      <x:c r="C347" s="5" t="str">
        <x:v>Professional Services Revenue</x:v>
      </x:c>
      <x:c r="D347" s="5" t="str">
        <x:v>Revenue</x:v>
      </x:c>
      <x:c r="E347" s="9" t="n">
        <x:v>20</x:v>
      </x:c>
      <x:c r="F347" s="7" t="n">
        <x:v>2212102.07</x:v>
      </x:c>
    </x:row>
    <x:row r="348">
      <x:c r="A348" s="6" t="n">
        <x:v>46082</x:v>
      </x:c>
      <x:c r="B348" s="5" t="str">
        <x:v>Budget</x:v>
      </x:c>
      <x:c r="C348" s="5" t="str">
        <x:v>Cost of Subscription</x:v>
      </x:c>
      <x:c r="D348" s="5" t="str">
        <x:v>Cost of Revenue</x:v>
      </x:c>
      <x:c r="E348" s="9" t="n">
        <x:v>40</x:v>
      </x:c>
      <x:c r="F348" s="7" t="n">
        <x:v>2219384.99</x:v>
      </x:c>
    </x:row>
    <x:row r="349">
      <x:c r="A349" s="6" t="n">
        <x:v>46082</x:v>
      </x:c>
      <x:c r="B349" s="5" t="str">
        <x:v>Budget</x:v>
      </x:c>
      <x:c r="C349" s="5" t="str">
        <x:v>Cost of Services</x:v>
      </x:c>
      <x:c r="D349" s="5" t="str">
        <x:v>Cost of Revenue</x:v>
      </x:c>
      <x:c r="E349" s="9" t="n">
        <x:v>60</x:v>
      </x:c>
      <x:c r="F349" s="7" t="n">
        <x:v>1369038.47</x:v>
      </x:c>
    </x:row>
    <x:row r="350">
      <x:c r="A350" s="6" t="n">
        <x:v>46082</x:v>
      </x:c>
      <x:c r="B350" s="5" t="str">
        <x:v>Budget</x:v>
      </x:c>
      <x:c r="C350" s="5" t="str">
        <x:v>Sales &amp; Marketing</x:v>
      </x:c>
      <x:c r="D350" s="5" t="str">
        <x:v>Operating Expense</x:v>
      </x:c>
      <x:c r="E350" s="9" t="n">
        <x:v>100</x:v>
      </x:c>
      <x:c r="F350" s="7" t="n">
        <x:v>2688699.01</x:v>
      </x:c>
    </x:row>
    <x:row r="351">
      <x:c r="A351" s="6" t="n">
        <x:v>46082</x:v>
      </x:c>
      <x:c r="B351" s="5" t="str">
        <x:v>Budget</x:v>
      </x:c>
      <x:c r="C351" s="5" t="str">
        <x:v>Research &amp; Development</x:v>
      </x:c>
      <x:c r="D351" s="5" t="str">
        <x:v>Operating Expense</x:v>
      </x:c>
      <x:c r="E351" s="9" t="n">
        <x:v>140</x:v>
      </x:c>
      <x:c r="F351" s="7" t="n">
        <x:v>2657946.91</x:v>
      </x:c>
    </x:row>
    <x:row r="352">
      <x:c r="A352" s="6" t="n">
        <x:v>46082</x:v>
      </x:c>
      <x:c r="B352" s="5" t="str">
        <x:v>Budget</x:v>
      </x:c>
      <x:c r="C352" s="5" t="str">
        <x:v>General &amp; Administrative</x:v>
      </x:c>
      <x:c r="D352" s="5" t="str">
        <x:v>Operating Expense</x:v>
      </x:c>
      <x:c r="E352" s="9" t="n">
        <x:v>160</x:v>
      </x:c>
      <x:c r="F352" s="7" t="n">
        <x:v>1884982.68</x:v>
      </x:c>
    </x:row>
    <x:row r="353">
      <x:c r="A353" s="6" t="n">
        <x:v>46082</x:v>
      </x:c>
      <x:c r="B353" s="5" t="str">
        <x:v>Budget</x:v>
      </x:c>
      <x:c r="C353" s="5" t="str">
        <x:v>Depreciation &amp; Amortization</x:v>
      </x:c>
      <x:c r="D353" s="5" t="str">
        <x:v>D&amp;A</x:v>
      </x:c>
      <x:c r="E353" s="9" t="n">
        <x:v>230</x:v>
      </x:c>
      <x:c r="F353" s="7" t="n">
        <x:v>208683.06</x:v>
      </x:c>
    </x:row>
    <x:row r="354">
      <x:c r="A354" s="6" t="n">
        <x:v>46082</x:v>
      </x:c>
      <x:c r="B354" s="5" t="str">
        <x:v>Q2 Forecast</x:v>
      </x:c>
      <x:c r="C354" s="5" t="str">
        <x:v>Subscription Revenue</x:v>
      </x:c>
      <x:c r="D354" s="5" t="str">
        <x:v>Revenue</x:v>
      </x:c>
      <x:c r="E354" s="9" t="n">
        <x:v>10</x:v>
      </x:c>
      <x:c r="F354" s="7" t="n">
        <x:v>9961728.13</x:v>
      </x:c>
    </x:row>
    <x:row r="355">
      <x:c r="A355" s="6" t="n">
        <x:v>46082</x:v>
      </x:c>
      <x:c r="B355" s="5" t="str">
        <x:v>Q2 Forecast</x:v>
      </x:c>
      <x:c r="C355" s="5" t="str">
        <x:v>Professional Services Revenue</x:v>
      </x:c>
      <x:c r="D355" s="5" t="str">
        <x:v>Revenue</x:v>
      </x:c>
      <x:c r="E355" s="9" t="n">
        <x:v>20</x:v>
      </x:c>
      <x:c r="F355" s="7" t="n">
        <x:v>1637203.81</x:v>
      </x:c>
    </x:row>
    <x:row r="356">
      <x:c r="A356" s="6" t="n">
        <x:v>46082</x:v>
      </x:c>
      <x:c r="B356" s="5" t="str">
        <x:v>Q2 Forecast</x:v>
      </x:c>
      <x:c r="C356" s="5" t="str">
        <x:v>Cost of Subscription</x:v>
      </x:c>
      <x:c r="D356" s="5" t="str">
        <x:v>Cost of Revenue</x:v>
      </x:c>
      <x:c r="E356" s="9" t="n">
        <x:v>40</x:v>
      </x:c>
      <x:c r="F356" s="7" t="n">
        <x:v>2323179.24</x:v>
      </x:c>
    </x:row>
    <x:row r="357">
      <x:c r="A357" s="6" t="n">
        <x:v>46082</x:v>
      </x:c>
      <x:c r="B357" s="5" t="str">
        <x:v>Q2 Forecast</x:v>
      </x:c>
      <x:c r="C357" s="5" t="str">
        <x:v>Cost of Services</x:v>
      </x:c>
      <x:c r="D357" s="5" t="str">
        <x:v>Cost of Revenue</x:v>
      </x:c>
      <x:c r="E357" s="9" t="n">
        <x:v>60</x:v>
      </x:c>
      <x:c r="F357" s="7" t="n">
        <x:v>1198377.77</x:v>
      </x:c>
    </x:row>
    <x:row r="358">
      <x:c r="A358" s="6" t="n">
        <x:v>46082</x:v>
      </x:c>
      <x:c r="B358" s="5" t="str">
        <x:v>Q2 Forecast</x:v>
      </x:c>
      <x:c r="C358" s="5" t="str">
        <x:v>Sales &amp; Marketing</x:v>
      </x:c>
      <x:c r="D358" s="5" t="str">
        <x:v>Operating Expense</x:v>
      </x:c>
      <x:c r="E358" s="9" t="n">
        <x:v>100</x:v>
      </x:c>
      <x:c r="F358" s="7" t="n">
        <x:v>2596502.11</x:v>
      </x:c>
    </x:row>
    <x:row r="359">
      <x:c r="A359" s="6" t="n">
        <x:v>46082</x:v>
      </x:c>
      <x:c r="B359" s="5" t="str">
        <x:v>Q2 Forecast</x:v>
      </x:c>
      <x:c r="C359" s="5" t="str">
        <x:v>Research &amp; Development</x:v>
      </x:c>
      <x:c r="D359" s="5" t="str">
        <x:v>Operating Expense</x:v>
      </x:c>
      <x:c r="E359" s="9" t="n">
        <x:v>140</x:v>
      </x:c>
      <x:c r="F359" s="7" t="n">
        <x:v>2620733.02</x:v>
      </x:c>
    </x:row>
    <x:row r="360">
      <x:c r="A360" s="6" t="n">
        <x:v>46082</x:v>
      </x:c>
      <x:c r="B360" s="5" t="str">
        <x:v>Q2 Forecast</x:v>
      </x:c>
      <x:c r="C360" s="5" t="str">
        <x:v>General &amp; Administrative</x:v>
      </x:c>
      <x:c r="D360" s="5" t="str">
        <x:v>Operating Expense</x:v>
      </x:c>
      <x:c r="E360" s="9" t="n">
        <x:v>160</x:v>
      </x:c>
      <x:c r="F360" s="7" t="n">
        <x:v>1719342.31</x:v>
      </x:c>
    </x:row>
    <x:row r="361">
      <x:c r="A361" s="6" t="n">
        <x:v>46082</x:v>
      </x:c>
      <x:c r="B361" s="5" t="str">
        <x:v>Q2 Forecast</x:v>
      </x:c>
      <x:c r="C361" s="5" t="str">
        <x:v>Depreciation &amp; Amortization</x:v>
      </x:c>
      <x:c r="D361" s="5" t="str">
        <x:v>D&amp;A</x:v>
      </x:c>
      <x:c r="E361" s="9" t="n">
        <x:v>230</x:v>
      </x:c>
      <x:c r="F361" s="7" t="n">
        <x:v>208780.77</x:v>
      </x:c>
    </x:row>
    <x:row r="362">
      <x:c r="A362" s="6" t="n">
        <x:v>46113</x:v>
      </x:c>
      <x:c r="B362" s="5" t="str">
        <x:v>Actual</x:v>
      </x:c>
      <x:c r="C362" s="5" t="str">
        <x:v>Subscription Revenue</x:v>
      </x:c>
      <x:c r="D362" s="5" t="str">
        <x:v>Revenue</x:v>
      </x:c>
      <x:c r="E362" s="9" t="n">
        <x:v>10</x:v>
      </x:c>
      <x:c r="F362" s="7" t="n">
        <x:v>9869587.73</x:v>
      </x:c>
    </x:row>
    <x:row r="363">
      <x:c r="A363" s="6" t="n">
        <x:v>46113</x:v>
      </x:c>
      <x:c r="B363" s="5" t="str">
        <x:v>Actual</x:v>
      </x:c>
      <x:c r="C363" s="5" t="str">
        <x:v>Professional Services Revenue</x:v>
      </x:c>
      <x:c r="D363" s="5" t="str">
        <x:v>Revenue</x:v>
      </x:c>
      <x:c r="E363" s="9" t="n">
        <x:v>20</x:v>
      </x:c>
      <x:c r="F363" s="7" t="n">
        <x:v>1650055.73</x:v>
      </x:c>
    </x:row>
    <x:row r="364">
      <x:c r="A364" s="6" t="n">
        <x:v>46113</x:v>
      </x:c>
      <x:c r="B364" s="5" t="str">
        <x:v>Actual</x:v>
      </x:c>
      <x:c r="C364" s="5" t="str">
        <x:v>Cost of Subscription</x:v>
      </x:c>
      <x:c r="D364" s="5" t="str">
        <x:v>Cost of Revenue</x:v>
      </x:c>
      <x:c r="E364" s="9" t="n">
        <x:v>40</x:v>
      </x:c>
      <x:c r="F364" s="7" t="n">
        <x:v>2285253.93</x:v>
      </x:c>
    </x:row>
    <x:row r="365">
      <x:c r="A365" s="6" t="n">
        <x:v>46113</x:v>
      </x:c>
      <x:c r="B365" s="5" t="str">
        <x:v>Actual</x:v>
      </x:c>
      <x:c r="C365" s="5" t="str">
        <x:v>Cost of Services</x:v>
      </x:c>
      <x:c r="D365" s="5" t="str">
        <x:v>Cost of Revenue</x:v>
      </x:c>
      <x:c r="E365" s="9" t="n">
        <x:v>60</x:v>
      </x:c>
      <x:c r="F365" s="7" t="n">
        <x:v>1204631.87</x:v>
      </x:c>
    </x:row>
    <x:row r="366">
      <x:c r="A366" s="6" t="n">
        <x:v>46113</x:v>
      </x:c>
      <x:c r="B366" s="5" t="str">
        <x:v>Actual</x:v>
      </x:c>
      <x:c r="C366" s="5" t="str">
        <x:v>Sales &amp; Marketing</x:v>
      </x:c>
      <x:c r="D366" s="5" t="str">
        <x:v>Operating Expense</x:v>
      </x:c>
      <x:c r="E366" s="9" t="n">
        <x:v>100</x:v>
      </x:c>
      <x:c r="F366" s="7" t="n">
        <x:v>2527217.5</x:v>
      </x:c>
    </x:row>
    <x:row r="367">
      <x:c r="A367" s="6" t="n">
        <x:v>46113</x:v>
      </x:c>
      <x:c r="B367" s="5" t="str">
        <x:v>Actual</x:v>
      </x:c>
      <x:c r="C367" s="5" t="str">
        <x:v>Research &amp; Development</x:v>
      </x:c>
      <x:c r="D367" s="5" t="str">
        <x:v>Operating Expense</x:v>
      </x:c>
      <x:c r="E367" s="9" t="n">
        <x:v>140</x:v>
      </x:c>
      <x:c r="F367" s="7" t="n">
        <x:v>2637119.45</x:v>
      </x:c>
    </x:row>
    <x:row r="368">
      <x:c r="A368" s="6" t="n">
        <x:v>46113</x:v>
      </x:c>
      <x:c r="B368" s="5" t="str">
        <x:v>Actual</x:v>
      </x:c>
      <x:c r="C368" s="5" t="str">
        <x:v>General &amp; Administrative</x:v>
      </x:c>
      <x:c r="D368" s="5" t="str">
        <x:v>Operating Expense</x:v>
      </x:c>
      <x:c r="E368" s="9" t="n">
        <x:v>160</x:v>
      </x:c>
      <x:c r="F368" s="7" t="n">
        <x:v>1675117.74</x:v>
      </x:c>
    </x:row>
    <x:row r="369">
      <x:c r="A369" s="6" t="n">
        <x:v>46113</x:v>
      </x:c>
      <x:c r="B369" s="5" t="str">
        <x:v>Actual</x:v>
      </x:c>
      <x:c r="C369" s="5" t="str">
        <x:v>Depreciation &amp; Amortization</x:v>
      </x:c>
      <x:c r="D369" s="5" t="str">
        <x:v>D&amp;A</x:v>
      </x:c>
      <x:c r="E369" s="9" t="n">
        <x:v>230</x:v>
      </x:c>
      <x:c r="F369" s="7" t="n">
        <x:v>207353.58</x:v>
      </x:c>
    </x:row>
    <x:row r="370">
      <x:c r="A370" s="6" t="n">
        <x:v>46113</x:v>
      </x:c>
      <x:c r="B370" s="5" t="str">
        <x:v>Budget</x:v>
      </x:c>
      <x:c r="C370" s="5" t="str">
        <x:v>Subscription Revenue</x:v>
      </x:c>
      <x:c r="D370" s="5" t="str">
        <x:v>Revenue</x:v>
      </x:c>
      <x:c r="E370" s="9" t="n">
        <x:v>10</x:v>
      </x:c>
      <x:c r="F370" s="7" t="n">
        <x:v>10253582.33</x:v>
      </x:c>
    </x:row>
    <x:row r="371">
      <x:c r="A371" s="6" t="n">
        <x:v>46113</x:v>
      </x:c>
      <x:c r="B371" s="5" t="str">
        <x:v>Budget</x:v>
      </x:c>
      <x:c r="C371" s="5" t="str">
        <x:v>Professional Services Revenue</x:v>
      </x:c>
      <x:c r="D371" s="5" t="str">
        <x:v>Revenue</x:v>
      </x:c>
      <x:c r="E371" s="9" t="n">
        <x:v>20</x:v>
      </x:c>
      <x:c r="F371" s="7" t="n">
        <x:v>1795626.51</x:v>
      </x:c>
    </x:row>
    <x:row r="372">
      <x:c r="A372" s="6" t="n">
        <x:v>46113</x:v>
      </x:c>
      <x:c r="B372" s="5" t="str">
        <x:v>Budget</x:v>
      </x:c>
      <x:c r="C372" s="5" t="str">
        <x:v>Cost of Subscription</x:v>
      </x:c>
      <x:c r="D372" s="5" t="str">
        <x:v>Cost of Revenue</x:v>
      </x:c>
      <x:c r="E372" s="9" t="n">
        <x:v>40</x:v>
      </x:c>
      <x:c r="F372" s="7" t="n">
        <x:v>2234085.26</x:v>
      </x:c>
    </x:row>
    <x:row r="373">
      <x:c r="A373" s="6" t="n">
        <x:v>46113</x:v>
      </x:c>
      <x:c r="B373" s="5" t="str">
        <x:v>Budget</x:v>
      </x:c>
      <x:c r="C373" s="5" t="str">
        <x:v>Cost of Services</x:v>
      </x:c>
      <x:c r="D373" s="5" t="str">
        <x:v>Cost of Revenue</x:v>
      </x:c>
      <x:c r="E373" s="9" t="n">
        <x:v>60</x:v>
      </x:c>
      <x:c r="F373" s="7" t="n">
        <x:v>1317047.24</x:v>
      </x:c>
    </x:row>
    <x:row r="374">
      <x:c r="A374" s="6" t="n">
        <x:v>46113</x:v>
      </x:c>
      <x:c r="B374" s="5" t="str">
        <x:v>Budget</x:v>
      </x:c>
      <x:c r="C374" s="5" t="str">
        <x:v>Sales &amp; Marketing</x:v>
      </x:c>
      <x:c r="D374" s="5" t="str">
        <x:v>Operating Expense</x:v>
      </x:c>
      <x:c r="E374" s="9" t="n">
        <x:v>100</x:v>
      </x:c>
      <x:c r="F374" s="7" t="n">
        <x:v>2590420.92</x:v>
      </x:c>
    </x:row>
    <x:row r="375">
      <x:c r="A375" s="6" t="n">
        <x:v>46113</x:v>
      </x:c>
      <x:c r="B375" s="5" t="str">
        <x:v>Budget</x:v>
      </x:c>
      <x:c r="C375" s="5" t="str">
        <x:v>Research &amp; Development</x:v>
      </x:c>
      <x:c r="D375" s="5" t="str">
        <x:v>Operating Expense</x:v>
      </x:c>
      <x:c r="E375" s="9" t="n">
        <x:v>140</x:v>
      </x:c>
      <x:c r="F375" s="7" t="n">
        <x:v>2693010.22</x:v>
      </x:c>
    </x:row>
    <x:row r="376">
      <x:c r="A376" s="6" t="n">
        <x:v>46113</x:v>
      </x:c>
      <x:c r="B376" s="5" t="str">
        <x:v>Budget</x:v>
      </x:c>
      <x:c r="C376" s="5" t="str">
        <x:v>General &amp; Administrative</x:v>
      </x:c>
      <x:c r="D376" s="5" t="str">
        <x:v>Operating Expense</x:v>
      </x:c>
      <x:c r="E376" s="9" t="n">
        <x:v>160</x:v>
      </x:c>
      <x:c r="F376" s="7" t="n">
        <x:v>1737342.89</x:v>
      </x:c>
    </x:row>
    <x:row r="377">
      <x:c r="A377" s="6" t="n">
        <x:v>46113</x:v>
      </x:c>
      <x:c r="B377" s="5" t="str">
        <x:v>Budget</x:v>
      </x:c>
      <x:c r="C377" s="5" t="str">
        <x:v>Depreciation &amp; Amortization</x:v>
      </x:c>
      <x:c r="D377" s="5" t="str">
        <x:v>D&amp;A</x:v>
      </x:c>
      <x:c r="E377" s="9" t="n">
        <x:v>230</x:v>
      </x:c>
      <x:c r="F377" s="7" t="n">
        <x:v>203238.84</x:v>
      </x:c>
    </x:row>
    <x:row r="378">
      <x:c r="A378" s="6" t="n">
        <x:v>46113</x:v>
      </x:c>
      <x:c r="B378" s="5" t="str">
        <x:v>Q2 Forecast</x:v>
      </x:c>
      <x:c r="C378" s="5" t="str">
        <x:v>Subscription Revenue</x:v>
      </x:c>
      <x:c r="D378" s="5" t="str">
        <x:v>Revenue</x:v>
      </x:c>
      <x:c r="E378" s="9" t="n">
        <x:v>10</x:v>
      </x:c>
      <x:c r="F378" s="7" t="n">
        <x:v>9869587.73</x:v>
      </x:c>
    </x:row>
    <x:row r="379">
      <x:c r="A379" s="6" t="n">
        <x:v>46113</x:v>
      </x:c>
      <x:c r="B379" s="5" t="str">
        <x:v>Q2 Forecast</x:v>
      </x:c>
      <x:c r="C379" s="5" t="str">
        <x:v>Professional Services Revenue</x:v>
      </x:c>
      <x:c r="D379" s="5" t="str">
        <x:v>Revenue</x:v>
      </x:c>
      <x:c r="E379" s="9" t="n">
        <x:v>20</x:v>
      </x:c>
      <x:c r="F379" s="7" t="n">
        <x:v>1650055.73</x:v>
      </x:c>
    </x:row>
    <x:row r="380">
      <x:c r="A380" s="6" t="n">
        <x:v>46113</x:v>
      </x:c>
      <x:c r="B380" s="5" t="str">
        <x:v>Q2 Forecast</x:v>
      </x:c>
      <x:c r="C380" s="5" t="str">
        <x:v>Cost of Subscription</x:v>
      </x:c>
      <x:c r="D380" s="5" t="str">
        <x:v>Cost of Revenue</x:v>
      </x:c>
      <x:c r="E380" s="9" t="n">
        <x:v>40</x:v>
      </x:c>
      <x:c r="F380" s="7" t="n">
        <x:v>2285253.93</x:v>
      </x:c>
    </x:row>
    <x:row r="381">
      <x:c r="A381" s="6" t="n">
        <x:v>46113</x:v>
      </x:c>
      <x:c r="B381" s="5" t="str">
        <x:v>Q2 Forecast</x:v>
      </x:c>
      <x:c r="C381" s="5" t="str">
        <x:v>Cost of Services</x:v>
      </x:c>
      <x:c r="D381" s="5" t="str">
        <x:v>Cost of Revenue</x:v>
      </x:c>
      <x:c r="E381" s="9" t="n">
        <x:v>60</x:v>
      </x:c>
      <x:c r="F381" s="7" t="n">
        <x:v>1204631.87</x:v>
      </x:c>
    </x:row>
    <x:row r="382">
      <x:c r="A382" s="6" t="n">
        <x:v>46113</x:v>
      </x:c>
      <x:c r="B382" s="5" t="str">
        <x:v>Q2 Forecast</x:v>
      </x:c>
      <x:c r="C382" s="5" t="str">
        <x:v>Sales &amp; Marketing</x:v>
      </x:c>
      <x:c r="D382" s="5" t="str">
        <x:v>Operating Expense</x:v>
      </x:c>
      <x:c r="E382" s="9" t="n">
        <x:v>100</x:v>
      </x:c>
      <x:c r="F382" s="7" t="n">
        <x:v>2527217.5</x:v>
      </x:c>
    </x:row>
    <x:row r="383">
      <x:c r="A383" s="6" t="n">
        <x:v>46113</x:v>
      </x:c>
      <x:c r="B383" s="5" t="str">
        <x:v>Q2 Forecast</x:v>
      </x:c>
      <x:c r="C383" s="5" t="str">
        <x:v>Research &amp; Development</x:v>
      </x:c>
      <x:c r="D383" s="5" t="str">
        <x:v>Operating Expense</x:v>
      </x:c>
      <x:c r="E383" s="9" t="n">
        <x:v>140</x:v>
      </x:c>
      <x:c r="F383" s="7" t="n">
        <x:v>2637119.45</x:v>
      </x:c>
    </x:row>
    <x:row r="384">
      <x:c r="A384" s="6" t="n">
        <x:v>46113</x:v>
      </x:c>
      <x:c r="B384" s="5" t="str">
        <x:v>Q2 Forecast</x:v>
      </x:c>
      <x:c r="C384" s="5" t="str">
        <x:v>General &amp; Administrative</x:v>
      </x:c>
      <x:c r="D384" s="5" t="str">
        <x:v>Operating Expense</x:v>
      </x:c>
      <x:c r="E384" s="9" t="n">
        <x:v>160</x:v>
      </x:c>
      <x:c r="F384" s="7" t="n">
        <x:v>1675117.74</x:v>
      </x:c>
    </x:row>
    <x:row r="385">
      <x:c r="A385" s="6" t="n">
        <x:v>46113</x:v>
      </x:c>
      <x:c r="B385" s="5" t="str">
        <x:v>Q2 Forecast</x:v>
      </x:c>
      <x:c r="C385" s="5" t="str">
        <x:v>Depreciation &amp; Amortization</x:v>
      </x:c>
      <x:c r="D385" s="5" t="str">
        <x:v>D&amp;A</x:v>
      </x:c>
      <x:c r="E385" s="9" t="n">
        <x:v>230</x:v>
      </x:c>
      <x:c r="F385" s="7" t="n">
        <x:v>207353.58</x:v>
      </x:c>
    </x:row>
    <x:row r="386">
      <x:c r="A386" s="6" t="n">
        <x:v>46143</x:v>
      </x:c>
      <x:c r="B386" s="5" t="str">
        <x:v>Actual</x:v>
      </x:c>
      <x:c r="C386" s="5" t="str">
        <x:v>Subscription Revenue</x:v>
      </x:c>
      <x:c r="D386" s="5" t="str">
        <x:v>Revenue</x:v>
      </x:c>
      <x:c r="E386" s="9" t="n">
        <x:v>10</x:v>
      </x:c>
      <x:c r="F386" s="7" t="n">
        <x:v>9862711.13</x:v>
      </x:c>
    </x:row>
    <x:row r="387">
      <x:c r="A387" s="6" t="n">
        <x:v>46143</x:v>
      </x:c>
      <x:c r="B387" s="5" t="str">
        <x:v>Actual</x:v>
      </x:c>
      <x:c r="C387" s="5" t="str">
        <x:v>Professional Services Revenue</x:v>
      </x:c>
      <x:c r="D387" s="5" t="str">
        <x:v>Revenue</x:v>
      </x:c>
      <x:c r="E387" s="9" t="n">
        <x:v>20</x:v>
      </x:c>
      <x:c r="F387" s="7" t="n">
        <x:v>1974030.18</x:v>
      </x:c>
    </x:row>
    <x:row r="388">
      <x:c r="A388" s="6" t="n">
        <x:v>46143</x:v>
      </x:c>
      <x:c r="B388" s="5" t="str">
        <x:v>Actual</x:v>
      </x:c>
      <x:c r="C388" s="5" t="str">
        <x:v>Cost of Subscription</x:v>
      </x:c>
      <x:c r="D388" s="5" t="str">
        <x:v>Cost of Revenue</x:v>
      </x:c>
      <x:c r="E388" s="9" t="n">
        <x:v>40</x:v>
      </x:c>
      <x:c r="F388" s="7" t="n">
        <x:v>2205052.97</x:v>
      </x:c>
    </x:row>
    <x:row r="389">
      <x:c r="A389" s="6" t="n">
        <x:v>46143</x:v>
      </x:c>
      <x:c r="B389" s="5" t="str">
        <x:v>Actual</x:v>
      </x:c>
      <x:c r="C389" s="5" t="str">
        <x:v>Cost of Services</x:v>
      </x:c>
      <x:c r="D389" s="5" t="str">
        <x:v>Cost of Revenue</x:v>
      </x:c>
      <x:c r="E389" s="9" t="n">
        <x:v>60</x:v>
      </x:c>
      <x:c r="F389" s="7" t="n">
        <x:v>1240229.52</x:v>
      </x:c>
    </x:row>
    <x:row r="390">
      <x:c r="A390" s="6" t="n">
        <x:v>46143</x:v>
      </x:c>
      <x:c r="B390" s="5" t="str">
        <x:v>Actual</x:v>
      </x:c>
      <x:c r="C390" s="5" t="str">
        <x:v>Sales &amp; Marketing</x:v>
      </x:c>
      <x:c r="D390" s="5" t="str">
        <x:v>Operating Expense</x:v>
      </x:c>
      <x:c r="E390" s="9" t="n">
        <x:v>100</x:v>
      </x:c>
      <x:c r="F390" s="7" t="n">
        <x:v>2547228.54</x:v>
      </x:c>
    </x:row>
    <x:row r="391">
      <x:c r="A391" s="6" t="n">
        <x:v>46143</x:v>
      </x:c>
      <x:c r="B391" s="5" t="str">
        <x:v>Actual</x:v>
      </x:c>
      <x:c r="C391" s="5" t="str">
        <x:v>Research &amp; Development</x:v>
      </x:c>
      <x:c r="D391" s="5" t="str">
        <x:v>Operating Expense</x:v>
      </x:c>
      <x:c r="E391" s="9" t="n">
        <x:v>140</x:v>
      </x:c>
      <x:c r="F391" s="7" t="n">
        <x:v>2637088.51</x:v>
      </x:c>
    </x:row>
    <x:row r="392">
      <x:c r="A392" s="6" t="n">
        <x:v>46143</x:v>
      </x:c>
      <x:c r="B392" s="5" t="str">
        <x:v>Actual</x:v>
      </x:c>
      <x:c r="C392" s="5" t="str">
        <x:v>General &amp; Administrative</x:v>
      </x:c>
      <x:c r="D392" s="5" t="str">
        <x:v>Operating Expense</x:v>
      </x:c>
      <x:c r="E392" s="9" t="n">
        <x:v>160</x:v>
      </x:c>
      <x:c r="F392" s="7" t="n">
        <x:v>1737324.02</x:v>
      </x:c>
    </x:row>
    <x:row r="393">
      <x:c r="A393" s="6" t="n">
        <x:v>46143</x:v>
      </x:c>
      <x:c r="B393" s="5" t="str">
        <x:v>Actual</x:v>
      </x:c>
      <x:c r="C393" s="5" t="str">
        <x:v>Depreciation &amp; Amortization</x:v>
      </x:c>
      <x:c r="D393" s="5" t="str">
        <x:v>D&amp;A</x:v>
      </x:c>
      <x:c r="E393" s="9" t="n">
        <x:v>230</x:v>
      </x:c>
      <x:c r="F393" s="7" t="n">
        <x:v>213061.34</x:v>
      </x:c>
    </x:row>
    <x:row r="394">
      <x:c r="A394" s="6" t="n">
        <x:v>46143</x:v>
      </x:c>
      <x:c r="B394" s="5" t="str">
        <x:v>Budget</x:v>
      </x:c>
      <x:c r="C394" s="5" t="str">
        <x:v>Subscription Revenue</x:v>
      </x:c>
      <x:c r="D394" s="5" t="str">
        <x:v>Revenue</x:v>
      </x:c>
      <x:c r="E394" s="9" t="n">
        <x:v>10</x:v>
      </x:c>
      <x:c r="F394" s="7" t="n">
        <x:v>10479938.61</x:v>
      </x:c>
    </x:row>
    <x:row r="395">
      <x:c r="A395" s="6" t="n">
        <x:v>46143</x:v>
      </x:c>
      <x:c r="B395" s="5" t="str">
        <x:v>Budget</x:v>
      </x:c>
      <x:c r="C395" s="5" t="str">
        <x:v>Professional Services Revenue</x:v>
      </x:c>
      <x:c r="D395" s="5" t="str">
        <x:v>Revenue</x:v>
      </x:c>
      <x:c r="E395" s="9" t="n">
        <x:v>20</x:v>
      </x:c>
      <x:c r="F395" s="7" t="n">
        <x:v>1507650.92</x:v>
      </x:c>
    </x:row>
    <x:row r="396">
      <x:c r="A396" s="6" t="n">
        <x:v>46143</x:v>
      </x:c>
      <x:c r="B396" s="5" t="str">
        <x:v>Budget</x:v>
      </x:c>
      <x:c r="C396" s="5" t="str">
        <x:v>Cost of Subscription</x:v>
      </x:c>
      <x:c r="D396" s="5" t="str">
        <x:v>Cost of Revenue</x:v>
      </x:c>
      <x:c r="E396" s="9" t="n">
        <x:v>40</x:v>
      </x:c>
      <x:c r="F396" s="7" t="n">
        <x:v>2259097.18</x:v>
      </x:c>
    </x:row>
    <x:row r="397">
      <x:c r="A397" s="6" t="n">
        <x:v>46143</x:v>
      </x:c>
      <x:c r="B397" s="5" t="str">
        <x:v>Budget</x:v>
      </x:c>
      <x:c r="C397" s="5" t="str">
        <x:v>Cost of Services</x:v>
      </x:c>
      <x:c r="D397" s="5" t="str">
        <x:v>Cost of Revenue</x:v>
      </x:c>
      <x:c r="E397" s="9" t="n">
        <x:v>60</x:v>
      </x:c>
      <x:c r="F397" s="7" t="n">
        <x:v>1287739.81</x:v>
      </x:c>
    </x:row>
    <x:row r="398">
      <x:c r="A398" s="6" t="n">
        <x:v>46143</x:v>
      </x:c>
      <x:c r="B398" s="5" t="str">
        <x:v>Budget</x:v>
      </x:c>
      <x:c r="C398" s="5" t="str">
        <x:v>Sales &amp; Marketing</x:v>
      </x:c>
      <x:c r="D398" s="5" t="str">
        <x:v>Operating Expense</x:v>
      </x:c>
      <x:c r="E398" s="9" t="n">
        <x:v>100</x:v>
      </x:c>
      <x:c r="F398" s="7" t="n">
        <x:v>2624301.57</x:v>
      </x:c>
    </x:row>
    <x:row r="399">
      <x:c r="A399" s="6" t="n">
        <x:v>46143</x:v>
      </x:c>
      <x:c r="B399" s="5" t="str">
        <x:v>Budget</x:v>
      </x:c>
      <x:c r="C399" s="5" t="str">
        <x:v>Research &amp; Development</x:v>
      </x:c>
      <x:c r="D399" s="5" t="str">
        <x:v>Operating Expense</x:v>
      </x:c>
      <x:c r="E399" s="9" t="n">
        <x:v>140</x:v>
      </x:c>
      <x:c r="F399" s="7" t="n">
        <x:v>2693977.03</x:v>
      </x:c>
    </x:row>
    <x:row r="400">
      <x:c r="A400" s="6" t="n">
        <x:v>46143</x:v>
      </x:c>
      <x:c r="B400" s="5" t="str">
        <x:v>Budget</x:v>
      </x:c>
      <x:c r="C400" s="5" t="str">
        <x:v>General &amp; Administrative</x:v>
      </x:c>
      <x:c r="D400" s="5" t="str">
        <x:v>Operating Expense</x:v>
      </x:c>
      <x:c r="E400" s="9" t="n">
        <x:v>160</x:v>
      </x:c>
      <x:c r="F400" s="7" t="n">
        <x:v>1745314.96</x:v>
      </x:c>
    </x:row>
    <x:row r="401">
      <x:c r="A401" s="6" t="n">
        <x:v>46143</x:v>
      </x:c>
      <x:c r="B401" s="5" t="str">
        <x:v>Budget</x:v>
      </x:c>
      <x:c r="C401" s="5" t="str">
        <x:v>Depreciation &amp; Amortization</x:v>
      </x:c>
      <x:c r="D401" s="5" t="str">
        <x:v>D&amp;A</x:v>
      </x:c>
      <x:c r="E401" s="9" t="n">
        <x:v>230</x:v>
      </x:c>
      <x:c r="F401" s="7" t="n">
        <x:v>202035.33</x:v>
      </x:c>
    </x:row>
    <x:row r="402">
      <x:c r="A402" s="6" t="n">
        <x:v>46143</x:v>
      </x:c>
      <x:c r="B402" s="5" t="str">
        <x:v>Q2 Forecast</x:v>
      </x:c>
      <x:c r="C402" s="5" t="str">
        <x:v>Subscription Revenue</x:v>
      </x:c>
      <x:c r="D402" s="5" t="str">
        <x:v>Revenue</x:v>
      </x:c>
      <x:c r="E402" s="9" t="n">
        <x:v>10</x:v>
      </x:c>
      <x:c r="F402" s="7" t="n">
        <x:v>9862711.13</x:v>
      </x:c>
    </x:row>
    <x:row r="403">
      <x:c r="A403" s="6" t="n">
        <x:v>46143</x:v>
      </x:c>
      <x:c r="B403" s="5" t="str">
        <x:v>Q2 Forecast</x:v>
      </x:c>
      <x:c r="C403" s="5" t="str">
        <x:v>Professional Services Revenue</x:v>
      </x:c>
      <x:c r="D403" s="5" t="str">
        <x:v>Revenue</x:v>
      </x:c>
      <x:c r="E403" s="9" t="n">
        <x:v>20</x:v>
      </x:c>
      <x:c r="F403" s="7" t="n">
        <x:v>1974030.18</x:v>
      </x:c>
    </x:row>
    <x:row r="404">
      <x:c r="A404" s="6" t="n">
        <x:v>46143</x:v>
      </x:c>
      <x:c r="B404" s="5" t="str">
        <x:v>Q2 Forecast</x:v>
      </x:c>
      <x:c r="C404" s="5" t="str">
        <x:v>Cost of Subscription</x:v>
      </x:c>
      <x:c r="D404" s="5" t="str">
        <x:v>Cost of Revenue</x:v>
      </x:c>
      <x:c r="E404" s="9" t="n">
        <x:v>40</x:v>
      </x:c>
      <x:c r="F404" s="7" t="n">
        <x:v>2205052.97</x:v>
      </x:c>
    </x:row>
    <x:row r="405">
      <x:c r="A405" s="6" t="n">
        <x:v>46143</x:v>
      </x:c>
      <x:c r="B405" s="5" t="str">
        <x:v>Q2 Forecast</x:v>
      </x:c>
      <x:c r="C405" s="5" t="str">
        <x:v>Cost of Services</x:v>
      </x:c>
      <x:c r="D405" s="5" t="str">
        <x:v>Cost of Revenue</x:v>
      </x:c>
      <x:c r="E405" s="9" t="n">
        <x:v>60</x:v>
      </x:c>
      <x:c r="F405" s="7" t="n">
        <x:v>1240229.52</x:v>
      </x:c>
    </x:row>
    <x:row r="406">
      <x:c r="A406" s="6" t="n">
        <x:v>46143</x:v>
      </x:c>
      <x:c r="B406" s="5" t="str">
        <x:v>Q2 Forecast</x:v>
      </x:c>
      <x:c r="C406" s="5" t="str">
        <x:v>Sales &amp; Marketing</x:v>
      </x:c>
      <x:c r="D406" s="5" t="str">
        <x:v>Operating Expense</x:v>
      </x:c>
      <x:c r="E406" s="9" t="n">
        <x:v>100</x:v>
      </x:c>
      <x:c r="F406" s="7" t="n">
        <x:v>2547228.54</x:v>
      </x:c>
    </x:row>
    <x:row r="407">
      <x:c r="A407" s="6" t="n">
        <x:v>46143</x:v>
      </x:c>
      <x:c r="B407" s="5" t="str">
        <x:v>Q2 Forecast</x:v>
      </x:c>
      <x:c r="C407" s="5" t="str">
        <x:v>Research &amp; Development</x:v>
      </x:c>
      <x:c r="D407" s="5" t="str">
        <x:v>Operating Expense</x:v>
      </x:c>
      <x:c r="E407" s="9" t="n">
        <x:v>140</x:v>
      </x:c>
      <x:c r="F407" s="7" t="n">
        <x:v>2637088.51</x:v>
      </x:c>
    </x:row>
    <x:row r="408">
      <x:c r="A408" s="6" t="n">
        <x:v>46143</x:v>
      </x:c>
      <x:c r="B408" s="5" t="str">
        <x:v>Q2 Forecast</x:v>
      </x:c>
      <x:c r="C408" s="5" t="str">
        <x:v>General &amp; Administrative</x:v>
      </x:c>
      <x:c r="D408" s="5" t="str">
        <x:v>Operating Expense</x:v>
      </x:c>
      <x:c r="E408" s="9" t="n">
        <x:v>160</x:v>
      </x:c>
      <x:c r="F408" s="7" t="n">
        <x:v>1737324.02</x:v>
      </x:c>
    </x:row>
    <x:row r="409">
      <x:c r="A409" s="6" t="n">
        <x:v>46143</x:v>
      </x:c>
      <x:c r="B409" s="5" t="str">
        <x:v>Q2 Forecast</x:v>
      </x:c>
      <x:c r="C409" s="5" t="str">
        <x:v>Depreciation &amp; Amortization</x:v>
      </x:c>
      <x:c r="D409" s="5" t="str">
        <x:v>D&amp;A</x:v>
      </x:c>
      <x:c r="E409" s="9" t="n">
        <x:v>230</x:v>
      </x:c>
      <x:c r="F409" s="7" t="n">
        <x:v>213061.34</x:v>
      </x:c>
    </x:row>
    <x:row r="410">
      <x:c r="A410" s="6" t="n">
        <x:v>46174</x:v>
      </x:c>
      <x:c r="B410" s="5" t="str">
        <x:v>Actual</x:v>
      </x:c>
      <x:c r="C410" s="5" t="str">
        <x:v>Subscription Revenue</x:v>
      </x:c>
      <x:c r="D410" s="5" t="str">
        <x:v>Revenue</x:v>
      </x:c>
      <x:c r="E410" s="9" t="n">
        <x:v>10</x:v>
      </x:c>
      <x:c r="F410" s="7" t="n">
        <x:v>9876052.54</x:v>
      </x:c>
    </x:row>
    <x:row r="411">
      <x:c r="A411" s="6" t="n">
        <x:v>46174</x:v>
      </x:c>
      <x:c r="B411" s="5" t="str">
        <x:v>Actual</x:v>
      </x:c>
      <x:c r="C411" s="5" t="str">
        <x:v>Professional Services Revenue</x:v>
      </x:c>
      <x:c r="D411" s="5" t="str">
        <x:v>Revenue</x:v>
      </x:c>
      <x:c r="E411" s="9" t="n">
        <x:v>20</x:v>
      </x:c>
      <x:c r="F411" s="7" t="n">
        <x:v>1649060.86</x:v>
      </x:c>
    </x:row>
    <x:row r="412">
      <x:c r="A412" s="6" t="n">
        <x:v>46174</x:v>
      </x:c>
      <x:c r="B412" s="5" t="str">
        <x:v>Actual</x:v>
      </x:c>
      <x:c r="C412" s="5" t="str">
        <x:v>Cost of Subscription</x:v>
      </x:c>
      <x:c r="D412" s="5" t="str">
        <x:v>Cost of Revenue</x:v>
      </x:c>
      <x:c r="E412" s="9" t="n">
        <x:v>40</x:v>
      </x:c>
      <x:c r="F412" s="7" t="n">
        <x:v>2193959.09</x:v>
      </x:c>
    </x:row>
    <x:row r="413">
      <x:c r="A413" s="6" t="n">
        <x:v>46174</x:v>
      </x:c>
      <x:c r="B413" s="5" t="str">
        <x:v>Actual</x:v>
      </x:c>
      <x:c r="C413" s="5" t="str">
        <x:v>Cost of Services</x:v>
      </x:c>
      <x:c r="D413" s="5" t="str">
        <x:v>Cost of Revenue</x:v>
      </x:c>
      <x:c r="E413" s="9" t="n">
        <x:v>60</x:v>
      </x:c>
      <x:c r="F413" s="7" t="n">
        <x:v>1210258.41</x:v>
      </x:c>
    </x:row>
    <x:row r="414">
      <x:c r="A414" s="6" t="n">
        <x:v>46174</x:v>
      </x:c>
      <x:c r="B414" s="5" t="str">
        <x:v>Actual</x:v>
      </x:c>
      <x:c r="C414" s="5" t="str">
        <x:v>Sales &amp; Marketing</x:v>
      </x:c>
      <x:c r="D414" s="5" t="str">
        <x:v>Operating Expense</x:v>
      </x:c>
      <x:c r="E414" s="9" t="n">
        <x:v>100</x:v>
      </x:c>
      <x:c r="F414" s="7" t="n">
        <x:v>2553505.27</x:v>
      </x:c>
    </x:row>
    <x:row r="415">
      <x:c r="A415" s="6" t="n">
        <x:v>46174</x:v>
      </x:c>
      <x:c r="B415" s="5" t="str">
        <x:v>Actual</x:v>
      </x:c>
      <x:c r="C415" s="5" t="str">
        <x:v>Research &amp; Development</x:v>
      </x:c>
      <x:c r="D415" s="5" t="str">
        <x:v>Operating Expense</x:v>
      </x:c>
      <x:c r="E415" s="9" t="n">
        <x:v>140</x:v>
      </x:c>
      <x:c r="F415" s="7" t="n">
        <x:v>2611375.29</x:v>
      </x:c>
    </x:row>
    <x:row r="416">
      <x:c r="A416" s="6" t="n">
        <x:v>46174</x:v>
      </x:c>
      <x:c r="B416" s="5" t="str">
        <x:v>Actual</x:v>
      </x:c>
      <x:c r="C416" s="5" t="str">
        <x:v>General &amp; Administrative</x:v>
      </x:c>
      <x:c r="D416" s="5" t="str">
        <x:v>Operating Expense</x:v>
      </x:c>
      <x:c r="E416" s="9" t="n">
        <x:v>160</x:v>
      </x:c>
      <x:c r="F416" s="7" t="n">
        <x:v>1720913.82</x:v>
      </x:c>
    </x:row>
    <x:row r="417">
      <x:c r="A417" s="6" t="n">
        <x:v>46174</x:v>
      </x:c>
      <x:c r="B417" s="5" t="str">
        <x:v>Actual</x:v>
      </x:c>
      <x:c r="C417" s="5" t="str">
        <x:v>Depreciation &amp; Amortization</x:v>
      </x:c>
      <x:c r="D417" s="5" t="str">
        <x:v>D&amp;A</x:v>
      </x:c>
      <x:c r="E417" s="9" t="n">
        <x:v>230</x:v>
      </x:c>
      <x:c r="F417" s="7" t="n">
        <x:v>207452.04</x:v>
      </x:c>
    </x:row>
    <x:row r="418">
      <x:c r="A418" s="6" t="n">
        <x:v>46174</x:v>
      </x:c>
      <x:c r="B418" s="5" t="str">
        <x:v>Budget</x:v>
      </x:c>
      <x:c r="C418" s="5" t="str">
        <x:v>Subscription Revenue</x:v>
      </x:c>
      <x:c r="D418" s="5" t="str">
        <x:v>Revenue</x:v>
      </x:c>
      <x:c r="E418" s="9" t="n">
        <x:v>10</x:v>
      </x:c>
      <x:c r="F418" s="7" t="n">
        <x:v>10763457.87</x:v>
      </x:c>
    </x:row>
    <x:row r="419">
      <x:c r="A419" s="6" t="n">
        <x:v>46174</x:v>
      </x:c>
      <x:c r="B419" s="5" t="str">
        <x:v>Budget</x:v>
      </x:c>
      <x:c r="C419" s="5" t="str">
        <x:v>Professional Services Revenue</x:v>
      </x:c>
      <x:c r="D419" s="5" t="str">
        <x:v>Revenue</x:v>
      </x:c>
      <x:c r="E419" s="9" t="n">
        <x:v>20</x:v>
      </x:c>
      <x:c r="F419" s="7" t="n">
        <x:v>1628461.07</x:v>
      </x:c>
    </x:row>
    <x:row r="420">
      <x:c r="A420" s="6" t="n">
        <x:v>46174</x:v>
      </x:c>
      <x:c r="B420" s="5" t="str">
        <x:v>Budget</x:v>
      </x:c>
      <x:c r="C420" s="5" t="str">
        <x:v>Cost of Subscription</x:v>
      </x:c>
      <x:c r="D420" s="5" t="str">
        <x:v>Cost of Revenue</x:v>
      </x:c>
      <x:c r="E420" s="9" t="n">
        <x:v>40</x:v>
      </x:c>
      <x:c r="F420" s="7" t="n">
        <x:v>2306113.26</x:v>
      </x:c>
    </x:row>
    <x:row r="421">
      <x:c r="A421" s="6" t="n">
        <x:v>46174</x:v>
      </x:c>
      <x:c r="B421" s="5" t="str">
        <x:v>Budget</x:v>
      </x:c>
      <x:c r="C421" s="5" t="str">
        <x:v>Cost of Services</x:v>
      </x:c>
      <x:c r="D421" s="5" t="str">
        <x:v>Cost of Revenue</x:v>
      </x:c>
      <x:c r="E421" s="9" t="n">
        <x:v>60</x:v>
      </x:c>
      <x:c r="F421" s="7" t="n">
        <x:v>1280272.04</x:v>
      </x:c>
    </x:row>
    <x:row r="422">
      <x:c r="A422" s="6" t="n">
        <x:v>46174</x:v>
      </x:c>
      <x:c r="B422" s="5" t="str">
        <x:v>Budget</x:v>
      </x:c>
      <x:c r="C422" s="5" t="str">
        <x:v>Sales &amp; Marketing</x:v>
      </x:c>
      <x:c r="D422" s="5" t="str">
        <x:v>Operating Expense</x:v>
      </x:c>
      <x:c r="E422" s="9" t="n">
        <x:v>100</x:v>
      </x:c>
      <x:c r="F422" s="7" t="n">
        <x:v>2670866.96</x:v>
      </x:c>
    </x:row>
    <x:row r="423">
      <x:c r="A423" s="6" t="n">
        <x:v>46174</x:v>
      </x:c>
      <x:c r="B423" s="5" t="str">
        <x:v>Budget</x:v>
      </x:c>
      <x:c r="C423" s="5" t="str">
        <x:v>Research &amp; Development</x:v>
      </x:c>
      <x:c r="D423" s="5" t="str">
        <x:v>Operating Expense</x:v>
      </x:c>
      <x:c r="E423" s="9" t="n">
        <x:v>140</x:v>
      </x:c>
      <x:c r="F423" s="7" t="n">
        <x:v>2695187.98</x:v>
      </x:c>
    </x:row>
    <x:row r="424">
      <x:c r="A424" s="6" t="n">
        <x:v>46174</x:v>
      </x:c>
      <x:c r="B424" s="5" t="str">
        <x:v>Budget</x:v>
      </x:c>
      <x:c r="C424" s="5" t="str">
        <x:v>General &amp; Administrative</x:v>
      </x:c>
      <x:c r="D424" s="5" t="str">
        <x:v>Operating Expense</x:v>
      </x:c>
      <x:c r="E424" s="9" t="n">
        <x:v>160</x:v>
      </x:c>
      <x:c r="F424" s="7" t="n">
        <x:v>1820651.35</x:v>
      </x:c>
    </x:row>
    <x:row r="425">
      <x:c r="A425" s="6" t="n">
        <x:v>46174</x:v>
      </x:c>
      <x:c r="B425" s="5" t="str">
        <x:v>Budget</x:v>
      </x:c>
      <x:c r="C425" s="5" t="str">
        <x:v>Depreciation &amp; Amortization</x:v>
      </x:c>
      <x:c r="D425" s="5" t="str">
        <x:v>D&amp;A</x:v>
      </x:c>
      <x:c r="E425" s="9" t="n">
        <x:v>230</x:v>
      </x:c>
      <x:c r="F425" s="7" t="n">
        <x:v>208890.97</x:v>
      </x:c>
    </x:row>
    <x:row r="426">
      <x:c r="A426" s="6" t="n">
        <x:v>46174</x:v>
      </x:c>
      <x:c r="B426" s="5" t="str">
        <x:v>Q2 Forecast</x:v>
      </x:c>
      <x:c r="C426" s="5" t="str">
        <x:v>Subscription Revenue</x:v>
      </x:c>
      <x:c r="D426" s="5" t="str">
        <x:v>Revenue</x:v>
      </x:c>
      <x:c r="E426" s="9" t="n">
        <x:v>10</x:v>
      </x:c>
      <x:c r="F426" s="7" t="n">
        <x:v>9876052.54</x:v>
      </x:c>
    </x:row>
    <x:row r="427">
      <x:c r="A427" s="6" t="n">
        <x:v>46174</x:v>
      </x:c>
      <x:c r="B427" s="5" t="str">
        <x:v>Q2 Forecast</x:v>
      </x:c>
      <x:c r="C427" s="5" t="str">
        <x:v>Professional Services Revenue</x:v>
      </x:c>
      <x:c r="D427" s="5" t="str">
        <x:v>Revenue</x:v>
      </x:c>
      <x:c r="E427" s="9" t="n">
        <x:v>20</x:v>
      </x:c>
      <x:c r="F427" s="7" t="n">
        <x:v>1649060.86</x:v>
      </x:c>
    </x:row>
    <x:row r="428">
      <x:c r="A428" s="6" t="n">
        <x:v>46174</x:v>
      </x:c>
      <x:c r="B428" s="5" t="str">
        <x:v>Q2 Forecast</x:v>
      </x:c>
      <x:c r="C428" s="5" t="str">
        <x:v>Cost of Subscription</x:v>
      </x:c>
      <x:c r="D428" s="5" t="str">
        <x:v>Cost of Revenue</x:v>
      </x:c>
      <x:c r="E428" s="9" t="n">
        <x:v>40</x:v>
      </x:c>
      <x:c r="F428" s="7" t="n">
        <x:v>2193959.09</x:v>
      </x:c>
    </x:row>
    <x:row r="429">
      <x:c r="A429" s="6" t="n">
        <x:v>46174</x:v>
      </x:c>
      <x:c r="B429" s="5" t="str">
        <x:v>Q2 Forecast</x:v>
      </x:c>
      <x:c r="C429" s="5" t="str">
        <x:v>Cost of Services</x:v>
      </x:c>
      <x:c r="D429" s="5" t="str">
        <x:v>Cost of Revenue</x:v>
      </x:c>
      <x:c r="E429" s="9" t="n">
        <x:v>60</x:v>
      </x:c>
      <x:c r="F429" s="7" t="n">
        <x:v>1210258.41</x:v>
      </x:c>
    </x:row>
    <x:row r="430">
      <x:c r="A430" s="6" t="n">
        <x:v>46174</x:v>
      </x:c>
      <x:c r="B430" s="5" t="str">
        <x:v>Q2 Forecast</x:v>
      </x:c>
      <x:c r="C430" s="5" t="str">
        <x:v>Sales &amp; Marketing</x:v>
      </x:c>
      <x:c r="D430" s="5" t="str">
        <x:v>Operating Expense</x:v>
      </x:c>
      <x:c r="E430" s="9" t="n">
        <x:v>100</x:v>
      </x:c>
      <x:c r="F430" s="7" t="n">
        <x:v>2553505.27</x:v>
      </x:c>
    </x:row>
    <x:row r="431">
      <x:c r="A431" s="6" t="n">
        <x:v>46174</x:v>
      </x:c>
      <x:c r="B431" s="5" t="str">
        <x:v>Q2 Forecast</x:v>
      </x:c>
      <x:c r="C431" s="5" t="str">
        <x:v>Research &amp; Development</x:v>
      </x:c>
      <x:c r="D431" s="5" t="str">
        <x:v>Operating Expense</x:v>
      </x:c>
      <x:c r="E431" s="9" t="n">
        <x:v>140</x:v>
      </x:c>
      <x:c r="F431" s="7" t="n">
        <x:v>2611375.29</x:v>
      </x:c>
    </x:row>
    <x:row r="432">
      <x:c r="A432" s="6" t="n">
        <x:v>46174</x:v>
      </x:c>
      <x:c r="B432" s="5" t="str">
        <x:v>Q2 Forecast</x:v>
      </x:c>
      <x:c r="C432" s="5" t="str">
        <x:v>General &amp; Administrative</x:v>
      </x:c>
      <x:c r="D432" s="5" t="str">
        <x:v>Operating Expense</x:v>
      </x:c>
      <x:c r="E432" s="9" t="n">
        <x:v>160</x:v>
      </x:c>
      <x:c r="F432" s="7" t="n">
        <x:v>1720913.82</x:v>
      </x:c>
    </x:row>
    <x:row r="433">
      <x:c r="A433" s="6" t="n">
        <x:v>46174</x:v>
      </x:c>
      <x:c r="B433" s="5" t="str">
        <x:v>Q2 Forecast</x:v>
      </x:c>
      <x:c r="C433" s="5" t="str">
        <x:v>Depreciation &amp; Amortization</x:v>
      </x:c>
      <x:c r="D433" s="5" t="str">
        <x:v>D&amp;A</x:v>
      </x:c>
      <x:c r="E433" s="9" t="n">
        <x:v>230</x:v>
      </x:c>
      <x:c r="F433" s="7" t="n">
        <x:v>207452.04</x:v>
      </x:c>
    </x:row>
    <x:row r="434">
      <x:c r="A434" s="6" t="n">
        <x:v>46204</x:v>
      </x:c>
      <x:c r="B434" s="5" t="str">
        <x:v>Budget</x:v>
      </x:c>
      <x:c r="C434" s="5" t="str">
        <x:v>Subscription Revenue</x:v>
      </x:c>
      <x:c r="D434" s="5" t="str">
        <x:v>Revenue</x:v>
      </x:c>
      <x:c r="E434" s="9" t="n">
        <x:v>10</x:v>
      </x:c>
      <x:c r="F434" s="7" t="n">
        <x:v>10911359.56</x:v>
      </x:c>
    </x:row>
    <x:row r="435">
      <x:c r="A435" s="6" t="n">
        <x:v>46204</x:v>
      </x:c>
      <x:c r="B435" s="5" t="str">
        <x:v>Budget</x:v>
      </x:c>
      <x:c r="C435" s="5" t="str">
        <x:v>Professional Services Revenue</x:v>
      </x:c>
      <x:c r="D435" s="5" t="str">
        <x:v>Revenue</x:v>
      </x:c>
      <x:c r="E435" s="9" t="n">
        <x:v>20</x:v>
      </x:c>
      <x:c r="F435" s="7" t="n">
        <x:v>1560232.39</x:v>
      </x:c>
    </x:row>
    <x:row r="436">
      <x:c r="A436" s="6" t="n">
        <x:v>46204</x:v>
      </x:c>
      <x:c r="B436" s="5" t="str">
        <x:v>Budget</x:v>
      </x:c>
      <x:c r="C436" s="5" t="str">
        <x:v>Cost of Subscription</x:v>
      </x:c>
      <x:c r="D436" s="5" t="str">
        <x:v>Cost of Revenue</x:v>
      </x:c>
      <x:c r="E436" s="9" t="n">
        <x:v>40</x:v>
      </x:c>
      <x:c r="F436" s="7" t="n">
        <x:v>2325516.78</x:v>
      </x:c>
    </x:row>
    <x:row r="437">
      <x:c r="A437" s="6" t="n">
        <x:v>46204</x:v>
      </x:c>
      <x:c r="B437" s="5" t="str">
        <x:v>Budget</x:v>
      </x:c>
      <x:c r="C437" s="5" t="str">
        <x:v>Cost of Services</x:v>
      </x:c>
      <x:c r="D437" s="5" t="str">
        <x:v>Cost of Revenue</x:v>
      </x:c>
      <x:c r="E437" s="9" t="n">
        <x:v>60</x:v>
      </x:c>
      <x:c r="F437" s="7" t="n">
        <x:v>1292607.7</x:v>
      </x:c>
    </x:row>
    <x:row r="438">
      <x:c r="A438" s="6" t="n">
        <x:v>46204</x:v>
      </x:c>
      <x:c r="B438" s="5" t="str">
        <x:v>Budget</x:v>
      </x:c>
      <x:c r="C438" s="5" t="str">
        <x:v>Sales &amp; Marketing</x:v>
      </x:c>
      <x:c r="D438" s="5" t="str">
        <x:v>Operating Expense</x:v>
      </x:c>
      <x:c r="E438" s="9" t="n">
        <x:v>100</x:v>
      </x:c>
      <x:c r="F438" s="7" t="n">
        <x:v>2664113.88</x:v>
      </x:c>
    </x:row>
    <x:row r="439">
      <x:c r="A439" s="6" t="n">
        <x:v>46204</x:v>
      </x:c>
      <x:c r="B439" s="5" t="str">
        <x:v>Budget</x:v>
      </x:c>
      <x:c r="C439" s="5" t="str">
        <x:v>Research &amp; Development</x:v>
      </x:c>
      <x:c r="D439" s="5" t="str">
        <x:v>Operating Expense</x:v>
      </x:c>
      <x:c r="E439" s="9" t="n">
        <x:v>140</x:v>
      </x:c>
      <x:c r="F439" s="7" t="n">
        <x:v>2710672.33</x:v>
      </x:c>
    </x:row>
    <x:row r="440">
      <x:c r="A440" s="6" t="n">
        <x:v>46204</x:v>
      </x:c>
      <x:c r="B440" s="5" t="str">
        <x:v>Budget</x:v>
      </x:c>
      <x:c r="C440" s="5" t="str">
        <x:v>General &amp; Administrative</x:v>
      </x:c>
      <x:c r="D440" s="5" t="str">
        <x:v>Operating Expense</x:v>
      </x:c>
      <x:c r="E440" s="9" t="n">
        <x:v>160</x:v>
      </x:c>
      <x:c r="F440" s="7" t="n">
        <x:v>1782920.51</x:v>
      </x:c>
    </x:row>
    <x:row r="441">
      <x:c r="A441" s="6" t="n">
        <x:v>46204</x:v>
      </x:c>
      <x:c r="B441" s="5" t="str">
        <x:v>Budget</x:v>
      </x:c>
      <x:c r="C441" s="5" t="str">
        <x:v>Depreciation &amp; Amortization</x:v>
      </x:c>
      <x:c r="D441" s="5" t="str">
        <x:v>D&amp;A</x:v>
      </x:c>
      <x:c r="E441" s="9" t="n">
        <x:v>230</x:v>
      </x:c>
      <x:c r="F441" s="7" t="n">
        <x:v>210187.69</x:v>
      </x:c>
    </x:row>
    <x:row r="442">
      <x:c r="A442" s="6" t="n">
        <x:v>46204</x:v>
      </x:c>
      <x:c r="B442" s="5" t="str">
        <x:v>Q2 Forecast</x:v>
      </x:c>
      <x:c r="C442" s="5" t="str">
        <x:v>Subscription Revenue</x:v>
      </x:c>
      <x:c r="D442" s="5" t="str">
        <x:v>Revenue</x:v>
      </x:c>
      <x:c r="E442" s="9" t="n">
        <x:v>10</x:v>
      </x:c>
      <x:c r="F442" s="7" t="n">
        <x:v>10420348.38</x:v>
      </x:c>
    </x:row>
    <x:row r="443">
      <x:c r="A443" s="6" t="n">
        <x:v>46204</x:v>
      </x:c>
      <x:c r="B443" s="5" t="str">
        <x:v>Q2 Forecast</x:v>
      </x:c>
      <x:c r="C443" s="5" t="str">
        <x:v>Professional Services Revenue</x:v>
      </x:c>
      <x:c r="D443" s="5" t="str">
        <x:v>Revenue</x:v>
      </x:c>
      <x:c r="E443" s="9" t="n">
        <x:v>20</x:v>
      </x:c>
      <x:c r="F443" s="7" t="n">
        <x:v>1435413.79</x:v>
      </x:c>
    </x:row>
    <x:row r="444">
      <x:c r="A444" s="6" t="n">
        <x:v>46204</x:v>
      </x:c>
      <x:c r="B444" s="5" t="str">
        <x:v>Q2 Forecast</x:v>
      </x:c>
      <x:c r="C444" s="5" t="str">
        <x:v>Cost of Subscription</x:v>
      </x:c>
      <x:c r="D444" s="5" t="str">
        <x:v>Cost of Revenue</x:v>
      </x:c>
      <x:c r="E444" s="9" t="n">
        <x:v>40</x:v>
      </x:c>
      <x:c r="F444" s="7" t="n">
        <x:v>2212919.65</x:v>
      </x:c>
    </x:row>
    <x:row r="445">
      <x:c r="A445" s="6" t="n">
        <x:v>46204</x:v>
      </x:c>
      <x:c r="B445" s="5" t="str">
        <x:v>Q2 Forecast</x:v>
      </x:c>
      <x:c r="C445" s="5" t="str">
        <x:v>Cost of Services</x:v>
      </x:c>
      <x:c r="D445" s="5" t="str">
        <x:v>Cost of Revenue</x:v>
      </x:c>
      <x:c r="E445" s="9" t="n">
        <x:v>60</x:v>
      </x:c>
      <x:c r="F445" s="7" t="n">
        <x:v>1235997.97</x:v>
      </x:c>
    </x:row>
    <x:row r="446">
      <x:c r="A446" s="6" t="n">
        <x:v>46204</x:v>
      </x:c>
      <x:c r="B446" s="5" t="str">
        <x:v>Q2 Forecast</x:v>
      </x:c>
      <x:c r="C446" s="5" t="str">
        <x:v>Sales &amp; Marketing</x:v>
      </x:c>
      <x:c r="D446" s="5" t="str">
        <x:v>Operating Expense</x:v>
      </x:c>
      <x:c r="E446" s="9" t="n">
        <x:v>100</x:v>
      </x:c>
      <x:c r="F446" s="7" t="n">
        <x:v>2577312.8</x:v>
      </x:c>
    </x:row>
    <x:row r="447">
      <x:c r="A447" s="6" t="n">
        <x:v>46204</x:v>
      </x:c>
      <x:c r="B447" s="5" t="str">
        <x:v>Q2 Forecast</x:v>
      </x:c>
      <x:c r="C447" s="5" t="str">
        <x:v>Research &amp; Development</x:v>
      </x:c>
      <x:c r="D447" s="5" t="str">
        <x:v>Operating Expense</x:v>
      </x:c>
      <x:c r="E447" s="9" t="n">
        <x:v>140</x:v>
      </x:c>
      <x:c r="F447" s="7" t="n">
        <x:v>2595395.02</x:v>
      </x:c>
    </x:row>
    <x:row r="448">
      <x:c r="A448" s="6" t="n">
        <x:v>46204</x:v>
      </x:c>
      <x:c r="B448" s="5" t="str">
        <x:v>Q2 Forecast</x:v>
      </x:c>
      <x:c r="C448" s="5" t="str">
        <x:v>General &amp; Administrative</x:v>
      </x:c>
      <x:c r="D448" s="5" t="str">
        <x:v>Operating Expense</x:v>
      </x:c>
      <x:c r="E448" s="9" t="n">
        <x:v>160</x:v>
      </x:c>
      <x:c r="F448" s="7" t="n">
        <x:v>1770746.54</x:v>
      </x:c>
    </x:row>
    <x:row r="449">
      <x:c r="A449" s="6" t="n">
        <x:v>46204</x:v>
      </x:c>
      <x:c r="B449" s="5" t="str">
        <x:v>Q2 Forecast</x:v>
      </x:c>
      <x:c r="C449" s="5" t="str">
        <x:v>Depreciation &amp; Amortization</x:v>
      </x:c>
      <x:c r="D449" s="5" t="str">
        <x:v>D&amp;A</x:v>
      </x:c>
      <x:c r="E449" s="9" t="n">
        <x:v>230</x:v>
      </x:c>
      <x:c r="F449" s="7" t="n">
        <x:v>208085.81</x:v>
      </x:c>
    </x:row>
    <x:row r="450">
      <x:c r="A450" s="6" t="n">
        <x:v>46235</x:v>
      </x:c>
      <x:c r="B450" s="5" t="str">
        <x:v>Budget</x:v>
      </x:c>
      <x:c r="C450" s="5" t="str">
        <x:v>Subscription Revenue</x:v>
      </x:c>
      <x:c r="D450" s="5" t="str">
        <x:v>Revenue</x:v>
      </x:c>
      <x:c r="E450" s="9" t="n">
        <x:v>10</x:v>
      </x:c>
      <x:c r="F450" s="7" t="n">
        <x:v>11015985.97</x:v>
      </x:c>
    </x:row>
    <x:row r="451">
      <x:c r="A451" s="6" t="n">
        <x:v>46235</x:v>
      </x:c>
      <x:c r="B451" s="5" t="str">
        <x:v>Budget</x:v>
      </x:c>
      <x:c r="C451" s="5" t="str">
        <x:v>Professional Services Revenue</x:v>
      </x:c>
      <x:c r="D451" s="5" t="str">
        <x:v>Revenue</x:v>
      </x:c>
      <x:c r="E451" s="9" t="n">
        <x:v>20</x:v>
      </x:c>
      <x:c r="F451" s="7" t="n">
        <x:v>1932031.43</x:v>
      </x:c>
    </x:row>
    <x:row r="452">
      <x:c r="A452" s="6" t="n">
        <x:v>46235</x:v>
      </x:c>
      <x:c r="B452" s="5" t="str">
        <x:v>Budget</x:v>
      </x:c>
      <x:c r="C452" s="5" t="str">
        <x:v>Cost of Subscription</x:v>
      </x:c>
      <x:c r="D452" s="5" t="str">
        <x:v>Cost of Revenue</x:v>
      </x:c>
      <x:c r="E452" s="9" t="n">
        <x:v>40</x:v>
      </x:c>
      <x:c r="F452" s="7" t="n">
        <x:v>2366431.41</x:v>
      </x:c>
    </x:row>
    <x:row r="453">
      <x:c r="A453" s="6" t="n">
        <x:v>46235</x:v>
      </x:c>
      <x:c r="B453" s="5" t="str">
        <x:v>Budget</x:v>
      </x:c>
      <x:c r="C453" s="5" t="str">
        <x:v>Cost of Services</x:v>
      </x:c>
      <x:c r="D453" s="5" t="str">
        <x:v>Cost of Revenue</x:v>
      </x:c>
      <x:c r="E453" s="9" t="n">
        <x:v>60</x:v>
      </x:c>
      <x:c r="F453" s="7" t="n">
        <x:v>1299316.25</x:v>
      </x:c>
    </x:row>
    <x:row r="454">
      <x:c r="A454" s="6" t="n">
        <x:v>46235</x:v>
      </x:c>
      <x:c r="B454" s="5" t="str">
        <x:v>Budget</x:v>
      </x:c>
      <x:c r="C454" s="5" t="str">
        <x:v>Sales &amp; Marketing</x:v>
      </x:c>
      <x:c r="D454" s="5" t="str">
        <x:v>Operating Expense</x:v>
      </x:c>
      <x:c r="E454" s="9" t="n">
        <x:v>100</x:v>
      </x:c>
      <x:c r="F454" s="7" t="n">
        <x:v>2709451.54</x:v>
      </x:c>
    </x:row>
    <x:row r="455">
      <x:c r="A455" s="6" t="n">
        <x:v>46235</x:v>
      </x:c>
      <x:c r="B455" s="5" t="str">
        <x:v>Budget</x:v>
      </x:c>
      <x:c r="C455" s="5" t="str">
        <x:v>Research &amp; Development</x:v>
      </x:c>
      <x:c r="D455" s="5" t="str">
        <x:v>Operating Expense</x:v>
      </x:c>
      <x:c r="E455" s="9" t="n">
        <x:v>140</x:v>
      </x:c>
      <x:c r="F455" s="7" t="n">
        <x:v>2755347.16</x:v>
      </x:c>
    </x:row>
    <x:row r="456">
      <x:c r="A456" s="6" t="n">
        <x:v>46235</x:v>
      </x:c>
      <x:c r="B456" s="5" t="str">
        <x:v>Budget</x:v>
      </x:c>
      <x:c r="C456" s="5" t="str">
        <x:v>General &amp; Administrative</x:v>
      </x:c>
      <x:c r="D456" s="5" t="str">
        <x:v>Operating Expense</x:v>
      </x:c>
      <x:c r="E456" s="9" t="n">
        <x:v>160</x:v>
      </x:c>
      <x:c r="F456" s="7" t="n">
        <x:v>1824892.77</x:v>
      </x:c>
    </x:row>
    <x:row r="457">
      <x:c r="A457" s="6" t="n">
        <x:v>46235</x:v>
      </x:c>
      <x:c r="B457" s="5" t="str">
        <x:v>Budget</x:v>
      </x:c>
      <x:c r="C457" s="5" t="str">
        <x:v>Depreciation &amp; Amortization</x:v>
      </x:c>
      <x:c r="D457" s="5" t="str">
        <x:v>D&amp;A</x:v>
      </x:c>
      <x:c r="E457" s="9" t="n">
        <x:v>230</x:v>
      </x:c>
      <x:c r="F457" s="7" t="n">
        <x:v>218400.84</x:v>
      </x:c>
    </x:row>
    <x:row r="458">
      <x:c r="A458" s="6" t="n">
        <x:v>46235</x:v>
      </x:c>
      <x:c r="B458" s="5" t="str">
        <x:v>Q2 Forecast</x:v>
      </x:c>
      <x:c r="C458" s="5" t="str">
        <x:v>Subscription Revenue</x:v>
      </x:c>
      <x:c r="D458" s="5" t="str">
        <x:v>Revenue</x:v>
      </x:c>
      <x:c r="E458" s="9" t="n">
        <x:v>10</x:v>
      </x:c>
      <x:c r="F458" s="7" t="n">
        <x:v>10520266.6</x:v>
      </x:c>
    </x:row>
    <x:row r="459">
      <x:c r="A459" s="6" t="n">
        <x:v>46235</x:v>
      </x:c>
      <x:c r="B459" s="5" t="str">
        <x:v>Q2 Forecast</x:v>
      </x:c>
      <x:c r="C459" s="5" t="str">
        <x:v>Professional Services Revenue</x:v>
      </x:c>
      <x:c r="D459" s="5" t="str">
        <x:v>Revenue</x:v>
      </x:c>
      <x:c r="E459" s="9" t="n">
        <x:v>20</x:v>
      </x:c>
      <x:c r="F459" s="7" t="n">
        <x:v>1780047.06</x:v>
      </x:c>
    </x:row>
    <x:row r="460">
      <x:c r="A460" s="6" t="n">
        <x:v>46235</x:v>
      </x:c>
      <x:c r="B460" s="5" t="str">
        <x:v>Q2 Forecast</x:v>
      </x:c>
      <x:c r="C460" s="5" t="str">
        <x:v>Cost of Subscription</x:v>
      </x:c>
      <x:c r="D460" s="5" t="str">
        <x:v>Cost of Revenue</x:v>
      </x:c>
      <x:c r="E460" s="9" t="n">
        <x:v>40</x:v>
      </x:c>
      <x:c r="F460" s="7" t="n">
        <x:v>2251702.57</x:v>
      </x:c>
    </x:row>
    <x:row r="461">
      <x:c r="A461" s="6" t="n">
        <x:v>46235</x:v>
      </x:c>
      <x:c r="B461" s="5" t="str">
        <x:v>Q2 Forecast</x:v>
      </x:c>
      <x:c r="C461" s="5" t="str">
        <x:v>Cost of Services</x:v>
      </x:c>
      <x:c r="D461" s="5" t="str">
        <x:v>Cost of Revenue</x:v>
      </x:c>
      <x:c r="E461" s="9" t="n">
        <x:v>60</x:v>
      </x:c>
      <x:c r="F461" s="7" t="n">
        <x:v>1242320.4</x:v>
      </x:c>
    </x:row>
    <x:row r="462">
      <x:c r="A462" s="6" t="n">
        <x:v>46235</x:v>
      </x:c>
      <x:c r="B462" s="5" t="str">
        <x:v>Q2 Forecast</x:v>
      </x:c>
      <x:c r="C462" s="5" t="str">
        <x:v>Sales &amp; Marketing</x:v>
      </x:c>
      <x:c r="D462" s="5" t="str">
        <x:v>Operating Expense</x:v>
      </x:c>
      <x:c r="E462" s="9" t="n">
        <x:v>100</x:v>
      </x:c>
      <x:c r="F462" s="7" t="n">
        <x:v>2621595.57</x:v>
      </x:c>
    </x:row>
    <x:row r="463">
      <x:c r="A463" s="6" t="n">
        <x:v>46235</x:v>
      </x:c>
      <x:c r="B463" s="5" t="str">
        <x:v>Q2 Forecast</x:v>
      </x:c>
      <x:c r="C463" s="5" t="str">
        <x:v>Research &amp; Development</x:v>
      </x:c>
      <x:c r="D463" s="5" t="str">
        <x:v>Operating Expense</x:v>
      </x:c>
      <x:c r="E463" s="9" t="n">
        <x:v>140</x:v>
      </x:c>
      <x:c r="F463" s="7" t="n">
        <x:v>2638151.85</x:v>
      </x:c>
    </x:row>
    <x:row r="464">
      <x:c r="A464" s="6" t="n">
        <x:v>46235</x:v>
      </x:c>
      <x:c r="B464" s="5" t="str">
        <x:v>Q2 Forecast</x:v>
      </x:c>
      <x:c r="C464" s="5" t="str">
        <x:v>General &amp; Administrative</x:v>
      </x:c>
      <x:c r="D464" s="5" t="str">
        <x:v>Operating Expense</x:v>
      </x:c>
      <x:c r="E464" s="9" t="n">
        <x:v>160</x:v>
      </x:c>
      <x:c r="F464" s="7" t="n">
        <x:v>1805469.41</x:v>
      </x:c>
    </x:row>
    <x:row r="465">
      <x:c r="A465" s="6" t="n">
        <x:v>46235</x:v>
      </x:c>
      <x:c r="B465" s="5" t="str">
        <x:v>Q2 Forecast</x:v>
      </x:c>
      <x:c r="C465" s="5" t="str">
        <x:v>Depreciation &amp; Amortization</x:v>
      </x:c>
      <x:c r="D465" s="5" t="str">
        <x:v>D&amp;A</x:v>
      </x:c>
      <x:c r="E465" s="9" t="n">
        <x:v>230</x:v>
      </x:c>
      <x:c r="F465" s="7" t="n">
        <x:v>216216.83</x:v>
      </x:c>
    </x:row>
    <x:row r="466">
      <x:c r="A466" s="6" t="n">
        <x:v>46266</x:v>
      </x:c>
      <x:c r="B466" s="5" t="str">
        <x:v>Budget</x:v>
      </x:c>
      <x:c r="C466" s="5" t="str">
        <x:v>Subscription Revenue</x:v>
      </x:c>
      <x:c r="D466" s="5" t="str">
        <x:v>Revenue</x:v>
      </x:c>
      <x:c r="E466" s="9" t="n">
        <x:v>10</x:v>
      </x:c>
      <x:c r="F466" s="7" t="n">
        <x:v>11153821.49</x:v>
      </x:c>
    </x:row>
    <x:row r="467">
      <x:c r="A467" s="6" t="n">
        <x:v>46266</x:v>
      </x:c>
      <x:c r="B467" s="5" t="str">
        <x:v>Budget</x:v>
      </x:c>
      <x:c r="C467" s="5" t="str">
        <x:v>Professional Services Revenue</x:v>
      </x:c>
      <x:c r="D467" s="5" t="str">
        <x:v>Revenue</x:v>
      </x:c>
      <x:c r="E467" s="9" t="n">
        <x:v>20</x:v>
      </x:c>
      <x:c r="F467" s="7" t="n">
        <x:v>1981629.56</x:v>
      </x:c>
    </x:row>
    <x:row r="468">
      <x:c r="A468" s="6" t="n">
        <x:v>46266</x:v>
      </x:c>
      <x:c r="B468" s="5" t="str">
        <x:v>Budget</x:v>
      </x:c>
      <x:c r="C468" s="5" t="str">
        <x:v>Cost of Subscription</x:v>
      </x:c>
      <x:c r="D468" s="5" t="str">
        <x:v>Cost of Revenue</x:v>
      </x:c>
      <x:c r="E468" s="9" t="n">
        <x:v>40</x:v>
      </x:c>
      <x:c r="F468" s="7" t="n">
        <x:v>2373081.54</x:v>
      </x:c>
    </x:row>
    <x:row r="469">
      <x:c r="A469" s="6" t="n">
        <x:v>46266</x:v>
      </x:c>
      <x:c r="B469" s="5" t="str">
        <x:v>Budget</x:v>
      </x:c>
      <x:c r="C469" s="5" t="str">
        <x:v>Cost of Services</x:v>
      </x:c>
      <x:c r="D469" s="5" t="str">
        <x:v>Cost of Revenue</x:v>
      </x:c>
      <x:c r="E469" s="9" t="n">
        <x:v>60</x:v>
      </x:c>
      <x:c r="F469" s="7" t="n">
        <x:v>1315760.04</x:v>
      </x:c>
    </x:row>
    <x:row r="470">
      <x:c r="A470" s="6" t="n">
        <x:v>46266</x:v>
      </x:c>
      <x:c r="B470" s="5" t="str">
        <x:v>Budget</x:v>
      </x:c>
      <x:c r="C470" s="5" t="str">
        <x:v>Sales &amp; Marketing</x:v>
      </x:c>
      <x:c r="D470" s="5" t="str">
        <x:v>Operating Expense</x:v>
      </x:c>
      <x:c r="E470" s="9" t="n">
        <x:v>100</x:v>
      </x:c>
      <x:c r="F470" s="7" t="n">
        <x:v>2701992.63</x:v>
      </x:c>
    </x:row>
    <x:row r="471">
      <x:c r="A471" s="6" t="n">
        <x:v>46266</x:v>
      </x:c>
      <x:c r="B471" s="5" t="str">
        <x:v>Budget</x:v>
      </x:c>
      <x:c r="C471" s="5" t="str">
        <x:v>Research &amp; Development</x:v>
      </x:c>
      <x:c r="D471" s="5" t="str">
        <x:v>Operating Expense</x:v>
      </x:c>
      <x:c r="E471" s="9" t="n">
        <x:v>140</x:v>
      </x:c>
      <x:c r="F471" s="7" t="n">
        <x:v>2774758.68</x:v>
      </x:c>
    </x:row>
    <x:row r="472">
      <x:c r="A472" s="6" t="n">
        <x:v>46266</x:v>
      </x:c>
      <x:c r="B472" s="5" t="str">
        <x:v>Budget</x:v>
      </x:c>
      <x:c r="C472" s="5" t="str">
        <x:v>General &amp; Administrative</x:v>
      </x:c>
      <x:c r="D472" s="5" t="str">
        <x:v>Operating Expense</x:v>
      </x:c>
      <x:c r="E472" s="9" t="n">
        <x:v>160</x:v>
      </x:c>
      <x:c r="F472" s="7" t="n">
        <x:v>1800392.62</x:v>
      </x:c>
    </x:row>
    <x:row r="473">
      <x:c r="A473" s="6" t="n">
        <x:v>46266</x:v>
      </x:c>
      <x:c r="B473" s="5" t="str">
        <x:v>Budget</x:v>
      </x:c>
      <x:c r="C473" s="5" t="str">
        <x:v>Depreciation &amp; Amortization</x:v>
      </x:c>
      <x:c r="D473" s="5" t="str">
        <x:v>D&amp;A</x:v>
      </x:c>
      <x:c r="E473" s="9" t="n">
        <x:v>230</x:v>
      </x:c>
      <x:c r="F473" s="7" t="n">
        <x:v>221575.12</x:v>
      </x:c>
    </x:row>
    <x:row r="474">
      <x:c r="A474" s="6" t="n">
        <x:v>46266</x:v>
      </x:c>
      <x:c r="B474" s="5" t="str">
        <x:v>Q2 Forecast</x:v>
      </x:c>
      <x:c r="C474" s="5" t="str">
        <x:v>Subscription Revenue</x:v>
      </x:c>
      <x:c r="D474" s="5" t="str">
        <x:v>Revenue</x:v>
      </x:c>
      <x:c r="E474" s="9" t="n">
        <x:v>10</x:v>
      </x:c>
      <x:c r="F474" s="7" t="n">
        <x:v>10651899.52</x:v>
      </x:c>
    </x:row>
    <x:row r="475">
      <x:c r="A475" s="6" t="n">
        <x:v>46266</x:v>
      </x:c>
      <x:c r="B475" s="5" t="str">
        <x:v>Q2 Forecast</x:v>
      </x:c>
      <x:c r="C475" s="5" t="str">
        <x:v>Professional Services Revenue</x:v>
      </x:c>
      <x:c r="D475" s="5" t="str">
        <x:v>Revenue</x:v>
      </x:c>
      <x:c r="E475" s="9" t="n">
        <x:v>20</x:v>
      </x:c>
      <x:c r="F475" s="7" t="n">
        <x:v>1823099.21</x:v>
      </x:c>
    </x:row>
    <x:row r="476">
      <x:c r="A476" s="6" t="n">
        <x:v>46266</x:v>
      </x:c>
      <x:c r="B476" s="5" t="str">
        <x:v>Q2 Forecast</x:v>
      </x:c>
      <x:c r="C476" s="5" t="str">
        <x:v>Cost of Subscription</x:v>
      </x:c>
      <x:c r="D476" s="5" t="str">
        <x:v>Cost of Revenue</x:v>
      </x:c>
      <x:c r="E476" s="9" t="n">
        <x:v>40</x:v>
      </x:c>
      <x:c r="F476" s="7" t="n">
        <x:v>2257913.09</x:v>
      </x:c>
    </x:row>
    <x:row r="477">
      <x:c r="A477" s="6" t="n">
        <x:v>46266</x:v>
      </x:c>
      <x:c r="B477" s="5" t="str">
        <x:v>Q2 Forecast</x:v>
      </x:c>
      <x:c r="C477" s="5" t="str">
        <x:v>Cost of Services</x:v>
      </x:c>
      <x:c r="D477" s="5" t="str">
        <x:v>Cost of Revenue</x:v>
      </x:c>
      <x:c r="E477" s="9" t="n">
        <x:v>60</x:v>
      </x:c>
      <x:c r="F477" s="7" t="n">
        <x:v>1258372.07</x:v>
      </x:c>
    </x:row>
    <x:row r="478">
      <x:c r="A478" s="6" t="n">
        <x:v>46266</x:v>
      </x:c>
      <x:c r="B478" s="5" t="str">
        <x:v>Q2 Forecast</x:v>
      </x:c>
      <x:c r="C478" s="5" t="str">
        <x:v>Sales &amp; Marketing</x:v>
      </x:c>
      <x:c r="D478" s="5" t="str">
        <x:v>Operating Expense</x:v>
      </x:c>
      <x:c r="E478" s="9" t="n">
        <x:v>100</x:v>
      </x:c>
      <x:c r="F478" s="7" t="n">
        <x:v>2614498.07</x:v>
      </x:c>
    </x:row>
    <x:row r="479">
      <x:c r="A479" s="6" t="n">
        <x:v>46266</x:v>
      </x:c>
      <x:c r="B479" s="5" t="str">
        <x:v>Q2 Forecast</x:v>
      </x:c>
      <x:c r="C479" s="5" t="str">
        <x:v>Research &amp; Development</x:v>
      </x:c>
      <x:c r="D479" s="5" t="str">
        <x:v>Operating Expense</x:v>
      </x:c>
      <x:c r="E479" s="9" t="n">
        <x:v>140</x:v>
      </x:c>
      <x:c r="F479" s="7" t="n">
        <x:v>2656745.19</x:v>
      </x:c>
    </x:row>
    <x:row r="480">
      <x:c r="A480" s="6" t="n">
        <x:v>46266</x:v>
      </x:c>
      <x:c r="B480" s="5" t="str">
        <x:v>Q2 Forecast</x:v>
      </x:c>
      <x:c r="C480" s="5" t="str">
        <x:v>General &amp; Administrative</x:v>
      </x:c>
      <x:c r="D480" s="5" t="str">
        <x:v>Operating Expense</x:v>
      </x:c>
      <x:c r="E480" s="9" t="n">
        <x:v>160</x:v>
      </x:c>
      <x:c r="F480" s="7" t="n">
        <x:v>1791293.54</x:v>
      </x:c>
    </x:row>
    <x:row r="481">
      <x:c r="A481" s="6" t="n">
        <x:v>46266</x:v>
      </x:c>
      <x:c r="B481" s="5" t="str">
        <x:v>Q2 Forecast</x:v>
      </x:c>
      <x:c r="C481" s="5" t="str">
        <x:v>Depreciation &amp; Amortization</x:v>
      </x:c>
      <x:c r="D481" s="5" t="str">
        <x:v>D&amp;A</x:v>
      </x:c>
      <x:c r="E481" s="9" t="n">
        <x:v>230</x:v>
      </x:c>
      <x:c r="F481" s="7" t="n">
        <x:v>219359.37</x:v>
      </x:c>
    </x:row>
    <x:row r="482">
      <x:c r="A482" s="6" t="n">
        <x:v>46296</x:v>
      </x:c>
      <x:c r="B482" s="5" t="str">
        <x:v>Budget</x:v>
      </x:c>
      <x:c r="C482" s="5" t="str">
        <x:v>Subscription Revenue</x:v>
      </x:c>
      <x:c r="D482" s="5" t="str">
        <x:v>Revenue</x:v>
      </x:c>
      <x:c r="E482" s="9" t="n">
        <x:v>10</x:v>
      </x:c>
      <x:c r="F482" s="7" t="n">
        <x:v>11240886.73</x:v>
      </x:c>
    </x:row>
    <x:row r="483">
      <x:c r="A483" s="6" t="n">
        <x:v>46296</x:v>
      </x:c>
      <x:c r="B483" s="5" t="str">
        <x:v>Budget</x:v>
      </x:c>
      <x:c r="C483" s="5" t="str">
        <x:v>Professional Services Revenue</x:v>
      </x:c>
      <x:c r="D483" s="5" t="str">
        <x:v>Revenue</x:v>
      </x:c>
      <x:c r="E483" s="9" t="n">
        <x:v>20</x:v>
      </x:c>
      <x:c r="F483" s="7" t="n">
        <x:v>2524529.04</x:v>
      </x:c>
    </x:row>
    <x:row r="484">
      <x:c r="A484" s="6" t="n">
        <x:v>46296</x:v>
      </x:c>
      <x:c r="B484" s="5" t="str">
        <x:v>Budget</x:v>
      </x:c>
      <x:c r="C484" s="5" t="str">
        <x:v>Cost of Subscription</x:v>
      </x:c>
      <x:c r="D484" s="5" t="str">
        <x:v>Cost of Revenue</x:v>
      </x:c>
      <x:c r="E484" s="9" t="n">
        <x:v>40</x:v>
      </x:c>
      <x:c r="F484" s="7" t="n">
        <x:v>2394243.34</x:v>
      </x:c>
    </x:row>
    <x:row r="485">
      <x:c r="A485" s="6" t="n">
        <x:v>46296</x:v>
      </x:c>
      <x:c r="B485" s="5" t="str">
        <x:v>Budget</x:v>
      </x:c>
      <x:c r="C485" s="5" t="str">
        <x:v>Cost of Services</x:v>
      </x:c>
      <x:c r="D485" s="5" t="str">
        <x:v>Cost of Revenue</x:v>
      </x:c>
      <x:c r="E485" s="9" t="n">
        <x:v>60</x:v>
      </x:c>
      <x:c r="F485" s="7" t="n">
        <x:v>1336947.87</x:v>
      </x:c>
    </x:row>
    <x:row r="486">
      <x:c r="A486" s="6" t="n">
        <x:v>46296</x:v>
      </x:c>
      <x:c r="B486" s="5" t="str">
        <x:v>Budget</x:v>
      </x:c>
      <x:c r="C486" s="5" t="str">
        <x:v>Sales &amp; Marketing</x:v>
      </x:c>
      <x:c r="D486" s="5" t="str">
        <x:v>Operating Expense</x:v>
      </x:c>
      <x:c r="E486" s="9" t="n">
        <x:v>100</x:v>
      </x:c>
      <x:c r="F486" s="7" t="n">
        <x:v>2898968.2</x:v>
      </x:c>
    </x:row>
    <x:row r="487">
      <x:c r="A487" s="6" t="n">
        <x:v>46296</x:v>
      </x:c>
      <x:c r="B487" s="5" t="str">
        <x:v>Budget</x:v>
      </x:c>
      <x:c r="C487" s="5" t="str">
        <x:v>Research &amp; Development</x:v>
      </x:c>
      <x:c r="D487" s="5" t="str">
        <x:v>Operating Expense</x:v>
      </x:c>
      <x:c r="E487" s="9" t="n">
        <x:v>140</x:v>
      </x:c>
      <x:c r="F487" s="7" t="n">
        <x:v>2734419.37</x:v>
      </x:c>
    </x:row>
    <x:row r="488">
      <x:c r="A488" s="6" t="n">
        <x:v>46296</x:v>
      </x:c>
      <x:c r="B488" s="5" t="str">
        <x:v>Budget</x:v>
      </x:c>
      <x:c r="C488" s="5" t="str">
        <x:v>General &amp; Administrative</x:v>
      </x:c>
      <x:c r="D488" s="5" t="str">
        <x:v>Operating Expense</x:v>
      </x:c>
      <x:c r="E488" s="9" t="n">
        <x:v>160</x:v>
      </x:c>
      <x:c r="F488" s="7" t="n">
        <x:v>1824871.38</x:v>
      </x:c>
    </x:row>
    <x:row r="489">
      <x:c r="A489" s="6" t="n">
        <x:v>46296</x:v>
      </x:c>
      <x:c r="B489" s="5" t="str">
        <x:v>Budget</x:v>
      </x:c>
      <x:c r="C489" s="5" t="str">
        <x:v>Depreciation &amp; Amortization</x:v>
      </x:c>
      <x:c r="D489" s="5" t="str">
        <x:v>D&amp;A</x:v>
      </x:c>
      <x:c r="E489" s="9" t="n">
        <x:v>230</x:v>
      </x:c>
      <x:c r="F489" s="7" t="n">
        <x:v>232465.35</x:v>
      </x:c>
    </x:row>
    <x:row r="490">
      <x:c r="A490" s="6" t="n">
        <x:v>46296</x:v>
      </x:c>
      <x:c r="B490" s="5" t="str">
        <x:v>Q2 Forecast</x:v>
      </x:c>
      <x:c r="C490" s="5" t="str">
        <x:v>Subscription Revenue</x:v>
      </x:c>
      <x:c r="D490" s="5" t="str">
        <x:v>Revenue</x:v>
      </x:c>
      <x:c r="E490" s="9" t="n">
        <x:v>10</x:v>
      </x:c>
      <x:c r="F490" s="7" t="n">
        <x:v>10735046.83</x:v>
      </x:c>
    </x:row>
    <x:row r="491">
      <x:c r="A491" s="6" t="n">
        <x:v>46296</x:v>
      </x:c>
      <x:c r="B491" s="5" t="str">
        <x:v>Q2 Forecast</x:v>
      </x:c>
      <x:c r="C491" s="5" t="str">
        <x:v>Professional Services Revenue</x:v>
      </x:c>
      <x:c r="D491" s="5" t="str">
        <x:v>Revenue</x:v>
      </x:c>
      <x:c r="E491" s="9" t="n">
        <x:v>20</x:v>
      </x:c>
      <x:c r="F491" s="7" t="n">
        <x:v>2322566.72</x:v>
      </x:c>
    </x:row>
    <x:row r="492">
      <x:c r="A492" s="6" t="n">
        <x:v>46296</x:v>
      </x:c>
      <x:c r="B492" s="5" t="str">
        <x:v>Q2 Forecast</x:v>
      </x:c>
      <x:c r="C492" s="5" t="str">
        <x:v>Cost of Subscription</x:v>
      </x:c>
      <x:c r="D492" s="5" t="str">
        <x:v>Cost of Revenue</x:v>
      </x:c>
      <x:c r="E492" s="9" t="n">
        <x:v>40</x:v>
      </x:c>
      <x:c r="F492" s="7" t="n">
        <x:v>2277237.92</x:v>
      </x:c>
    </x:row>
    <x:row r="493">
      <x:c r="A493" s="6" t="n">
        <x:v>46296</x:v>
      </x:c>
      <x:c r="B493" s="5" t="str">
        <x:v>Q2 Forecast</x:v>
      </x:c>
      <x:c r="C493" s="5" t="str">
        <x:v>Cost of Services</x:v>
      </x:c>
      <x:c r="D493" s="5" t="str">
        <x:v>Cost of Revenue</x:v>
      </x:c>
      <x:c r="E493" s="9" t="n">
        <x:v>60</x:v>
      </x:c>
      <x:c r="F493" s="7" t="n">
        <x:v>1278692.21</x:v>
      </x:c>
    </x:row>
    <x:row r="494">
      <x:c r="A494" s="6" t="n">
        <x:v>46296</x:v>
      </x:c>
      <x:c r="B494" s="5" t="str">
        <x:v>Q2 Forecast</x:v>
      </x:c>
      <x:c r="C494" s="5" t="str">
        <x:v>Sales &amp; Marketing</x:v>
      </x:c>
      <x:c r="D494" s="5" t="str">
        <x:v>Operating Expense</x:v>
      </x:c>
      <x:c r="E494" s="9" t="n">
        <x:v>100</x:v>
      </x:c>
      <x:c r="F494" s="7" t="n">
        <x:v>2813471.86</x:v>
      </x:c>
    </x:row>
    <x:row r="495">
      <x:c r="A495" s="6" t="n">
        <x:v>46296</x:v>
      </x:c>
      <x:c r="B495" s="5" t="str">
        <x:v>Q2 Forecast</x:v>
      </x:c>
      <x:c r="C495" s="5" t="str">
        <x:v>Research &amp; Development</x:v>
      </x:c>
      <x:c r="D495" s="5" t="str">
        <x:v>Operating Expense</x:v>
      </x:c>
      <x:c r="E495" s="9" t="n">
        <x:v>140</x:v>
      </x:c>
      <x:c r="F495" s="7" t="n">
        <x:v>2618149.23</x:v>
      </x:c>
    </x:row>
    <x:row r="496">
      <x:c r="A496" s="6" t="n">
        <x:v>46296</x:v>
      </x:c>
      <x:c r="B496" s="5" t="str">
        <x:v>Q2 Forecast</x:v>
      </x:c>
      <x:c r="C496" s="5" t="str">
        <x:v>General &amp; Administrative</x:v>
      </x:c>
      <x:c r="D496" s="5" t="str">
        <x:v>Operating Expense</x:v>
      </x:c>
      <x:c r="E496" s="9" t="n">
        <x:v>160</x:v>
      </x:c>
      <x:c r="F496" s="7" t="n">
        <x:v>1809871.9</x:v>
      </x:c>
    </x:row>
    <x:row r="497">
      <x:c r="A497" s="6" t="n">
        <x:v>46296</x:v>
      </x:c>
      <x:c r="B497" s="5" t="str">
        <x:v>Q2 Forecast</x:v>
      </x:c>
      <x:c r="C497" s="5" t="str">
        <x:v>Depreciation &amp; Amortization</x:v>
      </x:c>
      <x:c r="D497" s="5" t="str">
        <x:v>D&amp;A</x:v>
      </x:c>
      <x:c r="E497" s="9" t="n">
        <x:v>230</x:v>
      </x:c>
      <x:c r="F497" s="7" t="n">
        <x:v>230140.7</x:v>
      </x:c>
    </x:row>
    <x:row r="498">
      <x:c r="A498" s="6" t="n">
        <x:v>46327</x:v>
      </x:c>
      <x:c r="B498" s="5" t="str">
        <x:v>Budget</x:v>
      </x:c>
      <x:c r="C498" s="5" t="str">
        <x:v>Subscription Revenue</x:v>
      </x:c>
      <x:c r="D498" s="5" t="str">
        <x:v>Revenue</x:v>
      </x:c>
      <x:c r="E498" s="9" t="n">
        <x:v>10</x:v>
      </x:c>
      <x:c r="F498" s="7" t="n">
        <x:v>11263590.26</x:v>
      </x:c>
    </x:row>
    <x:row r="499">
      <x:c r="A499" s="6" t="n">
        <x:v>46327</x:v>
      </x:c>
      <x:c r="B499" s="5" t="str">
        <x:v>Budget</x:v>
      </x:c>
      <x:c r="C499" s="5" t="str">
        <x:v>Professional Services Revenue</x:v>
      </x:c>
      <x:c r="D499" s="5" t="str">
        <x:v>Revenue</x:v>
      </x:c>
      <x:c r="E499" s="9" t="n">
        <x:v>20</x:v>
      </x:c>
      <x:c r="F499" s="7" t="n">
        <x:v>2747974.81</x:v>
      </x:c>
    </x:row>
    <x:row r="500">
      <x:c r="A500" s="6" t="n">
        <x:v>46327</x:v>
      </x:c>
      <x:c r="B500" s="5" t="str">
        <x:v>Budget</x:v>
      </x:c>
      <x:c r="C500" s="5" t="str">
        <x:v>Cost of Subscription</x:v>
      </x:c>
      <x:c r="D500" s="5" t="str">
        <x:v>Cost of Revenue</x:v>
      </x:c>
      <x:c r="E500" s="9" t="n">
        <x:v>40</x:v>
      </x:c>
      <x:c r="F500" s="7" t="n">
        <x:v>2386838.88</x:v>
      </x:c>
    </x:row>
    <x:row r="501">
      <x:c r="A501" s="6" t="n">
        <x:v>46327</x:v>
      </x:c>
      <x:c r="B501" s="5" t="str">
        <x:v>Budget</x:v>
      </x:c>
      <x:c r="C501" s="5" t="str">
        <x:v>Cost of Services</x:v>
      </x:c>
      <x:c r="D501" s="5" t="str">
        <x:v>Cost of Revenue</x:v>
      </x:c>
      <x:c r="E501" s="9" t="n">
        <x:v>60</x:v>
      </x:c>
      <x:c r="F501" s="7" t="n">
        <x:v>1305780.62</x:v>
      </x:c>
    </x:row>
    <x:row r="502">
      <x:c r="A502" s="6" t="n">
        <x:v>46327</x:v>
      </x:c>
      <x:c r="B502" s="5" t="str">
        <x:v>Budget</x:v>
      </x:c>
      <x:c r="C502" s="5" t="str">
        <x:v>Sales &amp; Marketing</x:v>
      </x:c>
      <x:c r="D502" s="5" t="str">
        <x:v>Operating Expense</x:v>
      </x:c>
      <x:c r="E502" s="9" t="n">
        <x:v>100</x:v>
      </x:c>
      <x:c r="F502" s="7" t="n">
        <x:v>2923355.52</x:v>
      </x:c>
    </x:row>
    <x:row r="503">
      <x:c r="A503" s="6" t="n">
        <x:v>46327</x:v>
      </x:c>
      <x:c r="B503" s="5" t="str">
        <x:v>Budget</x:v>
      </x:c>
      <x:c r="C503" s="5" t="str">
        <x:v>Research &amp; Development</x:v>
      </x:c>
      <x:c r="D503" s="5" t="str">
        <x:v>Operating Expense</x:v>
      </x:c>
      <x:c r="E503" s="9" t="n">
        <x:v>140</x:v>
      </x:c>
      <x:c r="F503" s="7" t="n">
        <x:v>2769246.67</x:v>
      </x:c>
    </x:row>
    <x:row r="504">
      <x:c r="A504" s="6" t="n">
        <x:v>46327</x:v>
      </x:c>
      <x:c r="B504" s="5" t="str">
        <x:v>Budget</x:v>
      </x:c>
      <x:c r="C504" s="5" t="str">
        <x:v>General &amp; Administrative</x:v>
      </x:c>
      <x:c r="D504" s="5" t="str">
        <x:v>Operating Expense</x:v>
      </x:c>
      <x:c r="E504" s="9" t="n">
        <x:v>160</x:v>
      </x:c>
      <x:c r="F504" s="7" t="n">
        <x:v>1833552.39</x:v>
      </x:c>
    </x:row>
    <x:row r="505">
      <x:c r="A505" s="6" t="n">
        <x:v>46327</x:v>
      </x:c>
      <x:c r="B505" s="5" t="str">
        <x:v>Budget</x:v>
      </x:c>
      <x:c r="C505" s="5" t="str">
        <x:v>Depreciation &amp; Amortization</x:v>
      </x:c>
      <x:c r="D505" s="5" t="str">
        <x:v>D&amp;A</x:v>
      </x:c>
      <x:c r="E505" s="9" t="n">
        <x:v>230</x:v>
      </x:c>
      <x:c r="F505" s="7" t="n">
        <x:v>236727.21</x:v>
      </x:c>
    </x:row>
    <x:row r="506">
      <x:c r="A506" s="6" t="n">
        <x:v>46327</x:v>
      </x:c>
      <x:c r="B506" s="5" t="str">
        <x:v>Q2 Forecast</x:v>
      </x:c>
      <x:c r="C506" s="5" t="str">
        <x:v>Subscription Revenue</x:v>
      </x:c>
      <x:c r="D506" s="5" t="str">
        <x:v>Revenue</x:v>
      </x:c>
      <x:c r="E506" s="9" t="n">
        <x:v>10</x:v>
      </x:c>
      <x:c r="F506" s="7" t="n">
        <x:v>10756728.7</x:v>
      </x:c>
    </x:row>
    <x:row r="507">
      <x:c r="A507" s="6" t="n">
        <x:v>46327</x:v>
      </x:c>
      <x:c r="B507" s="5" t="str">
        <x:v>Q2 Forecast</x:v>
      </x:c>
      <x:c r="C507" s="5" t="str">
        <x:v>Professional Services Revenue</x:v>
      </x:c>
      <x:c r="D507" s="5" t="str">
        <x:v>Revenue</x:v>
      </x:c>
      <x:c r="E507" s="9" t="n">
        <x:v>20</x:v>
      </x:c>
      <x:c r="F507" s="7" t="n">
        <x:v>2528136.83</x:v>
      </x:c>
    </x:row>
    <x:row r="508">
      <x:c r="A508" s="6" t="n">
        <x:v>46327</x:v>
      </x:c>
      <x:c r="B508" s="5" t="str">
        <x:v>Q2 Forecast</x:v>
      </x:c>
      <x:c r="C508" s="5" t="str">
        <x:v>Cost of Subscription</x:v>
      </x:c>
      <x:c r="D508" s="5" t="str">
        <x:v>Cost of Revenue</x:v>
      </x:c>
      <x:c r="E508" s="9" t="n">
        <x:v>40</x:v>
      </x:c>
      <x:c r="F508" s="7" t="n">
        <x:v>2271201.4</x:v>
      </x:c>
    </x:row>
    <x:row r="509">
      <x:c r="A509" s="6" t="n">
        <x:v>46327</x:v>
      </x:c>
      <x:c r="B509" s="5" t="str">
        <x:v>Q2 Forecast</x:v>
      </x:c>
      <x:c r="C509" s="5" t="str">
        <x:v>Cost of Services</x:v>
      </x:c>
      <x:c r="D509" s="5" t="str">
        <x:v>Cost of Revenue</x:v>
      </x:c>
      <x:c r="E509" s="9" t="n">
        <x:v>60</x:v>
      </x:c>
      <x:c r="F509" s="7" t="n">
        <x:v>1249125.89</x:v>
      </x:c>
    </x:row>
    <x:row r="510">
      <x:c r="A510" s="6" t="n">
        <x:v>46327</x:v>
      </x:c>
      <x:c r="B510" s="5" t="str">
        <x:v>Q2 Forecast</x:v>
      </x:c>
      <x:c r="C510" s="5" t="str">
        <x:v>Sales &amp; Marketing</x:v>
      </x:c>
      <x:c r="D510" s="5" t="str">
        <x:v>Operating Expense</x:v>
      </x:c>
      <x:c r="E510" s="9" t="n">
        <x:v>100</x:v>
      </x:c>
      <x:c r="F510" s="7" t="n">
        <x:v>2837530.38</x:v>
      </x:c>
    </x:row>
    <x:row r="511">
      <x:c r="A511" s="6" t="n">
        <x:v>46327</x:v>
      </x:c>
      <x:c r="B511" s="5" t="str">
        <x:v>Q2 Forecast</x:v>
      </x:c>
      <x:c r="C511" s="5" t="str">
        <x:v>Research &amp; Development</x:v>
      </x:c>
      <x:c r="D511" s="5" t="str">
        <x:v>Operating Expense</x:v>
      </x:c>
      <x:c r="E511" s="9" t="n">
        <x:v>140</x:v>
      </x:c>
      <x:c r="F511" s="7" t="n">
        <x:v>2651533.52</x:v>
      </x:c>
    </x:row>
    <x:row r="512">
      <x:c r="A512" s="6" t="n">
        <x:v>46327</x:v>
      </x:c>
      <x:c r="B512" s="5" t="str">
        <x:v>Q2 Forecast</x:v>
      </x:c>
      <x:c r="C512" s="5" t="str">
        <x:v>General &amp; Administrative</x:v>
      </x:c>
      <x:c r="D512" s="5" t="str">
        <x:v>Operating Expense</x:v>
      </x:c>
      <x:c r="E512" s="9" t="n">
        <x:v>160</x:v>
      </x:c>
      <x:c r="F512" s="7" t="n">
        <x:v>1807870.59</x:v>
      </x:c>
    </x:row>
    <x:row r="513">
      <x:c r="A513" s="6" t="n">
        <x:v>46327</x:v>
      </x:c>
      <x:c r="B513" s="5" t="str">
        <x:v>Q2 Forecast</x:v>
      </x:c>
      <x:c r="C513" s="5" t="str">
        <x:v>Depreciation &amp; Amortization</x:v>
      </x:c>
      <x:c r="D513" s="5" t="str">
        <x:v>D&amp;A</x:v>
      </x:c>
      <x:c r="E513" s="9" t="n">
        <x:v>230</x:v>
      </x:c>
      <x:c r="F513" s="7" t="n">
        <x:v>234359.94</x:v>
      </x:c>
    </x:row>
    <x:row r="514">
      <x:c r="A514" s="6" t="n">
        <x:v>46357</x:v>
      </x:c>
      <x:c r="B514" s="5" t="str">
        <x:v>Budget</x:v>
      </x:c>
      <x:c r="C514" s="5" t="str">
        <x:v>Subscription Revenue</x:v>
      </x:c>
      <x:c r="D514" s="5" t="str">
        <x:v>Revenue</x:v>
      </x:c>
      <x:c r="E514" s="9" t="n">
        <x:v>10</x:v>
      </x:c>
      <x:c r="F514" s="7" t="n">
        <x:v>11335333.26</x:v>
      </x:c>
    </x:row>
    <x:row r="515">
      <x:c r="A515" s="6" t="n">
        <x:v>46357</x:v>
      </x:c>
      <x:c r="B515" s="5" t="str">
        <x:v>Budget</x:v>
      </x:c>
      <x:c r="C515" s="5" t="str">
        <x:v>Professional Services Revenue</x:v>
      </x:c>
      <x:c r="D515" s="5" t="str">
        <x:v>Revenue</x:v>
      </x:c>
      <x:c r="E515" s="9" t="n">
        <x:v>20</x:v>
      </x:c>
      <x:c r="F515" s="7" t="n">
        <x:v>1797934.65</x:v>
      </x:c>
    </x:row>
    <x:row r="516">
      <x:c r="A516" s="6" t="n">
        <x:v>46357</x:v>
      </x:c>
      <x:c r="B516" s="5" t="str">
        <x:v>Budget</x:v>
      </x:c>
      <x:c r="C516" s="5" t="str">
        <x:v>Cost of Subscription</x:v>
      </x:c>
      <x:c r="D516" s="5" t="str">
        <x:v>Cost of Revenue</x:v>
      </x:c>
      <x:c r="E516" s="9" t="n">
        <x:v>40</x:v>
      </x:c>
      <x:c r="F516" s="7" t="n">
        <x:v>2425903.7</x:v>
      </x:c>
    </x:row>
    <x:row r="517">
      <x:c r="A517" s="6" t="n">
        <x:v>46357</x:v>
      </x:c>
      <x:c r="B517" s="5" t="str">
        <x:v>Budget</x:v>
      </x:c>
      <x:c r="C517" s="5" t="str">
        <x:v>Cost of Services</x:v>
      </x:c>
      <x:c r="D517" s="5" t="str">
        <x:v>Cost of Revenue</x:v>
      </x:c>
      <x:c r="E517" s="9" t="n">
        <x:v>60</x:v>
      </x:c>
      <x:c r="F517" s="7" t="n">
        <x:v>1278967.78</x:v>
      </x:c>
    </x:row>
    <x:row r="518">
      <x:c r="A518" s="6" t="n">
        <x:v>46357</x:v>
      </x:c>
      <x:c r="B518" s="5" t="str">
        <x:v>Budget</x:v>
      </x:c>
      <x:c r="C518" s="5" t="str">
        <x:v>Sales &amp; Marketing</x:v>
      </x:c>
      <x:c r="D518" s="5" t="str">
        <x:v>Operating Expense</x:v>
      </x:c>
      <x:c r="E518" s="9" t="n">
        <x:v>100</x:v>
      </x:c>
      <x:c r="F518" s="7" t="n">
        <x:v>2887004.51</x:v>
      </x:c>
    </x:row>
    <x:row r="519">
      <x:c r="A519" s="6" t="n">
        <x:v>46357</x:v>
      </x:c>
      <x:c r="B519" s="5" t="str">
        <x:v>Budget</x:v>
      </x:c>
      <x:c r="C519" s="5" t="str">
        <x:v>Research &amp; Development</x:v>
      </x:c>
      <x:c r="D519" s="5" t="str">
        <x:v>Operating Expense</x:v>
      </x:c>
      <x:c r="E519" s="9" t="n">
        <x:v>140</x:v>
      </x:c>
      <x:c r="F519" s="7" t="n">
        <x:v>2754863.79</x:v>
      </x:c>
    </x:row>
    <x:row r="520">
      <x:c r="A520" s="6" t="n">
        <x:v>46357</x:v>
      </x:c>
      <x:c r="B520" s="5" t="str">
        <x:v>Budget</x:v>
      </x:c>
      <x:c r="C520" s="5" t="str">
        <x:v>General &amp; Administrative</x:v>
      </x:c>
      <x:c r="D520" s="5" t="str">
        <x:v>Operating Expense</x:v>
      </x:c>
      <x:c r="E520" s="9" t="n">
        <x:v>160</x:v>
      </x:c>
      <x:c r="F520" s="7" t="n">
        <x:v>1788930.39</x:v>
      </x:c>
    </x:row>
    <x:row r="521">
      <x:c r="A521" s="6" t="n">
        <x:v>46357</x:v>
      </x:c>
      <x:c r="B521" s="5" t="str">
        <x:v>Budget</x:v>
      </x:c>
      <x:c r="C521" s="5" t="str">
        <x:v>Depreciation &amp; Amortization</x:v>
      </x:c>
      <x:c r="D521" s="5" t="str">
        <x:v>D&amp;A</x:v>
      </x:c>
      <x:c r="E521" s="9" t="n">
        <x:v>230</x:v>
      </x:c>
      <x:c r="F521" s="7" t="n">
        <x:v>221430.34</x:v>
      </x:c>
    </x:row>
    <x:row r="522">
      <x:c r="A522" s="6" t="n">
        <x:v>46357</x:v>
      </x:c>
      <x:c r="B522" s="5" t="str">
        <x:v>Q2 Forecast</x:v>
      </x:c>
      <x:c r="C522" s="5" t="str">
        <x:v>Subscription Revenue</x:v>
      </x:c>
      <x:c r="D522" s="5" t="str">
        <x:v>Revenue</x:v>
      </x:c>
      <x:c r="E522" s="9" t="n">
        <x:v>10</x:v>
      </x:c>
      <x:c r="F522" s="7" t="n">
        <x:v>10825243.26</x:v>
      </x:c>
    </x:row>
    <x:row r="523">
      <x:c r="A523" s="6" t="n">
        <x:v>46357</x:v>
      </x:c>
      <x:c r="B523" s="5" t="str">
        <x:v>Q2 Forecast</x:v>
      </x:c>
      <x:c r="C523" s="5" t="str">
        <x:v>Professional Services Revenue</x:v>
      </x:c>
      <x:c r="D523" s="5" t="str">
        <x:v>Revenue</x:v>
      </x:c>
      <x:c r="E523" s="9" t="n">
        <x:v>20</x:v>
      </x:c>
      <x:c r="F523" s="7" t="n">
        <x:v>1654099.88</x:v>
      </x:c>
    </x:row>
    <x:row r="524">
      <x:c r="A524" s="6" t="n">
        <x:v>46357</x:v>
      </x:c>
      <x:c r="B524" s="5" t="str">
        <x:v>Q2 Forecast</x:v>
      </x:c>
      <x:c r="C524" s="5" t="str">
        <x:v>Cost of Subscription</x:v>
      </x:c>
      <x:c r="D524" s="5" t="str">
        <x:v>Cost of Revenue</x:v>
      </x:c>
      <x:c r="E524" s="9" t="n">
        <x:v>40</x:v>
      </x:c>
      <x:c r="F524" s="7" t="n">
        <x:v>2308262.83</x:v>
      </x:c>
    </x:row>
    <x:row r="525">
      <x:c r="A525" s="6" t="n">
        <x:v>46357</x:v>
      </x:c>
      <x:c r="B525" s="5" t="str">
        <x:v>Q2 Forecast</x:v>
      </x:c>
      <x:c r="C525" s="5" t="str">
        <x:v>Cost of Services</x:v>
      </x:c>
      <x:c r="D525" s="5" t="str">
        <x:v>Cost of Revenue</x:v>
      </x:c>
      <x:c r="E525" s="9" t="n">
        <x:v>60</x:v>
      </x:c>
      <x:c r="F525" s="7" t="n">
        <x:v>1223221.99</x:v>
      </x:c>
    </x:row>
    <x:row r="526">
      <x:c r="A526" s="6" t="n">
        <x:v>46357</x:v>
      </x:c>
      <x:c r="B526" s="5" t="str">
        <x:v>Q2 Forecast</x:v>
      </x:c>
      <x:c r="C526" s="5" t="str">
        <x:v>Sales &amp; Marketing</x:v>
      </x:c>
      <x:c r="D526" s="5" t="str">
        <x:v>Operating Expense</x:v>
      </x:c>
      <x:c r="E526" s="9" t="n">
        <x:v>100</x:v>
      </x:c>
      <x:c r="F526" s="7" t="n">
        <x:v>2800579.28</x:v>
      </x:c>
    </x:row>
    <x:row r="527">
      <x:c r="A527" s="6" t="n">
        <x:v>46357</x:v>
      </x:c>
      <x:c r="B527" s="5" t="str">
        <x:v>Q2 Forecast</x:v>
      </x:c>
      <x:c r="C527" s="5" t="str">
        <x:v>Research &amp; Development</x:v>
      </x:c>
      <x:c r="D527" s="5" t="str">
        <x:v>Operating Expense</x:v>
      </x:c>
      <x:c r="E527" s="9" t="n">
        <x:v>140</x:v>
      </x:c>
      <x:c r="F527" s="7" t="n">
        <x:v>2637764.95</x:v>
      </x:c>
    </x:row>
    <x:row r="528">
      <x:c r="A528" s="6" t="n">
        <x:v>46357</x:v>
      </x:c>
      <x:c r="B528" s="5" t="str">
        <x:v>Q2 Forecast</x:v>
      </x:c>
      <x:c r="C528" s="5" t="str">
        <x:v>General &amp; Administrative</x:v>
      </x:c>
      <x:c r="D528" s="5" t="str">
        <x:v>Operating Expense</x:v>
      </x:c>
      <x:c r="E528" s="9" t="n">
        <x:v>160</x:v>
      </x:c>
      <x:c r="F528" s="7" t="n">
        <x:v>1772213.85</x:v>
      </x:c>
    </x:row>
    <x:row r="529">
      <x:c r="A529" s="6" t="n">
        <x:v>46357</x:v>
      </x:c>
      <x:c r="B529" s="5" t="str">
        <x:v>Q2 Forecast</x:v>
      </x:c>
      <x:c r="C529" s="5" t="str">
        <x:v>Depreciation &amp; Amortization</x:v>
      </x:c>
      <x:c r="D529" s="5" t="str">
        <x:v>D&amp;A</x:v>
      </x:c>
      <x:c r="E529" s="9" t="n">
        <x:v>230</x:v>
      </x:c>
      <x:c r="F529" s="7" t="n">
        <x:v>219216.04</x:v>
      </x:c>
    </x:row>
  </x:sheetData>
  <x:pageMargins left="0.7" right="0.7" top="0.75" bottom="0.75" header="0.3" footer="0.3"/>
  <x:tableParts count="1">
    <x:tablePart xmlns:r="http://schemas.openxmlformats.org/officeDocument/2006/relationships" r:id="R5cca633d896a4c9e"/>
  </x:tableParts>
</x:worksheet>
</file>

<file path=xl/worksheets/sheet11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6" hidden="0" customWidth="1"/>
    <x:col min="3" max="3" width="13" hidden="0" customWidth="1"/>
    <x:col min="4" max="4" width="16" hidden="0" customWidth="1"/>
    <x:col min="5" max="5" width="13" hidden="0" customWidth="1"/>
    <x:col min="6" max="6" width="16" hidden="0" customWidth="1"/>
    <x:col min="7" max="7" width="13" hidden="0" customWidth="1"/>
    <x:col min="8" max="8" width="13" hidden="0" customWidth="1"/>
    <x:col min="9" max="9" width="13" hidden="0" customWidth="1"/>
  </x:cols>
  <x:sheetData>
    <x:row r="1">
      <x:c r="A1" s="4" t="str">
        <x:v>month_start</x:v>
      </x:c>
      <x:c r="B1" s="4" t="str">
        <x:v>total_revenue_usd</x:v>
      </x:c>
      <x:c r="C1" s="4" t="str">
        <x:v>gross_margin_pct</x:v>
      </x:c>
      <x:c r="D1" s="4" t="str">
        <x:v>adjusted_ebitda_usd</x:v>
      </x:c>
      <x:c r="E1" s="4" t="str">
        <x:v>adjusted_ebitda_margin_pct</x:v>
      </x:c>
      <x:c r="F1" s="4" t="str">
        <x:v>ending_arr_usd</x:v>
      </x:c>
      <x:c r="G1" s="4" t="str">
        <x:v>active_customers</x:v>
      </x:c>
      <x:c r="H1" s="4" t="str">
        <x:v>total_fte</x:v>
      </x:c>
      <x:c r="I1" s="4" t="str">
        <x:v>services_utilization_pct</x:v>
      </x:c>
    </x:row>
    <x:row r="2">
      <x:c r="A2" s="6" t="n">
        <x:v>44927</x:v>
      </x:c>
      <x:c r="B2" s="7" t="n">
        <x:v>7079195.73</x:v>
      </x:c>
      <x:c r="C2" s="8" t="n">
        <x:v>0.6311</x:v>
      </x:c>
      <x:c r="D2" s="7" t="n">
        <x:v>-492661.3</x:v>
      </x:c>
      <x:c r="E2" s="8" t="n">
        <x:v>-0.0696</x:v>
      </x:c>
      <x:c r="F2" s="7" t="n">
        <x:v>70072046.4</x:v>
      </x:c>
      <x:c r="G2" s="5" t="str">
        <x:v>191</x:v>
      </x:c>
      <x:c r="H2" s="5" t="str">
        <x:v>334.0</x:v>
      </x:c>
      <x:c r="I2" s="8" t="n">
        <x:v>0.7141</x:v>
      </x:c>
    </x:row>
    <x:row r="3">
      <x:c r="A3" s="6" t="n">
        <x:v>44958</x:v>
      </x:c>
      <x:c r="B3" s="7" t="n">
        <x:v>7243964.89</x:v>
      </x:c>
      <x:c r="C3" s="8" t="n">
        <x:v>0.6352</x:v>
      </x:c>
      <x:c r="D3" s="7" t="n">
        <x:v>-402817.32</x:v>
      </x:c>
      <x:c r="E3" s="8" t="n">
        <x:v>-0.0556</x:v>
      </x:c>
      <x:c r="F3" s="7" t="n">
        <x:v>71048147.76</x:v>
      </x:c>
      <x:c r="G3" s="5" t="str">
        <x:v>194</x:v>
      </x:c>
      <x:c r="H3" s="5" t="str">
        <x:v>338.0</x:v>
      </x:c>
      <x:c r="I3" s="8" t="n">
        <x:v>0.7247</x:v>
      </x:c>
    </x:row>
    <x:row r="4">
      <x:c r="A4" s="6" t="n">
        <x:v>44986</x:v>
      </x:c>
      <x:c r="B4" s="7" t="n">
        <x:v>7363912.53</x:v>
      </x:c>
      <x:c r="C4" s="8" t="n">
        <x:v>0.6386</x:v>
      </x:c>
      <x:c r="D4" s="7" t="n">
        <x:v>-305264.2</x:v>
      </x:c>
      <x:c r="E4" s="8" t="n">
        <x:v>-0.0415</x:v>
      </x:c>
      <x:c r="F4" s="7" t="n">
        <x:v>71887615.8</x:v>
      </x:c>
      <x:c r="G4" s="5" t="str">
        <x:v>196</x:v>
      </x:c>
      <x:c r="H4" s="5" t="str">
        <x:v>340.0</x:v>
      </x:c>
      <x:c r="I4" s="8" t="n">
        <x:v>0.7559</x:v>
      </x:c>
    </x:row>
    <x:row r="5">
      <x:c r="A5" s="6" t="n">
        <x:v>45017</x:v>
      </x:c>
      <x:c r="B5" s="7" t="n">
        <x:v>8001473.98</x:v>
      </x:c>
      <x:c r="C5" s="8" t="n">
        <x:v>0.6586</x:v>
      </x:c>
      <x:c r="D5" s="7" t="n">
        <x:v>199250.87</x:v>
      </x:c>
      <x:c r="E5" s="8" t="n">
        <x:v>0.0249</x:v>
      </x:c>
      <x:c r="F5" s="7" t="n">
        <x:v>75169541.4</x:v>
      </x:c>
      <x:c r="G5" s="5" t="str">
        <x:v>201</x:v>
      </x:c>
      <x:c r="H5" s="5" t="str">
        <x:v>345.4</x:v>
      </x:c>
      <x:c r="I5" s="8" t="n">
        <x:v>0.7562</x:v>
      </x:c>
    </x:row>
    <x:row r="6">
      <x:c r="A6" s="6" t="n">
        <x:v>45047</x:v>
      </x:c>
      <x:c r="B6" s="7" t="n">
        <x:v>7916857.87</x:v>
      </x:c>
      <x:c r="C6" s="8" t="n">
        <x:v>0.6534</x:v>
      </x:c>
      <x:c r="D6" s="7" t="n">
        <x:v>188973.46</x:v>
      </x:c>
      <x:c r="E6" s="8" t="n">
        <x:v>0.0239</x:v>
      </x:c>
      <x:c r="F6" s="7" t="n">
        <x:v>76849945.56</x:v>
      </x:c>
      <x:c r="G6" s="5" t="str">
        <x:v>202</x:v>
      </x:c>
      <x:c r="H6" s="5" t="str">
        <x:v>344.4</x:v>
      </x:c>
      <x:c r="I6" s="8" t="n">
        <x:v>0.7607</x:v>
      </x:c>
    </x:row>
    <x:row r="7">
      <x:c r="A7" s="6" t="n">
        <x:v>45078</x:v>
      </x:c>
      <x:c r="B7" s="7" t="n">
        <x:v>7989949.11</x:v>
      </x:c>
      <x:c r="C7" s="8" t="n">
        <x:v>0.6554</x:v>
      </x:c>
      <x:c r="D7" s="7" t="n">
        <x:v>127822.27</x:v>
      </x:c>
      <x:c r="E7" s="8" t="n">
        <x:v>0.016</x:v>
      </x:c>
      <x:c r="F7" s="7" t="n">
        <x:v>77471332.32</x:v>
      </x:c>
      <x:c r="G7" s="5" t="str">
        <x:v>204</x:v>
      </x:c>
      <x:c r="H7" s="5" t="str">
        <x:v>347.4</x:v>
      </x:c>
      <x:c r="I7" s="8" t="n">
        <x:v>0.7508</x:v>
      </x:c>
    </x:row>
    <x:row r="8">
      <x:c r="A8" s="6" t="n">
        <x:v>45108</x:v>
      </x:c>
      <x:c r="B8" s="7" t="n">
        <x:v>7787009.5</x:v>
      </x:c>
      <x:c r="C8" s="8" t="n">
        <x:v>0.6485</x:v>
      </x:c>
      <x:c r="D8" s="7" t="n">
        <x:v>-5042.85</x:v>
      </x:c>
      <x:c r="E8" s="8" t="n">
        <x:v>-0.0006</x:v>
      </x:c>
      <x:c r="F8" s="7" t="n">
        <x:v>78776358.84</x:v>
      </x:c>
      <x:c r="G8" s="5" t="str">
        <x:v>208</x:v>
      </x:c>
      <x:c r="H8" s="5" t="str">
        <x:v>348.4</x:v>
      </x:c>
      <x:c r="I8" s="8" t="n">
        <x:v>0.7581</x:v>
      </x:c>
    </x:row>
    <x:row r="9">
      <x:c r="A9" s="6" t="n">
        <x:v>45139</x:v>
      </x:c>
      <x:c r="B9" s="7" t="n">
        <x:v>7790835.83</x:v>
      </x:c>
      <x:c r="C9" s="8" t="n">
        <x:v>0.6469</x:v>
      </x:c>
      <x:c r="D9" s="7" t="n">
        <x:v>-92765.96</x:v>
      </x:c>
      <x:c r="E9" s="8" t="n">
        <x:v>-0.0119</x:v>
      </x:c>
      <x:c r="F9" s="7" t="n">
        <x:v>80718297.48</x:v>
      </x:c>
      <x:c r="G9" s="5" t="str">
        <x:v>212</x:v>
      </x:c>
      <x:c r="H9" s="5" t="str">
        <x:v>351.4</x:v>
      </x:c>
      <x:c r="I9" s="8" t="n">
        <x:v>0.7587</x:v>
      </x:c>
    </x:row>
    <x:row r="10">
      <x:c r="A10" s="6" t="n">
        <x:v>45170</x:v>
      </x:c>
      <x:c r="B10" s="7" t="n">
        <x:v>8077375.62</x:v>
      </x:c>
      <x:c r="C10" s="8" t="n">
        <x:v>0.6515</x:v>
      </x:c>
      <x:c r="D10" s="7" t="n">
        <x:v>89622.41</x:v>
      </x:c>
      <x:c r="E10" s="8" t="n">
        <x:v>0.0111</x:v>
      </x:c>
      <x:c r="F10" s="7" t="n">
        <x:v>83256724.2</x:v>
      </x:c>
      <x:c r="G10" s="5" t="str">
        <x:v>216</x:v>
      </x:c>
      <x:c r="H10" s="5" t="str">
        <x:v>356.4</x:v>
      </x:c>
      <x:c r="I10" s="8" t="n">
        <x:v>0.749</x:v>
      </x:c>
    </x:row>
    <x:row r="11">
      <x:c r="A11" s="6" t="n">
        <x:v>45200</x:v>
      </x:c>
      <x:c r="B11" s="7" t="n">
        <x:v>8309870.96</x:v>
      </x:c>
      <x:c r="C11" s="8" t="n">
        <x:v>0.6567</x:v>
      </x:c>
      <x:c r="D11" s="7" t="n">
        <x:v>157356.56</x:v>
      </x:c>
      <x:c r="E11" s="8" t="n">
        <x:v>0.0189</x:v>
      </x:c>
      <x:c r="F11" s="7" t="n">
        <x:v>85469101.2</x:v>
      </x:c>
      <x:c r="G11" s="5" t="str">
        <x:v>218</x:v>
      </x:c>
      <x:c r="H11" s="5" t="str">
        <x:v>358.4</x:v>
      </x:c>
      <x:c r="I11" s="8" t="n">
        <x:v>0.7577</x:v>
      </x:c>
    </x:row>
    <x:row r="12">
      <x:c r="A12" s="6" t="n">
        <x:v>45231</x:v>
      </x:c>
      <x:c r="B12" s="7" t="n">
        <x:v>8529480.37</x:v>
      </x:c>
      <x:c r="C12" s="8" t="n">
        <x:v>0.6635</x:v>
      </x:c>
      <x:c r="D12" s="7" t="n">
        <x:v>295667.77</x:v>
      </x:c>
      <x:c r="E12" s="8" t="n">
        <x:v>0.0347</x:v>
      </x:c>
      <x:c r="F12" s="7" t="n">
        <x:v>86550133.8</x:v>
      </x:c>
      <x:c r="G12" s="5" t="str">
        <x:v>218</x:v>
      </x:c>
      <x:c r="H12" s="5" t="str">
        <x:v>361.0</x:v>
      </x:c>
      <x:c r="I12" s="8" t="n">
        <x:v>0.7562</x:v>
      </x:c>
    </x:row>
    <x:row r="13">
      <x:c r="A13" s="6" t="n">
        <x:v>45261</x:v>
      </x:c>
      <x:c r="B13" s="7" t="n">
        <x:v>8910073.88</x:v>
      </x:c>
      <x:c r="C13" s="8" t="n">
        <x:v>0.6764</x:v>
      </x:c>
      <x:c r="D13" s="7" t="n">
        <x:v>615354.87</x:v>
      </x:c>
      <x:c r="E13" s="8" t="n">
        <x:v>0.0691</x:v>
      </x:c>
      <x:c r="F13" s="7" t="n">
        <x:v>88141848.48</x:v>
      </x:c>
      <x:c r="G13" s="5" t="str">
        <x:v>218</x:v>
      </x:c>
      <x:c r="H13" s="5" t="str">
        <x:v>362.0</x:v>
      </x:c>
      <x:c r="I13" s="8" t="n">
        <x:v>0.7005</x:v>
      </x:c>
    </x:row>
    <x:row r="14">
      <x:c r="A14" s="6" t="n">
        <x:v>45292</x:v>
      </x:c>
      <x:c r="B14" s="7" t="n">
        <x:v>9106233.64</x:v>
      </x:c>
      <x:c r="C14" s="8" t="n">
        <x:v>0.6745</x:v>
      </x:c>
      <x:c r="D14" s="7" t="n">
        <x:v>589337.41</x:v>
      </x:c>
      <x:c r="E14" s="8" t="n">
        <x:v>0.0647</x:v>
      </x:c>
      <x:c r="F14" s="7" t="n">
        <x:v>89086158.6</x:v>
      </x:c>
      <x:c r="G14" s="5" t="str">
        <x:v>221</x:v>
      </x:c>
      <x:c r="H14" s="5" t="str">
        <x:v>362.0</x:v>
      </x:c>
      <x:c r="I14" s="8" t="n">
        <x:v>0.7178</x:v>
      </x:c>
    </x:row>
    <x:row r="15">
      <x:c r="A15" s="6" t="n">
        <x:v>45323</x:v>
      </x:c>
      <x:c r="B15" s="7" t="n">
        <x:v>9170608.32</x:v>
      </x:c>
      <x:c r="C15" s="8" t="n">
        <x:v>0.6716</x:v>
      </x:c>
      <x:c r="D15" s="7" t="n">
        <x:v>415001.1</x:v>
      </x:c>
      <x:c r="E15" s="8" t="n">
        <x:v>0.0453</x:v>
      </x:c>
      <x:c r="F15" s="7" t="n">
        <x:v>90000470.4</x:v>
      </x:c>
      <x:c r="G15" s="5" t="str">
        <x:v>222</x:v>
      </x:c>
      <x:c r="H15" s="5" t="str">
        <x:v>368.0</x:v>
      </x:c>
      <x:c r="I15" s="8" t="n">
        <x:v>0.7224</x:v>
      </x:c>
    </x:row>
    <x:row r="16">
      <x:c r="A16" s="6" t="n">
        <x:v>45352</x:v>
      </x:c>
      <x:c r="B16" s="7" t="n">
        <x:v>9256562.13</x:v>
      </x:c>
      <x:c r="C16" s="8" t="n">
        <x:v>0.673</x:v>
      </x:c>
      <x:c r="D16" s="7" t="n">
        <x:v>359608.6</x:v>
      </x:c>
      <x:c r="E16" s="8" t="n">
        <x:v>0.0388</x:v>
      </x:c>
      <x:c r="F16" s="7" t="n">
        <x:v>91318791.24</x:v>
      </x:c>
      <x:c r="G16" s="5" t="str">
        <x:v>222</x:v>
      </x:c>
      <x:c r="H16" s="5" t="str">
        <x:v>375.0</x:v>
      </x:c>
      <x:c r="I16" s="8" t="n">
        <x:v>0.7551</x:v>
      </x:c>
    </x:row>
    <x:row r="17">
      <x:c r="A17" s="6" t="n">
        <x:v>45383</x:v>
      </x:c>
      <x:c r="B17" s="7" t="n">
        <x:v>9361094.89</x:v>
      </x:c>
      <x:c r="C17" s="8" t="n">
        <x:v>0.6772</x:v>
      </x:c>
      <x:c r="D17" s="7" t="n">
        <x:v>533143.64</x:v>
      </x:c>
      <x:c r="E17" s="8" t="n">
        <x:v>0.057</x:v>
      </x:c>
      <x:c r="F17" s="7" t="n">
        <x:v>94024909.2</x:v>
      </x:c>
      <x:c r="G17" s="5" t="str">
        <x:v>226</x:v>
      </x:c>
      <x:c r="H17" s="5" t="str">
        <x:v>379.0</x:v>
      </x:c>
      <x:c r="I17" s="8" t="n">
        <x:v>0.7558</x:v>
      </x:c>
    </x:row>
    <x:row r="18">
      <x:c r="A18" s="6" t="n">
        <x:v>45413</x:v>
      </x:c>
      <x:c r="B18" s="7" t="n">
        <x:v>9264035.18</x:v>
      </x:c>
      <x:c r="C18" s="8" t="n">
        <x:v>0.6724</x:v>
      </x:c>
      <x:c r="D18" s="7" t="n">
        <x:v>441175.95</x:v>
      </x:c>
      <x:c r="E18" s="8" t="n">
        <x:v>0.0476</x:v>
      </x:c>
      <x:c r="F18" s="7" t="n">
        <x:v>95108137.8</x:v>
      </x:c>
      <x:c r="G18" s="5" t="str">
        <x:v>228</x:v>
      </x:c>
      <x:c r="H18" s="5" t="str">
        <x:v>381.0</x:v>
      </x:c>
      <x:c r="I18" s="8" t="n">
        <x:v>0.7526</x:v>
      </x:c>
    </x:row>
    <x:row r="19">
      <x:c r="A19" s="6" t="n">
        <x:v>45444</x:v>
      </x:c>
      <x:c r="B19" s="7" t="n">
        <x:v>9610121.82</x:v>
      </x:c>
      <x:c r="C19" s="8" t="n">
        <x:v>0.6767</x:v>
      </x:c>
      <x:c r="D19" s="7" t="n">
        <x:v>707159.39</x:v>
      </x:c>
      <x:c r="E19" s="8" t="n">
        <x:v>0.0736</x:v>
      </x:c>
      <x:c r="F19" s="7" t="n">
        <x:v>95498733.36</x:v>
      </x:c>
      <x:c r="G19" s="5" t="str">
        <x:v>230</x:v>
      </x:c>
      <x:c r="H19" s="5" t="str">
        <x:v>382.0</x:v>
      </x:c>
      <x:c r="I19" s="8" t="n">
        <x:v>0.7491</x:v>
      </x:c>
    </x:row>
    <x:row r="20">
      <x:c r="A20" s="6" t="n">
        <x:v>45474</x:v>
      </x:c>
      <x:c r="B20" s="7" t="n">
        <x:v>9230179.78</x:v>
      </x:c>
      <x:c r="C20" s="8" t="n">
        <x:v>0.6681</x:v>
      </x:c>
      <x:c r="D20" s="7" t="n">
        <x:v>331367.95</x:v>
      </x:c>
      <x:c r="E20" s="8" t="n">
        <x:v>0.0359</x:v>
      </x:c>
      <x:c r="F20" s="7" t="n">
        <x:v>95747347.32</x:v>
      </x:c>
      <x:c r="G20" s="5" t="str">
        <x:v>230</x:v>
      </x:c>
      <x:c r="H20" s="5" t="str">
        <x:v>386.0</x:v>
      </x:c>
      <x:c r="I20" s="8" t="n">
        <x:v>0.7525</x:v>
      </x:c>
    </x:row>
    <x:row r="21">
      <x:c r="A21" s="6" t="n">
        <x:v>45505</x:v>
      </x:c>
      <x:c r="B21" s="7" t="n">
        <x:v>9525793.04</x:v>
      </x:c>
      <x:c r="C21" s="8" t="n">
        <x:v>0.6739</x:v>
      </x:c>
      <x:c r="D21" s="7" t="n">
        <x:v>546277.28</x:v>
      </x:c>
      <x:c r="E21" s="8" t="n">
        <x:v>0.0573</x:v>
      </x:c>
      <x:c r="F21" s="7" t="n">
        <x:v>97030283.52</x:v>
      </x:c>
      <x:c r="G21" s="5" t="str">
        <x:v>234</x:v>
      </x:c>
      <x:c r="H21" s="5" t="str">
        <x:v>389.6</x:v>
      </x:c>
      <x:c r="I21" s="8" t="n">
        <x:v>0.7554</x:v>
      </x:c>
    </x:row>
    <x:row r="22">
      <x:c r="A22" s="6" t="n">
        <x:v>45536</x:v>
      </x:c>
      <x:c r="B22" s="7" t="n">
        <x:v>9628766.93</x:v>
      </x:c>
      <x:c r="C22" s="8" t="n">
        <x:v>0.6782</x:v>
      </x:c>
      <x:c r="D22" s="7" t="n">
        <x:v>674746.05</x:v>
      </x:c>
      <x:c r="E22" s="8" t="n">
        <x:v>0.0701</x:v>
      </x:c>
      <x:c r="F22" s="7" t="n">
        <x:v>97873513.08</x:v>
      </x:c>
      <x:c r="G22" s="5" t="str">
        <x:v>236</x:v>
      </x:c>
      <x:c r="H22" s="5" t="str">
        <x:v>387.6</x:v>
      </x:c>
      <x:c r="I22" s="8" t="n">
        <x:v>0.743</x:v>
      </x:c>
    </x:row>
    <x:row r="23">
      <x:c r="A23" s="6" t="n">
        <x:v>45566</x:v>
      </x:c>
      <x:c r="B23" s="7" t="n">
        <x:v>9669483.82</x:v>
      </x:c>
      <x:c r="C23" s="8" t="n">
        <x:v>0.6796</x:v>
      </x:c>
      <x:c r="D23" s="7" t="n">
        <x:v>488196.24</x:v>
      </x:c>
      <x:c r="E23" s="8" t="n">
        <x:v>0.0505</x:v>
      </x:c>
      <x:c r="F23" s="7" t="n">
        <x:v>98384159.76</x:v>
      </x:c>
      <x:c r="G23" s="5" t="str">
        <x:v>237</x:v>
      </x:c>
      <x:c r="H23" s="5" t="str">
        <x:v>390.6</x:v>
      </x:c>
      <x:c r="I23" s="8" t="n">
        <x:v>0.738</x:v>
      </x:c>
    </x:row>
    <x:row r="24">
      <x:c r="A24" s="6" t="n">
        <x:v>45597</x:v>
      </x:c>
      <x:c r="B24" s="7" t="n">
        <x:v>10146153.95</x:v>
      </x:c>
      <x:c r="C24" s="8" t="n">
        <x:v>0.685</x:v>
      </x:c>
      <x:c r="D24" s="7" t="n">
        <x:v>841591.37</x:v>
      </x:c>
      <x:c r="E24" s="8" t="n">
        <x:v>0.0829</x:v>
      </x:c>
      <x:c r="F24" s="7" t="n">
        <x:v>99792014.88</x:v>
      </x:c>
      <x:c r="G24" s="5" t="str">
        <x:v>242</x:v>
      </x:c>
      <x:c r="H24" s="5" t="str">
        <x:v>393.6</x:v>
      </x:c>
      <x:c r="I24" s="8" t="n">
        <x:v>0.7553</x:v>
      </x:c>
    </x:row>
    <x:row r="25">
      <x:c r="A25" s="6" t="n">
        <x:v>45627</x:v>
      </x:c>
      <x:c r="B25" s="7" t="n">
        <x:v>10397638.62</x:v>
      </x:c>
      <x:c r="C25" s="8" t="n">
        <x:v>0.6915</x:v>
      </x:c>
      <x:c r="D25" s="7" t="n">
        <x:v>1059480.37</x:v>
      </x:c>
      <x:c r="E25" s="8" t="n">
        <x:v>0.1019</x:v>
      </x:c>
      <x:c r="F25" s="7" t="n">
        <x:v>100929243.24</x:v>
      </x:c>
      <x:c r="G25" s="5" t="str">
        <x:v>247</x:v>
      </x:c>
      <x:c r="H25" s="5" t="str">
        <x:v>394.6</x:v>
      </x:c>
      <x:c r="I25" s="8" t="n">
        <x:v>0.709</x:v>
      </x:c>
    </x:row>
    <x:row r="26">
      <x:c r="A26" s="6" t="n">
        <x:v>45658</x:v>
      </x:c>
      <x:c r="B26" s="7" t="n">
        <x:v>10453328.61</x:v>
      </x:c>
      <x:c r="C26" s="8" t="n">
        <x:v>0.6902</x:v>
      </x:c>
      <x:c r="D26" s="7" t="n">
        <x:v>893724.91</x:v>
      </x:c>
      <x:c r="E26" s="8" t="n">
        <x:v>0.0855</x:v>
      </x:c>
      <x:c r="F26" s="7" t="n">
        <x:v>101748338.64</x:v>
      </x:c>
      <x:c r="G26" s="5" t="str">
        <x:v>248</x:v>
      </x:c>
      <x:c r="H26" s="5" t="str">
        <x:v>394.6</x:v>
      </x:c>
      <x:c r="I26" s="8" t="n">
        <x:v>0.7071</x:v>
      </x:c>
    </x:row>
    <x:row r="27">
      <x:c r="A27" s="6" t="n">
        <x:v>45689</x:v>
      </x:c>
      <x:c r="B27" s="7" t="n">
        <x:v>10743663.09</x:v>
      </x:c>
      <x:c r="C27" s="8" t="n">
        <x:v>0.693</x:v>
      </x:c>
      <x:c r="D27" s="7" t="n">
        <x:v>1055382.04</x:v>
      </x:c>
      <x:c r="E27" s="8" t="n">
        <x:v>0.0982</x:v>
      </x:c>
      <x:c r="F27" s="7" t="n">
        <x:v>102789723.84</x:v>
      </x:c>
      <x:c r="G27" s="5" t="str">
        <x:v>250</x:v>
      </x:c>
      <x:c r="H27" s="5" t="str">
        <x:v>396.6</x:v>
      </x:c>
      <x:c r="I27" s="8" t="n">
        <x:v>0.7222</x:v>
      </x:c>
    </x:row>
    <x:row r="28">
      <x:c r="A28" s="6" t="n">
        <x:v>45717</x:v>
      </x:c>
      <x:c r="B28" s="7" t="n">
        <x:v>10539548.3</x:v>
      </x:c>
      <x:c r="C28" s="8" t="n">
        <x:v>0.6923</x:v>
      </x:c>
      <x:c r="D28" s="7" t="n">
        <x:v>854846.93</x:v>
      </x:c>
      <x:c r="E28" s="8" t="n">
        <x:v>0.0811</x:v>
      </x:c>
      <x:c r="F28" s="7" t="n">
        <x:v>103588865.64</x:v>
      </x:c>
      <x:c r="G28" s="5" t="str">
        <x:v>249</x:v>
      </x:c>
      <x:c r="H28" s="5" t="str">
        <x:v>398.6</x:v>
      </x:c>
      <x:c r="I28" s="8" t="n">
        <x:v>0.7558</x:v>
      </x:c>
    </x:row>
    <x:row r="29">
      <x:c r="A29" s="6" t="n">
        <x:v>45748</x:v>
      </x:c>
      <x:c r="B29" s="7" t="n">
        <x:v>10264587.53</x:v>
      </x:c>
      <x:c r="C29" s="8" t="n">
        <x:v>0.6874</x:v>
      </x:c>
      <x:c r="D29" s="7" t="n">
        <x:v>805402.36</x:v>
      </x:c>
      <x:c r="E29" s="8" t="n">
        <x:v>0.0785</x:v>
      </x:c>
      <x:c r="F29" s="7" t="n">
        <x:v>104958570.96</x:v>
      </x:c>
      <x:c r="G29" s="5" t="str">
        <x:v>247</x:v>
      </x:c>
      <x:c r="H29" s="5" t="str">
        <x:v>396.6</x:v>
      </x:c>
      <x:c r="I29" s="8" t="n">
        <x:v>0.763</x:v>
      </x:c>
    </x:row>
    <x:row r="30">
      <x:c r="A30" s="6" t="n">
        <x:v>45778</x:v>
      </x:c>
      <x:c r="B30" s="7" t="n">
        <x:v>10203804.72</x:v>
      </x:c>
      <x:c r="C30" s="8" t="n">
        <x:v>0.686</x:v>
      </x:c>
      <x:c r="D30" s="7" t="n">
        <x:v>710563.5</x:v>
      </x:c>
      <x:c r="E30" s="8" t="n">
        <x:v>0.0696</x:v>
      </x:c>
      <x:c r="F30" s="7" t="n">
        <x:v>108192723.96</x:v>
      </x:c>
      <x:c r="G30" s="5" t="str">
        <x:v>253</x:v>
      </x:c>
      <x:c r="H30" s="5" t="str">
        <x:v>398.6</x:v>
      </x:c>
      <x:c r="I30" s="8" t="n">
        <x:v>0.7607</x:v>
      </x:c>
    </x:row>
    <x:row r="31">
      <x:c r="A31" s="6" t="n">
        <x:v>45809</x:v>
      </x:c>
      <x:c r="B31" s="7" t="n">
        <x:v>10550049.09</x:v>
      </x:c>
      <x:c r="C31" s="8" t="n">
        <x:v>0.6929</x:v>
      </x:c>
      <x:c r="D31" s="7" t="n">
        <x:v>912165.87</x:v>
      </x:c>
      <x:c r="E31" s="8" t="n">
        <x:v>0.0865</x:v>
      </x:c>
      <x:c r="F31" s="7" t="n">
        <x:v>110725063.56</x:v>
      </x:c>
      <x:c r="G31" s="5" t="str">
        <x:v>257</x:v>
      </x:c>
      <x:c r="H31" s="5" t="str">
        <x:v>401.6</x:v>
      </x:c>
      <x:c r="I31" s="8" t="n">
        <x:v>0.7483</x:v>
      </x:c>
    </x:row>
    <x:row r="32">
      <x:c r="A32" s="6" t="n">
        <x:v>45839</x:v>
      </x:c>
      <x:c r="B32" s="7" t="n">
        <x:v>10615539.79</x:v>
      </x:c>
      <x:c r="C32" s="8" t="n">
        <x:v>0.6921</x:v>
      </x:c>
      <x:c r="D32" s="7" t="n">
        <x:v>973105.8</x:v>
      </x:c>
      <x:c r="E32" s="8" t="n">
        <x:v>0.0917</x:v>
      </x:c>
      <x:c r="F32" s="7" t="n">
        <x:v>111200893.32</x:v>
      </x:c>
      <x:c r="G32" s="5" t="str">
        <x:v>259</x:v>
      </x:c>
      <x:c r="H32" s="5" t="str">
        <x:v>402.6</x:v>
      </x:c>
      <x:c r="I32" s="8" t="n">
        <x:v>0.7615</x:v>
      </x:c>
    </x:row>
    <x:row r="33">
      <x:c r="A33" s="6" t="n">
        <x:v>45870</x:v>
      </x:c>
      <x:c r="B33" s="7" t="n">
        <x:v>11030345.75</x:v>
      </x:c>
      <x:c r="C33" s="8" t="n">
        <x:v>0.6997</x:v>
      </x:c>
      <x:c r="D33" s="7" t="n">
        <x:v>1228699.99</x:v>
      </x:c>
      <x:c r="E33" s="8" t="n">
        <x:v>0.1114</x:v>
      </x:c>
      <x:c r="F33" s="7" t="n">
        <x:v>112853057.88</x:v>
      </x:c>
      <x:c r="G33" s="5" t="str">
        <x:v>262</x:v>
      </x:c>
      <x:c r="H33" s="5" t="str">
        <x:v>407.6</x:v>
      </x:c>
      <x:c r="I33" s="8" t="n">
        <x:v>0.7525</x:v>
      </x:c>
    </x:row>
    <x:row r="34">
      <x:c r="A34" s="6" t="n">
        <x:v>45901</x:v>
      </x:c>
      <x:c r="B34" s="7" t="n">
        <x:v>11190662.63</x:v>
      </x:c>
      <x:c r="C34" s="8" t="n">
        <x:v>0.7021</x:v>
      </x:c>
      <x:c r="D34" s="7" t="n">
        <x:v>1377548.71</x:v>
      </x:c>
      <x:c r="E34" s="8" t="n">
        <x:v>0.1231</x:v>
      </x:c>
      <x:c r="F34" s="7" t="n">
        <x:v>114004328.4</x:v>
      </x:c>
      <x:c r="G34" s="5" t="str">
        <x:v>265</x:v>
      </x:c>
      <x:c r="H34" s="5" t="str">
        <x:v>407.6</x:v>
      </x:c>
      <x:c r="I34" s="8" t="n">
        <x:v>0.7554</x:v>
      </x:c>
    </x:row>
    <x:row r="35">
      <x:c r="A35" s="6" t="n">
        <x:v>45931</x:v>
      </x:c>
      <x:c r="B35" s="7" t="n">
        <x:v>11740674.36</x:v>
      </x:c>
      <x:c r="C35" s="8" t="n">
        <x:v>0.7128</x:v>
      </x:c>
      <x:c r="D35" s="7" t="n">
        <x:v>1725395.37</x:v>
      </x:c>
      <x:c r="E35" s="8" t="n">
        <x:v>0.147</x:v>
      </x:c>
      <x:c r="F35" s="7" t="n">
        <x:v>114623876.28</x:v>
      </x:c>
      <x:c r="G35" s="5" t="str">
        <x:v>266</x:v>
      </x:c>
      <x:c r="H35" s="5" t="str">
        <x:v>407.6</x:v>
      </x:c>
      <x:c r="I35" s="8" t="n">
        <x:v>0.7585</x:v>
      </x:c>
    </x:row>
    <x:row r="36">
      <x:c r="A36" s="6" t="n">
        <x:v>45962</x:v>
      </x:c>
      <x:c r="B36" s="7" t="n">
        <x:v>11955919.69</x:v>
      </x:c>
      <x:c r="C36" s="8" t="n">
        <x:v>0.7209</x:v>
      </x:c>
      <x:c r="D36" s="7" t="n">
        <x:v>1917152.72</x:v>
      </x:c>
      <x:c r="E36" s="8" t="n">
        <x:v>0.1604</x:v>
      </x:c>
      <x:c r="F36" s="7" t="n">
        <x:v>114466095.84</x:v>
      </x:c>
      <x:c r="G36" s="5" t="str">
        <x:v>267</x:v>
      </x:c>
      <x:c r="H36" s="5" t="str">
        <x:v>406.6</x:v>
      </x:c>
      <x:c r="I36" s="8" t="n">
        <x:v>0.7669</x:v>
      </x:c>
    </x:row>
    <x:row r="37">
      <x:c r="A37" s="6" t="n">
        <x:v>45992</x:v>
      </x:c>
      <x:c r="B37" s="7" t="n">
        <x:v>11183350.28</x:v>
      </x:c>
      <x:c r="C37" s="8" t="n">
        <x:v>0.7006</x:v>
      </x:c>
      <x:c r="D37" s="7" t="n">
        <x:v>1218098.46</x:v>
      </x:c>
      <x:c r="E37" s="8" t="n">
        <x:v>0.1089</x:v>
      </x:c>
      <x:c r="F37" s="7" t="n">
        <x:v>116083055.16</x:v>
      </x:c>
      <x:c r="G37" s="5" t="str">
        <x:v>267</x:v>
      </x:c>
      <x:c r="H37" s="5" t="str">
        <x:v>408.6</x:v>
      </x:c>
      <x:c r="I37" s="8" t="n">
        <x:v>0.6966</x:v>
      </x:c>
    </x:row>
    <x:row r="38">
      <x:c r="A38" s="6" t="n">
        <x:v>46023</x:v>
      </x:c>
      <x:c r="B38" s="7" t="n">
        <x:v>11392190.77</x:v>
      </x:c>
      <x:c r="C38" s="8" t="n">
        <x:v>0.6929</x:v>
      </x:c>
      <x:c r="D38" s="7" t="n">
        <x:v>950230.49</x:v>
      </x:c>
      <x:c r="E38" s="8" t="n">
        <x:v>0.0834</x:v>
      </x:c>
      <x:c r="F38" s="7" t="n">
        <x:v>117283302.72</x:v>
      </x:c>
      <x:c r="G38" s="5" t="str">
        <x:v>270</x:v>
      </x:c>
      <x:c r="H38" s="5" t="str">
        <x:v>414.6</x:v>
      </x:c>
      <x:c r="I38" s="8" t="n">
        <x:v>0.6795</x:v>
      </x:c>
    </x:row>
    <x:row r="39">
      <x:c r="A39" s="6" t="n">
        <x:v>46054</x:v>
      </x:c>
      <x:c r="B39" s="7" t="n">
        <x:v>11693406.32</x:v>
      </x:c>
      <x:c r="C39" s="8" t="n">
        <x:v>0.6988</x:v>
      </x:c>
      <x:c r="D39" s="7" t="n">
        <x:v>1219970.38</x:v>
      </x:c>
      <x:c r="E39" s="8" t="n">
        <x:v>0.1043</x:v>
      </x:c>
      <x:c r="F39" s="7" t="n">
        <x:v>119653085.88</x:v>
      </x:c>
      <x:c r="G39" s="5" t="str">
        <x:v>273</x:v>
      </x:c>
      <x:c r="H39" s="5" t="str">
        <x:v>414.6</x:v>
      </x:c>
      <x:c r="I39" s="8" t="n">
        <x:v>0.6816</x:v>
      </x:c>
    </x:row>
    <x:row r="40">
      <x:c r="A40" s="6" t="n">
        <x:v>46082</x:v>
      </x:c>
      <x:c r="B40" s="7" t="n">
        <x:v>11598931.94</x:v>
      </x:c>
      <x:c r="C40" s="8" t="n">
        <x:v>0.6964</x:v>
      </x:c>
      <x:c r="D40" s="7" t="n">
        <x:v>1140797.49</x:v>
      </x:c>
      <x:c r="E40" s="8" t="n">
        <x:v>0.0984</x:v>
      </x:c>
      <x:c r="F40" s="7" t="n">
        <x:v>119428389.72</x:v>
      </x:c>
      <x:c r="G40" s="5" t="str">
        <x:v>274</x:v>
      </x:c>
      <x:c r="H40" s="5" t="str">
        <x:v>413.6</x:v>
      </x:c>
      <x:c r="I40" s="8" t="n">
        <x:v>0.7249</x:v>
      </x:c>
    </x:row>
    <x:row r="41">
      <x:c r="A41" s="6" t="n">
        <x:v>46113</x:v>
      </x:c>
      <x:c r="B41" s="7" t="n">
        <x:v>11519643.46</x:v>
      </x:c>
      <x:c r="C41" s="8" t="n">
        <x:v>0.697</x:v>
      </x:c>
      <x:c r="D41" s="7" t="n">
        <x:v>1190302.97</x:v>
      </x:c>
      <x:c r="E41" s="8" t="n">
        <x:v>0.1033</x:v>
      </x:c>
      <x:c r="F41" s="7" t="n">
        <x:v>117441716.64</x:v>
      </x:c>
      <x:c r="G41" s="5" t="str">
        <x:v>273</x:v>
      </x:c>
      <x:c r="H41" s="5" t="str">
        <x:v>416.6</x:v>
      </x:c>
      <x:c r="I41" s="8" t="n">
        <x:v>0.7478</x:v>
      </x:c>
    </x:row>
    <x:row r="42">
      <x:c r="A42" s="6" t="n">
        <x:v>46143</x:v>
      </x:c>
      <x:c r="B42" s="7" t="n">
        <x:v>11836741.31</x:v>
      </x:c>
      <x:c r="C42" s="8" t="n">
        <x:v>0.7089</x:v>
      </x:c>
      <x:c r="D42" s="7" t="n">
        <x:v>1469817.75</x:v>
      </x:c>
      <x:c r="E42" s="8" t="n">
        <x:v>0.1242</x:v>
      </x:c>
      <x:c r="F42" s="7" t="n">
        <x:v>119263350.24</x:v>
      </x:c>
      <x:c r="G42" s="5" t="str">
        <x:v>273</x:v>
      </x:c>
      <x:c r="H42" s="5" t="str">
        <x:v>421.6</x:v>
      </x:c>
      <x:c r="I42" s="8" t="n">
        <x:v>0.7833</x:v>
      </x:c>
    </x:row>
    <x:row r="43">
      <x:c r="A43" s="6" t="n">
        <x:v>46174</x:v>
      </x:c>
      <x:c r="B43" s="7" t="n">
        <x:v>11525113.4</x:v>
      </x:c>
      <x:c r="C43" s="8" t="n">
        <x:v>0.7046</x:v>
      </x:c>
      <x:c r="D43" s="7" t="n">
        <x:v>1235101.52</x:v>
      </x:c>
      <x:c r="E43" s="8" t="n">
        <x:v>0.1072</x:v>
      </x:c>
      <x:c r="F43" s="7" t="n">
        <x:v>117761910.48</x:v>
      </x:c>
      <x:c r="G43" s="5" t="str">
        <x:v>272</x:v>
      </x:c>
      <x:c r="H43" s="5" t="str">
        <x:v>422.6</x:v>
      </x:c>
      <x:c r="I43" s="8" t="n">
        <x:v>0.7728</x:v>
      </x:c>
    </x:row>
  </x:sheetData>
  <x:pageMargins left="0.7" right="0.7" top="0.75" bottom="0.75" header="0.3" footer="0.3"/>
  <x:tableParts count="1">
    <x:tablePart xmlns:r="http://schemas.openxmlformats.org/officeDocument/2006/relationships" r:id="Rc210f370a0d647ae"/>
  </x:tableParts>
</x:worksheet>
</file>

<file path=xl/worksheets/sheet12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3" hidden="0" customWidth="1"/>
  </x:cols>
  <x:sheetData>
    <x:row r="1">
      <x:c r="A1" s="4" t="str">
        <x:v>month_start</x:v>
      </x:c>
      <x:c r="B1" s="4" t="str">
        <x:v>opening_arr_usd</x:v>
      </x:c>
      <x:c r="C1" s="4" t="str">
        <x:v>new_arr_usd</x:v>
      </x:c>
      <x:c r="D1" s="4" t="str">
        <x:v>expansion_arr_usd</x:v>
      </x:c>
      <x:c r="E1" s="4" t="str">
        <x:v>contraction_arr_usd</x:v>
      </x:c>
      <x:c r="F1" s="4" t="str">
        <x:v>churn_arr_usd</x:v>
      </x:c>
      <x:c r="G1" s="4" t="str">
        <x:v>ending_arr_usd</x:v>
      </x:c>
      <x:c r="H1" s="4" t="str">
        <x:v>active_customers</x:v>
      </x:c>
    </x:row>
    <x:row r="2">
      <x:c r="A2" s="6" t="n">
        <x:v>44927</x:v>
      </x:c>
      <x:c r="B2" s="7" t="n">
        <x:v>69319669.32</x:v>
      </x:c>
      <x:c r="C2" s="7" t="n">
        <x:v>314741.16</x:v>
      </x:c>
      <x:c r="D2" s="7" t="n">
        <x:v>569757.24</x:v>
      </x:c>
      <x:c r="E2" s="7" t="n">
        <x:v>132121.32</x:v>
      </x:c>
      <x:c r="F2" s="7" t="n">
        <x:v>0</x:v>
      </x:c>
      <x:c r="G2" s="7" t="n">
        <x:v>70072046.4</x:v>
      </x:c>
      <x:c r="H2" s="5" t="str">
        <x:v>191</x:v>
      </x:c>
    </x:row>
    <x:row r="3">
      <x:c r="A3" s="6" t="n">
        <x:v>44958</x:v>
      </x:c>
      <x:c r="B3" s="7" t="n">
        <x:v>70072046.4</x:v>
      </x:c>
      <x:c r="C3" s="7" t="n">
        <x:v>357591.6</x:v>
      </x:c>
      <x:c r="D3" s="7" t="n">
        <x:v>654866.76</x:v>
      </x:c>
      <x:c r="E3" s="7" t="n">
        <x:v>36357.12</x:v>
      </x:c>
      <x:c r="F3" s="7" t="n">
        <x:v>0</x:v>
      </x:c>
      <x:c r="G3" s="7" t="n">
        <x:v>71048147.76</x:v>
      </x:c>
      <x:c r="H3" s="5" t="str">
        <x:v>194</x:v>
      </x:c>
    </x:row>
    <x:row r="4">
      <x:c r="A4" s="6" t="n">
        <x:v>44986</x:v>
      </x:c>
      <x:c r="B4" s="7" t="n">
        <x:v>71048147.76</x:v>
      </x:c>
      <x:c r="C4" s="7" t="n">
        <x:v>225018.48</x:v>
      </x:c>
      <x:c r="D4" s="7" t="n">
        <x:v>614449.68</x:v>
      </x:c>
      <x:c r="E4" s="7" t="n">
        <x:v>0</x:v>
      </x:c>
      <x:c r="F4" s="7" t="n">
        <x:v>0</x:v>
      </x:c>
      <x:c r="G4" s="7" t="n">
        <x:v>71887615.8</x:v>
      </x:c>
      <x:c r="H4" s="5" t="str">
        <x:v>196</x:v>
      </x:c>
    </x:row>
    <x:row r="5">
      <x:c r="A5" s="6" t="n">
        <x:v>45017</x:v>
      </x:c>
      <x:c r="B5" s="7" t="n">
        <x:v>71887615.8</x:v>
      </x:c>
      <x:c r="C5" s="7" t="n">
        <x:v>2949899.28</x:v>
      </x:c>
      <x:c r="D5" s="7" t="n">
        <x:v>405153.72</x:v>
      </x:c>
      <x:c r="E5" s="7" t="n">
        <x:v>73127.4</x:v>
      </x:c>
      <x:c r="F5" s="7" t="n">
        <x:v>0</x:v>
      </x:c>
      <x:c r="G5" s="7" t="n">
        <x:v>75169541.4</x:v>
      </x:c>
      <x:c r="H5" s="5" t="str">
        <x:v>201</x:v>
      </x:c>
    </x:row>
    <x:row r="6">
      <x:c r="A6" s="6" t="n">
        <x:v>45047</x:v>
      </x:c>
      <x:c r="B6" s="7" t="n">
        <x:v>75169541.4</x:v>
      </x:c>
      <x:c r="C6" s="7" t="n">
        <x:v>972163.92</x:v>
      </x:c>
      <x:c r="D6" s="7" t="n">
        <x:v>792045.84</x:v>
      </x:c>
      <x:c r="E6" s="7" t="n">
        <x:v>13204.8</x:v>
      </x:c>
      <x:c r="F6" s="7" t="n">
        <x:v>70600.56</x:v>
      </x:c>
      <x:c r="G6" s="7" t="n">
        <x:v>76849945.56</x:v>
      </x:c>
      <x:c r="H6" s="5" t="str">
        <x:v>202</x:v>
      </x:c>
    </x:row>
    <x:row r="7">
      <x:c r="A7" s="6" t="n">
        <x:v>45078</x:v>
      </x:c>
      <x:c r="B7" s="7" t="n">
        <x:v>76849945.56</x:v>
      </x:c>
      <x:c r="C7" s="7" t="n">
        <x:v>457965.6</x:v>
      </x:c>
      <x:c r="D7" s="7" t="n">
        <x:v>191691.24</x:v>
      </x:c>
      <x:c r="E7" s="7" t="n">
        <x:v>28270.08</x:v>
      </x:c>
      <x:c r="F7" s="7" t="n">
        <x:v>0</x:v>
      </x:c>
      <x:c r="G7" s="7" t="n">
        <x:v>77471332.32</x:v>
      </x:c>
      <x:c r="H7" s="5" t="str">
        <x:v>204</x:v>
      </x:c>
    </x:row>
    <x:row r="8">
      <x:c r="A8" s="6" t="n">
        <x:v>45108</x:v>
      </x:c>
      <x:c r="B8" s="7" t="n">
        <x:v>77471332.32</x:v>
      </x:c>
      <x:c r="C8" s="7" t="n">
        <x:v>1209312</x:v>
      </x:c>
      <x:c r="D8" s="7" t="n">
        <x:v>212966.76</x:v>
      </x:c>
      <x:c r="E8" s="7" t="n">
        <x:v>4683.36</x:v>
      </x:c>
      <x:c r="F8" s="7" t="n">
        <x:v>112568.64</x:v>
      </x:c>
      <x:c r="G8" s="7" t="n">
        <x:v>78776358.84</x:v>
      </x:c>
      <x:c r="H8" s="5" t="str">
        <x:v>208</x:v>
      </x:c>
    </x:row>
    <x:row r="9">
      <x:c r="A9" s="6" t="n">
        <x:v>45139</x:v>
      </x:c>
      <x:c r="B9" s="7" t="n">
        <x:v>78776358.84</x:v>
      </x:c>
      <x:c r="C9" s="7" t="n">
        <x:v>1486818.36</x:v>
      </x:c>
      <x:c r="D9" s="7" t="n">
        <x:v>495458.76</x:v>
      </x:c>
      <x:c r="E9" s="7" t="n">
        <x:v>19745.88</x:v>
      </x:c>
      <x:c r="F9" s="7" t="n">
        <x:v>20592.24</x:v>
      </x:c>
      <x:c r="G9" s="7" t="n">
        <x:v>80718297.48</x:v>
      </x:c>
      <x:c r="H9" s="5" t="str">
        <x:v>212</x:v>
      </x:c>
    </x:row>
    <x:row r="10">
      <x:c r="A10" s="6" t="n">
        <x:v>45170</x:v>
      </x:c>
      <x:c r="B10" s="7" t="n">
        <x:v>80718297.48</x:v>
      </x:c>
      <x:c r="C10" s="7" t="n">
        <x:v>2195967.72</x:v>
      </x:c>
      <x:c r="D10" s="7" t="n">
        <x:v>342458.88</x:v>
      </x:c>
      <x:c r="E10" s="7" t="n">
        <x:v>0</x:v>
      </x:c>
      <x:c r="F10" s="7" t="n">
        <x:v>0</x:v>
      </x:c>
      <x:c r="G10" s="7" t="n">
        <x:v>83256724.2</x:v>
      </x:c>
      <x:c r="H10" s="5" t="str">
        <x:v>216</x:v>
      </x:c>
    </x:row>
    <x:row r="11">
      <x:c r="A11" s="6" t="n">
        <x:v>45200</x:v>
      </x:c>
      <x:c r="B11" s="7" t="n">
        <x:v>83256724.2</x:v>
      </x:c>
      <x:c r="C11" s="7" t="n">
        <x:v>1836487.56</x:v>
      </x:c>
      <x:c r="D11" s="7" t="n">
        <x:v>408143.4</x:v>
      </x:c>
      <x:c r="E11" s="7" t="n">
        <x:v>32253.96</x:v>
      </x:c>
      <x:c r="F11" s="7" t="n">
        <x:v>0</x:v>
      </x:c>
      <x:c r="G11" s="7" t="n">
        <x:v>85469101.2</x:v>
      </x:c>
      <x:c r="H11" s="5" t="str">
        <x:v>218</x:v>
      </x:c>
    </x:row>
    <x:row r="12">
      <x:c r="A12" s="6" t="n">
        <x:v>45231</x:v>
      </x:c>
      <x:c r="B12" s="7" t="n">
        <x:v>85469101.2</x:v>
      </x:c>
      <x:c r="C12" s="7" t="n">
        <x:v>821750.88</x:v>
      </x:c>
      <x:c r="D12" s="7" t="n">
        <x:v>351644.28</x:v>
      </x:c>
      <x:c r="E12" s="7" t="n">
        <x:v>5701.2</x:v>
      </x:c>
      <x:c r="F12" s="7" t="n">
        <x:v>86661.12</x:v>
      </x:c>
      <x:c r="G12" s="7" t="n">
        <x:v>86550133.8</x:v>
      </x:c>
      <x:c r="H12" s="5" t="str">
        <x:v>218</x:v>
      </x:c>
    </x:row>
    <x:row r="13">
      <x:c r="A13" s="6" t="n">
        <x:v>45261</x:v>
      </x:c>
      <x:c r="B13" s="7" t="n">
        <x:v>86550133.8</x:v>
      </x:c>
      <x:c r="C13" s="7" t="n">
        <x:v>1196977.56</x:v>
      </x:c>
      <x:c r="D13" s="7" t="n">
        <x:v>452520.36</x:v>
      </x:c>
      <x:c r="E13" s="7" t="n">
        <x:v>839.4</x:v>
      </x:c>
      <x:c r="F13" s="7" t="n">
        <x:v>56943.6</x:v>
      </x:c>
      <x:c r="G13" s="7" t="n">
        <x:v>88141848.48</x:v>
      </x:c>
      <x:c r="H13" s="5" t="str">
        <x:v>218</x:v>
      </x:c>
    </x:row>
    <x:row r="14">
      <x:c r="A14" s="6" t="n">
        <x:v>45292</x:v>
      </x:c>
      <x:c r="B14" s="7" t="n">
        <x:v>88141848.48</x:v>
      </x:c>
      <x:c r="C14" s="7" t="n">
        <x:v>250511.04</x:v>
      </x:c>
      <x:c r="D14" s="7" t="n">
        <x:v>696851.16</x:v>
      </x:c>
      <x:c r="E14" s="7" t="n">
        <x:v>3052.2</x:v>
      </x:c>
      <x:c r="F14" s="7" t="n">
        <x:v>0</x:v>
      </x:c>
      <x:c r="G14" s="7" t="n">
        <x:v>89086158.6</x:v>
      </x:c>
      <x:c r="H14" s="5" t="str">
        <x:v>221</x:v>
      </x:c>
    </x:row>
    <x:row r="15">
      <x:c r="A15" s="6" t="n">
        <x:v>45323</x:v>
      </x:c>
      <x:c r="B15" s="7" t="n">
        <x:v>89086158.6</x:v>
      </x:c>
      <x:c r="C15" s="7" t="n">
        <x:v>26108.88</x:v>
      </x:c>
      <x:c r="D15" s="7" t="n">
        <x:v>1010352.24</x:v>
      </x:c>
      <x:c r="E15" s="7" t="n">
        <x:v>122149.08</x:v>
      </x:c>
      <x:c r="F15" s="7" t="n">
        <x:v>0</x:v>
      </x:c>
      <x:c r="G15" s="7" t="n">
        <x:v>90000470.4</x:v>
      </x:c>
      <x:c r="H15" s="5" t="str">
        <x:v>222</x:v>
      </x:c>
    </x:row>
    <x:row r="16">
      <x:c r="A16" s="6" t="n">
        <x:v>45352</x:v>
      </x:c>
      <x:c r="B16" s="7" t="n">
        <x:v>90000470.4</x:v>
      </x:c>
      <x:c r="C16" s="7" t="n">
        <x:v>629405.64</x:v>
      </x:c>
      <x:c r="D16" s="7" t="n">
        <x:v>741166.44</x:v>
      </x:c>
      <x:c r="E16" s="7" t="n">
        <x:v>3660.6</x:v>
      </x:c>
      <x:c r="F16" s="7" t="n">
        <x:v>48590.28</x:v>
      </x:c>
      <x:c r="G16" s="7" t="n">
        <x:v>91318791.24</x:v>
      </x:c>
      <x:c r="H16" s="5" t="str">
        <x:v>222</x:v>
      </x:c>
    </x:row>
    <x:row r="17">
      <x:c r="A17" s="6" t="n">
        <x:v>45383</x:v>
      </x:c>
      <x:c r="B17" s="7" t="n">
        <x:v>91318791.24</x:v>
      </x:c>
      <x:c r="C17" s="7" t="n">
        <x:v>1844768.4</x:v>
      </x:c>
      <x:c r="D17" s="7" t="n">
        <x:v>896936.64</x:v>
      </x:c>
      <x:c r="E17" s="7" t="n">
        <x:v>35586.36</x:v>
      </x:c>
      <x:c r="F17" s="7" t="n">
        <x:v>0</x:v>
      </x:c>
      <x:c r="G17" s="7" t="n">
        <x:v>94024909.2</x:v>
      </x:c>
      <x:c r="H17" s="5" t="str">
        <x:v>226</x:v>
      </x:c>
    </x:row>
    <x:row r="18">
      <x:c r="A18" s="6" t="n">
        <x:v>45413</x:v>
      </x:c>
      <x:c r="B18" s="7" t="n">
        <x:v>94024909.2</x:v>
      </x:c>
      <x:c r="C18" s="7" t="n">
        <x:v>335982.24</x:v>
      </x:c>
      <x:c r="D18" s="7" t="n">
        <x:v>747246.36</x:v>
      </x:c>
      <x:c r="E18" s="7" t="n">
        <x:v>0</x:v>
      </x:c>
      <x:c r="F18" s="7" t="n">
        <x:v>0</x:v>
      </x:c>
      <x:c r="G18" s="7" t="n">
        <x:v>95108137.8</x:v>
      </x:c>
      <x:c r="H18" s="5" t="str">
        <x:v>228</x:v>
      </x:c>
    </x:row>
    <x:row r="19">
      <x:c r="A19" s="6" t="n">
        <x:v>45444</x:v>
      </x:c>
      <x:c r="B19" s="7" t="n">
        <x:v>95108137.8</x:v>
      </x:c>
      <x:c r="C19" s="7" t="n">
        <x:v>523209.6</x:v>
      </x:c>
      <x:c r="D19" s="7" t="n">
        <x:v>229267.56</x:v>
      </x:c>
      <x:c r="E19" s="7" t="n">
        <x:v>2920.08</x:v>
      </x:c>
      <x:c r="F19" s="7" t="n">
        <x:v>358961.76</x:v>
      </x:c>
      <x:c r="G19" s="7" t="n">
        <x:v>95498733.36</x:v>
      </x:c>
      <x:c r="H19" s="5" t="str">
        <x:v>230</x:v>
      </x:c>
    </x:row>
    <x:row r="20">
      <x:c r="A20" s="6" t="n">
        <x:v>45474</x:v>
      </x:c>
      <x:c r="B20" s="7" t="n">
        <x:v>95498733.36</x:v>
      </x:c>
      <x:c r="C20" s="7" t="n">
        <x:v>44655.12</x:v>
      </x:c>
      <x:c r="D20" s="7" t="n">
        <x:v>291711.72</x:v>
      </x:c>
      <x:c r="E20" s="7" t="n">
        <x:v>29748.96</x:v>
      </x:c>
      <x:c r="F20" s="7" t="n">
        <x:v>58003.8</x:v>
      </x:c>
      <x:c r="G20" s="7" t="n">
        <x:v>95747347.32</x:v>
      </x:c>
      <x:c r="H20" s="5" t="str">
        <x:v>230</x:v>
      </x:c>
    </x:row>
    <x:row r="21">
      <x:c r="A21" s="6" t="n">
        <x:v>45505</x:v>
      </x:c>
      <x:c r="B21" s="7" t="n">
        <x:v>95747347.32</x:v>
      </x:c>
      <x:c r="C21" s="7" t="n">
        <x:v>670418.52</x:v>
      </x:c>
      <x:c r="D21" s="7" t="n">
        <x:v>655643.64</x:v>
      </x:c>
      <x:c r="E21" s="7" t="n">
        <x:v>43125.84</x:v>
      </x:c>
      <x:c r="F21" s="7" t="n">
        <x:v>0</x:v>
      </x:c>
      <x:c r="G21" s="7" t="n">
        <x:v>97030283.52</x:v>
      </x:c>
      <x:c r="H21" s="5" t="str">
        <x:v>234</x:v>
      </x:c>
    </x:row>
    <x:row r="22">
      <x:c r="A22" s="6" t="n">
        <x:v>45536</x:v>
      </x:c>
      <x:c r="B22" s="7" t="n">
        <x:v>97030283.52</x:v>
      </x:c>
      <x:c r="C22" s="7" t="n">
        <x:v>231971.28</x:v>
      </x:c>
      <x:c r="D22" s="7" t="n">
        <x:v>616162.68</x:v>
      </x:c>
      <x:c r="E22" s="7" t="n">
        <x:v>4904.4</x:v>
      </x:c>
      <x:c r="F22" s="7" t="n">
        <x:v>0</x:v>
      </x:c>
      <x:c r="G22" s="7" t="n">
        <x:v>97873513.08</x:v>
      </x:c>
      <x:c r="H22" s="5" t="str">
        <x:v>236</x:v>
      </x:c>
    </x:row>
    <x:row r="23">
      <x:c r="A23" s="6" t="n">
        <x:v>45566</x:v>
      </x:c>
      <x:c r="B23" s="7" t="n">
        <x:v>97873513.08</x:v>
      </x:c>
      <x:c r="C23" s="7" t="n">
        <x:v>50407.08</x:v>
      </x:c>
      <x:c r="D23" s="7" t="n">
        <x:v>602830.8</x:v>
      </x:c>
      <x:c r="E23" s="7" t="n">
        <x:v>142590.96</x:v>
      </x:c>
      <x:c r="F23" s="7" t="n">
        <x:v>0</x:v>
      </x:c>
      <x:c r="G23" s="7" t="n">
        <x:v>98384159.76</x:v>
      </x:c>
      <x:c r="H23" s="5" t="str">
        <x:v>237</x:v>
      </x:c>
    </x:row>
    <x:row r="24">
      <x:c r="A24" s="6" t="n">
        <x:v>45597</x:v>
      </x:c>
      <x:c r="B24" s="7" t="n">
        <x:v>98384159.76</x:v>
      </x:c>
      <x:c r="C24" s="7" t="n">
        <x:v>825019.8</x:v>
      </x:c>
      <x:c r="D24" s="7" t="n">
        <x:v>585255.48</x:v>
      </x:c>
      <x:c r="E24" s="7" t="n">
        <x:v>2420.16</x:v>
      </x:c>
      <x:c r="F24" s="7" t="n">
        <x:v>0</x:v>
      </x:c>
      <x:c r="G24" s="7" t="n">
        <x:v>99792014.88</x:v>
      </x:c>
      <x:c r="H24" s="5" t="str">
        <x:v>242</x:v>
      </x:c>
    </x:row>
    <x:row r="25">
      <x:c r="A25" s="6" t="n">
        <x:v>45627</x:v>
      </x:c>
      <x:c r="B25" s="7" t="n">
        <x:v>99792014.88</x:v>
      </x:c>
      <x:c r="C25" s="7" t="n">
        <x:v>729355.44</x:v>
      </x:c>
      <x:c r="D25" s="7" t="n">
        <x:v>446921.88</x:v>
      </x:c>
      <x:c r="E25" s="7" t="n">
        <x:v>39049.32</x:v>
      </x:c>
      <x:c r="F25" s="7" t="n">
        <x:v>0</x:v>
      </x:c>
      <x:c r="G25" s="7" t="n">
        <x:v>100929243.24</x:v>
      </x:c>
      <x:c r="H25" s="5" t="str">
        <x:v>247</x:v>
      </x:c>
    </x:row>
    <x:row r="26">
      <x:c r="A26" s="6" t="n">
        <x:v>45658</x:v>
      </x:c>
      <x:c r="B26" s="7" t="n">
        <x:v>100929243.24</x:v>
      </x:c>
      <x:c r="C26" s="7" t="n">
        <x:v>205751.16</x:v>
      </x:c>
      <x:c r="D26" s="7" t="n">
        <x:v>625527.72</x:v>
      </x:c>
      <x:c r="E26" s="7" t="n">
        <x:v>12183.36</x:v>
      </x:c>
      <x:c r="F26" s="7" t="n">
        <x:v>0</x:v>
      </x:c>
      <x:c r="G26" s="7" t="n">
        <x:v>101748338.64</x:v>
      </x:c>
      <x:c r="H26" s="5" t="str">
        <x:v>248</x:v>
      </x:c>
    </x:row>
    <x:row r="27">
      <x:c r="A27" s="6" t="n">
        <x:v>45689</x:v>
      </x:c>
      <x:c r="B27" s="7" t="n">
        <x:v>101748338.64</x:v>
      </x:c>
      <x:c r="C27" s="7" t="n">
        <x:v>244170.48</x:v>
      </x:c>
      <x:c r="D27" s="7" t="n">
        <x:v>806945.76</x:v>
      </x:c>
      <x:c r="E27" s="7" t="n">
        <x:v>9731.28</x:v>
      </x:c>
      <x:c r="F27" s="7" t="n">
        <x:v>0</x:v>
      </x:c>
      <x:c r="G27" s="7" t="n">
        <x:v>102789723.84</x:v>
      </x:c>
      <x:c r="H27" s="5" t="str">
        <x:v>250</x:v>
      </x:c>
    </x:row>
    <x:row r="28">
      <x:c r="A28" s="6" t="n">
        <x:v>45717</x:v>
      </x:c>
      <x:c r="B28" s="7" t="n">
        <x:v>102789723.84</x:v>
      </x:c>
      <x:c r="C28" s="7" t="n">
        <x:v>220560.6</x:v>
      </x:c>
      <x:c r="D28" s="7" t="n">
        <x:v>664052.04</x:v>
      </x:c>
      <x:c r="E28" s="7" t="n">
        <x:v>0</x:v>
      </x:c>
      <x:c r="F28" s="7" t="n">
        <x:v>85471.56</x:v>
      </x:c>
      <x:c r="G28" s="7" t="n">
        <x:v>103588865.64</x:v>
      </x:c>
      <x:c r="H28" s="5" t="str">
        <x:v>249</x:v>
      </x:c>
    </x:row>
    <x:row r="29">
      <x:c r="A29" s="6" t="n">
        <x:v>45748</x:v>
      </x:c>
      <x:c r="B29" s="7" t="n">
        <x:v>103588865.64</x:v>
      </x:c>
      <x:c r="C29" s="7" t="n">
        <x:v>1052192.64</x:v>
      </x:c>
      <x:c r="D29" s="7" t="n">
        <x:v>930222.12</x:v>
      </x:c>
      <x:c r="E29" s="7" t="n">
        <x:v>85258.32</x:v>
      </x:c>
      <x:c r="F29" s="7" t="n">
        <x:v>527451.48</x:v>
      </x:c>
      <x:c r="G29" s="7" t="n">
        <x:v>104958570.96</x:v>
      </x:c>
      <x:c r="H29" s="5" t="str">
        <x:v>247</x:v>
      </x:c>
    </x:row>
    <x:row r="30">
      <x:c r="A30" s="6" t="n">
        <x:v>45778</x:v>
      </x:c>
      <x:c r="B30" s="7" t="n">
        <x:v>104958570.96</x:v>
      </x:c>
      <x:c r="C30" s="7" t="n">
        <x:v>2516433.96</x:v>
      </x:c>
      <x:c r="D30" s="7" t="n">
        <x:v>840157.32</x:v>
      </x:c>
      <x:c r="E30" s="7" t="n">
        <x:v>122438.64</x:v>
      </x:c>
      <x:c r="F30" s="7" t="n">
        <x:v>0</x:v>
      </x:c>
      <x:c r="G30" s="7" t="n">
        <x:v>108192723.96</x:v>
      </x:c>
      <x:c r="H30" s="5" t="str">
        <x:v>253</x:v>
      </x:c>
    </x:row>
    <x:row r="31">
      <x:c r="A31" s="6" t="n">
        <x:v>45809</x:v>
      </x:c>
      <x:c r="B31" s="7" t="n">
        <x:v>108192723.96</x:v>
      </x:c>
      <x:c r="C31" s="7" t="n">
        <x:v>2279986.68</x:v>
      </x:c>
      <x:c r="D31" s="7" t="n">
        <x:v>287873.64</x:v>
      </x:c>
      <x:c r="E31" s="7" t="n">
        <x:v>35520.84</x:v>
      </x:c>
      <x:c r="F31" s="7" t="n">
        <x:v>0</x:v>
      </x:c>
      <x:c r="G31" s="7" t="n">
        <x:v>110725063.56</x:v>
      </x:c>
      <x:c r="H31" s="5" t="str">
        <x:v>257</x:v>
      </x:c>
    </x:row>
    <x:row r="32">
      <x:c r="A32" s="6" t="n">
        <x:v>45839</x:v>
      </x:c>
      <x:c r="B32" s="7" t="n">
        <x:v>110725063.56</x:v>
      </x:c>
      <x:c r="C32" s="7" t="n">
        <x:v>128346.12</x:v>
      </x:c>
      <x:c r="D32" s="7" t="n">
        <x:v>390776.88</x:v>
      </x:c>
      <x:c r="E32" s="7" t="n">
        <x:v>43292.76</x:v>
      </x:c>
      <x:c r="F32" s="7" t="n">
        <x:v>0</x:v>
      </x:c>
      <x:c r="G32" s="7" t="n">
        <x:v>111200893.32</x:v>
      </x:c>
      <x:c r="H32" s="5" t="str">
        <x:v>259</x:v>
      </x:c>
    </x:row>
    <x:row r="33">
      <x:c r="A33" s="6" t="n">
        <x:v>45870</x:v>
      </x:c>
      <x:c r="B33" s="7" t="n">
        <x:v>111200893.32</x:v>
      </x:c>
      <x:c r="C33" s="7" t="n">
        <x:v>1128348.72</x:v>
      </x:c>
      <x:c r="D33" s="7" t="n">
        <x:v>950346.24</x:v>
      </x:c>
      <x:c r="E33" s="7" t="n">
        <x:v>36350.88</x:v>
      </x:c>
      <x:c r="F33" s="7" t="n">
        <x:v>390179.4</x:v>
      </x:c>
      <x:c r="G33" s="7" t="n">
        <x:v>112853057.88</x:v>
      </x:c>
      <x:c r="H33" s="5" t="str">
        <x:v>262</x:v>
      </x:c>
    </x:row>
    <x:row r="34">
      <x:c r="A34" s="6" t="n">
        <x:v>45901</x:v>
      </x:c>
      <x:c r="B34" s="7" t="n">
        <x:v>112853057.88</x:v>
      </x:c>
      <x:c r="C34" s="7" t="n">
        <x:v>636409.56</x:v>
      </x:c>
      <x:c r="D34" s="7" t="n">
        <x:v>524355.6</x:v>
      </x:c>
      <x:c r="E34" s="7" t="n">
        <x:v>9494.64</x:v>
      </x:c>
      <x:c r="F34" s="7" t="n">
        <x:v>0</x:v>
      </x:c>
      <x:c r="G34" s="7" t="n">
        <x:v>114004328.4</x:v>
      </x:c>
      <x:c r="H34" s="5" t="str">
        <x:v>265</x:v>
      </x:c>
    </x:row>
    <x:row r="35">
      <x:c r="A35" s="6" t="n">
        <x:v>45931</x:v>
      </x:c>
      <x:c r="B35" s="7" t="n">
        <x:v>114004328.4</x:v>
      </x:c>
      <x:c r="C35" s="7" t="n">
        <x:v>36886.8</x:v>
      </x:c>
      <x:c r="D35" s="7" t="n">
        <x:v>587302.08</x:v>
      </x:c>
      <x:c r="E35" s="7" t="n">
        <x:v>4641</x:v>
      </x:c>
      <x:c r="F35" s="7" t="n">
        <x:v>0</x:v>
      </x:c>
      <x:c r="G35" s="7" t="n">
        <x:v>114623876.28</x:v>
      </x:c>
      <x:c r="H35" s="5" t="str">
        <x:v>266</x:v>
      </x:c>
    </x:row>
    <x:row r="36">
      <x:c r="A36" s="6" t="n">
        <x:v>45962</x:v>
      </x:c>
      <x:c r="B36" s="7" t="n">
        <x:v>114623876.28</x:v>
      </x:c>
      <x:c r="C36" s="7" t="n">
        <x:v>260481.36</x:v>
      </x:c>
      <x:c r="D36" s="7" t="n">
        <x:v>402701.76</x:v>
      </x:c>
      <x:c r="E36" s="7" t="n">
        <x:v>14174.52</x:v>
      </x:c>
      <x:c r="F36" s="7" t="n">
        <x:v>806789.16</x:v>
      </x:c>
      <x:c r="G36" s="7" t="n">
        <x:v>114466095.84</x:v>
      </x:c>
      <x:c r="H36" s="5" t="str">
        <x:v>267</x:v>
      </x:c>
    </x:row>
    <x:row r="37">
      <x:c r="A37" s="6" t="n">
        <x:v>45992</x:v>
      </x:c>
      <x:c r="B37" s="7" t="n">
        <x:v>114466095.84</x:v>
      </x:c>
      <x:c r="C37" s="7" t="n">
        <x:v>1154722.68</x:v>
      </x:c>
      <x:c r="D37" s="7" t="n">
        <x:v>954671.64</x:v>
      </x:c>
      <x:c r="E37" s="7" t="n">
        <x:v>54015.12</x:v>
      </x:c>
      <x:c r="F37" s="7" t="n">
        <x:v>438419.16</x:v>
      </x:c>
      <x:c r="G37" s="7" t="n">
        <x:v>116083055.16</x:v>
      </x:c>
      <x:c r="H37" s="5" t="str">
        <x:v>267</x:v>
      </x:c>
    </x:row>
    <x:row r="38">
      <x:c r="A38" s="6" t="n">
        <x:v>46023</x:v>
      </x:c>
      <x:c r="B38" s="7" t="n">
        <x:v>116083055.16</x:v>
      </x:c>
      <x:c r="C38" s="7" t="n">
        <x:v>632364</x:v>
      </x:c>
      <x:c r="D38" s="7" t="n">
        <x:v>718539.48</x:v>
      </x:c>
      <x:c r="E38" s="7" t="n">
        <x:v>969.72</x:v>
      </x:c>
      <x:c r="F38" s="7" t="n">
        <x:v>149686.32</x:v>
      </x:c>
      <x:c r="G38" s="7" t="n">
        <x:v>117283302.72</x:v>
      </x:c>
      <x:c r="H38" s="5" t="str">
        <x:v>270</x:v>
      </x:c>
    </x:row>
    <x:row r="39">
      <x:c r="A39" s="6" t="n">
        <x:v>46054</x:v>
      </x:c>
      <x:c r="B39" s="7" t="n">
        <x:v>117283302.72</x:v>
      </x:c>
      <x:c r="C39" s="7" t="n">
        <x:v>1388997.6</x:v>
      </x:c>
      <x:c r="D39" s="7" t="n">
        <x:v>994968.12</x:v>
      </x:c>
      <x:c r="E39" s="7" t="n">
        <x:v>14182.44</x:v>
      </x:c>
      <x:c r="F39" s="7" t="n">
        <x:v>0</x:v>
      </x:c>
      <x:c r="G39" s="7" t="n">
        <x:v>119653085.88</x:v>
      </x:c>
      <x:c r="H39" s="5" t="str">
        <x:v>273</x:v>
      </x:c>
    </x:row>
    <x:row r="40">
      <x:c r="A40" s="6" t="n">
        <x:v>46082</x:v>
      </x:c>
      <x:c r="B40" s="7" t="n">
        <x:v>119653085.88</x:v>
      </x:c>
      <x:c r="C40" s="7" t="n">
        <x:v>976737.36</x:v>
      </x:c>
      <x:c r="D40" s="7" t="n">
        <x:v>829018.56</x:v>
      </x:c>
      <x:c r="E40" s="7" t="n">
        <x:v>93769.44</x:v>
      </x:c>
      <x:c r="F40" s="7" t="n">
        <x:v>1936682.52</x:v>
      </x:c>
      <x:c r="G40" s="7" t="n">
        <x:v>119428389.72</x:v>
      </x:c>
      <x:c r="H40" s="5" t="str">
        <x:v>274</x:v>
      </x:c>
    </x:row>
    <x:row r="41">
      <x:c r="A41" s="6" t="n">
        <x:v>46113</x:v>
      </x:c>
      <x:c r="B41" s="7" t="n">
        <x:v>119428389.72</x:v>
      </x:c>
      <x:c r="C41" s="7" t="n">
        <x:v>159576.84</x:v>
      </x:c>
      <x:c r="D41" s="7" t="n">
        <x:v>829248.12</x:v>
      </x:c>
      <x:c r="E41" s="7" t="n">
        <x:v>92063.76</x:v>
      </x:c>
      <x:c r="F41" s="7" t="n">
        <x:v>2883434.04</x:v>
      </x:c>
      <x:c r="G41" s="7" t="n">
        <x:v>117441716.64</x:v>
      </x:c>
      <x:c r="H41" s="5" t="str">
        <x:v>273</x:v>
      </x:c>
    </x:row>
    <x:row r="42">
      <x:c r="A42" s="6" t="n">
        <x:v>46143</x:v>
      </x:c>
      <x:c r="B42" s="7" t="n">
        <x:v>117441716.64</x:v>
      </x:c>
      <x:c r="C42" s="7" t="n">
        <x:v>885514.32</x:v>
      </x:c>
      <x:c r="D42" s="7" t="n">
        <x:v>1181004.36</x:v>
      </x:c>
      <x:c r="E42" s="7" t="n">
        <x:v>28101.6</x:v>
      </x:c>
      <x:c r="F42" s="7" t="n">
        <x:v>216783.12</x:v>
      </x:c>
      <x:c r="G42" s="7" t="n">
        <x:v>119263350.24</x:v>
      </x:c>
      <x:c r="H42" s="5" t="str">
        <x:v>273</x:v>
      </x:c>
    </x:row>
    <x:row r="43">
      <x:c r="A43" s="6" t="n">
        <x:v>46174</x:v>
      </x:c>
      <x:c r="B43" s="7" t="n">
        <x:v>119263350.24</x:v>
      </x:c>
      <x:c r="C43" s="7" t="n">
        <x:v>0</x:v>
      </x:c>
      <x:c r="D43" s="7" t="n">
        <x:v>627046.8</x:v>
      </x:c>
      <x:c r="E43" s="7" t="n">
        <x:v>26300.04</x:v>
      </x:c>
      <x:c r="F43" s="7" t="n">
        <x:v>2102186.4</x:v>
      </x:c>
      <x:c r="G43" s="7" t="n">
        <x:v>117761910.48</x:v>
      </x:c>
      <x:c r="H43" s="5" t="str">
        <x:v>272</x:v>
      </x:c>
    </x:row>
  </x:sheetData>
  <x:pageMargins left="0.7" right="0.7" top="0.75" bottom="0.75" header="0.3" footer="0.3"/>
  <x:tableParts count="1">
    <x:tablePart xmlns:r="http://schemas.openxmlformats.org/officeDocument/2006/relationships" r:id="R29fdf501bf96498c"/>
  </x:tableParts>
</x:worksheet>
</file>

<file path=xl/worksheets/sheet13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24" hidden="0" customWidth="1"/>
    <x:col min="3" max="3" width="26" hidden="0" customWidth="1"/>
    <x:col min="4" max="4" width="24" hidden="0" customWidth="1"/>
    <x:col min="5" max="5" width="13" hidden="0" customWidth="1"/>
    <x:col min="6" max="6" width="16" hidden="0" customWidth="1"/>
    <x:col min="7" max="7" width="13" hidden="0" customWidth="1"/>
  </x:cols>
  <x:sheetData>
    <x:row r="1">
      <x:c r="A1" s="4" t="str">
        <x:v>month_start</x:v>
      </x:c>
      <x:c r="B1" s="4" t="str">
        <x:v>department_name</x:v>
      </x:c>
      <x:c r="C1" s="4" t="str">
        <x:v>function_group</x:v>
      </x:c>
      <x:c r="D1" s="4" t="str">
        <x:v>region_name</x:v>
      </x:c>
      <x:c r="E1" s="4" t="str">
        <x:v>fte</x:v>
      </x:c>
      <x:c r="F1" s="4" t="str">
        <x:v>personnel_cost_usd</x:v>
      </x:c>
      <x:c r="G1" s="4" t="str">
        <x:v>services_utilization_pct</x:v>
      </x:c>
    </x:row>
    <x:row r="2">
      <x:c r="A2" s="6" t="n">
        <x:v>44927</x:v>
      </x:c>
      <x:c r="B2" s="5" t="str">
        <x:v>Cloud Operations</x:v>
      </x:c>
      <x:c r="C2" s="5" t="str">
        <x:v>Cost of Revenue</x:v>
      </x:c>
      <x:c r="D2" s="5" t="str">
        <x:v>US West</x:v>
      </x:c>
      <x:c r="E2" s="10" t="n">
        <x:v>12</x:v>
      </x:c>
      <x:c r="F2" s="7" t="n">
        <x:v>201495.83</x:v>
      </x:c>
      <x:c r="G2" s="8"/>
    </x:row>
    <x:row r="3">
      <x:c r="A3" s="6" t="n">
        <x:v>44927</x:v>
      </x:c>
      <x:c r="B3" s="5" t="str">
        <x:v>Customer Support</x:v>
      </x:c>
      <x:c r="C3" s="5" t="str">
        <x:v>Cost of Revenue</x:v>
      </x:c>
      <x:c r="D3" s="5" t="str">
        <x:v>US West</x:v>
      </x:c>
      <x:c r="E3" s="10" t="n">
        <x:v>12</x:v>
      </x:c>
      <x:c r="F3" s="7" t="n">
        <x:v>159605.44</x:v>
      </x:c>
      <x:c r="G3" s="8"/>
    </x:row>
    <x:row r="4">
      <x:c r="A4" s="6" t="n">
        <x:v>44927</x:v>
      </x:c>
      <x:c r="B4" s="5" t="str">
        <x:v>Professional Services</x:v>
      </x:c>
      <x:c r="C4" s="5" t="str">
        <x:v>Cost of Revenue</x:v>
      </x:c>
      <x:c r="D4" s="5" t="str">
        <x:v>US West</x:v>
      </x:c>
      <x:c r="E4" s="10" t="n">
        <x:v>19</x:v>
      </x:c>
      <x:c r="F4" s="7" t="n">
        <x:v>304504.12</x:v>
      </x:c>
      <x:c r="G4" s="8" t="n">
        <x:v>0.7085</x:v>
      </x:c>
    </x:row>
    <x:row r="5">
      <x:c r="A5" s="6" t="n">
        <x:v>44927</x:v>
      </x:c>
      <x:c r="B5" s="5" t="str">
        <x:v>Sales</x:v>
      </x:c>
      <x:c r="C5" s="5" t="str">
        <x:v>Sales &amp; Marketing</x:v>
      </x:c>
      <x:c r="D5" s="5" t="str">
        <x:v>US West</x:v>
      </x:c>
      <x:c r="E5" s="10" t="n">
        <x:v>15</x:v>
      </x:c>
      <x:c r="F5" s="7" t="n">
        <x:v>258615.33</x:v>
      </x:c>
      <x:c r="G5" s="8"/>
    </x:row>
    <x:row r="6">
      <x:c r="A6" s="6" t="n">
        <x:v>44927</x:v>
      </x:c>
      <x:c r="B6" s="5" t="str">
        <x:v>Marketing</x:v>
      </x:c>
      <x:c r="C6" s="5" t="str">
        <x:v>Sales &amp; Marketing</x:v>
      </x:c>
      <x:c r="D6" s="5" t="str">
        <x:v>US West</x:v>
      </x:c>
      <x:c r="E6" s="10" t="n">
        <x:v>3</x:v>
      </x:c>
      <x:c r="F6" s="7" t="n">
        <x:v>40459.14</x:v>
      </x:c>
      <x:c r="G6" s="8"/>
    </x:row>
    <x:row r="7">
      <x:c r="A7" s="6" t="n">
        <x:v>44927</x:v>
      </x:c>
      <x:c r="B7" s="5" t="str">
        <x:v>Product &amp; Engineering</x:v>
      </x:c>
      <x:c r="C7" s="5" t="str">
        <x:v>Research &amp; Development</x:v>
      </x:c>
      <x:c r="D7" s="5" t="str">
        <x:v>US West</x:v>
      </x:c>
      <x:c r="E7" s="10" t="n">
        <x:v>39</x:v>
      </x:c>
      <x:c r="F7" s="7" t="n">
        <x:v>830892.06</x:v>
      </x:c>
      <x:c r="G7" s="8"/>
    </x:row>
    <x:row r="8">
      <x:c r="A8" s="6" t="n">
        <x:v>44927</x:v>
      </x:c>
      <x:c r="B8" s="5" t="str">
        <x:v>Finance</x:v>
      </x:c>
      <x:c r="C8" s="5" t="str">
        <x:v>General &amp; Administrative</x:v>
      </x:c>
      <x:c r="D8" s="5" t="str">
        <x:v>US West</x:v>
      </x:c>
      <x:c r="E8" s="10" t="n">
        <x:v>1</x:v>
      </x:c>
      <x:c r="F8" s="7" t="n">
        <x:v>11135.82</x:v>
      </x:c>
      <x:c r="G8" s="8"/>
    </x:row>
    <x:row r="9">
      <x:c r="A9" s="6" t="n">
        <x:v>44927</x:v>
      </x:c>
      <x:c r="B9" s="5" t="str">
        <x:v>People</x:v>
      </x:c>
      <x:c r="C9" s="5" t="str">
        <x:v>General &amp; Administrative</x:v>
      </x:c>
      <x:c r="D9" s="5" t="str">
        <x:v>US West</x:v>
      </x:c>
      <x:c r="E9" s="10" t="n">
        <x:v>1</x:v>
      </x:c>
      <x:c r="F9" s="7" t="n">
        <x:v>10965.97</x:v>
      </x:c>
      <x:c r="G9" s="8"/>
    </x:row>
    <x:row r="10">
      <x:c r="A10" s="6" t="n">
        <x:v>44927</x:v>
      </x:c>
      <x:c r="B10" s="5" t="str">
        <x:v>Information Technology</x:v>
      </x:c>
      <x:c r="C10" s="5" t="str">
        <x:v>General &amp; Administrative</x:v>
      </x:c>
      <x:c r="D10" s="5" t="str">
        <x:v>US West</x:v>
      </x:c>
      <x:c r="E10" s="10" t="n">
        <x:v>1</x:v>
      </x:c>
      <x:c r="F10" s="7" t="n">
        <x:v>16549.78</x:v>
      </x:c>
      <x:c r="G10" s="8"/>
    </x:row>
    <x:row r="11">
      <x:c r="A11" s="6" t="n">
        <x:v>44927</x:v>
      </x:c>
      <x:c r="B11" s="5" t="str">
        <x:v>Executive</x:v>
      </x:c>
      <x:c r="C11" s="5" t="str">
        <x:v>General &amp; Administrative</x:v>
      </x:c>
      <x:c r="D11" s="5" t="str">
        <x:v>US West</x:v>
      </x:c>
      <x:c r="E11" s="10" t="n">
        <x:v>2</x:v>
      </x:c>
      <x:c r="F11" s="7" t="n">
        <x:v>70112.54</x:v>
      </x:c>
      <x:c r="G11" s="8"/>
    </x:row>
    <x:row r="12">
      <x:c r="A12" s="6" t="n">
        <x:v>44958</x:v>
      </x:c>
      <x:c r="B12" s="5" t="str">
        <x:v>Cloud Operations</x:v>
      </x:c>
      <x:c r="C12" s="5" t="str">
        <x:v>Cost of Revenue</x:v>
      </x:c>
      <x:c r="D12" s="5" t="str">
        <x:v>US West</x:v>
      </x:c>
      <x:c r="E12" s="10" t="n">
        <x:v>12</x:v>
      </x:c>
      <x:c r="F12" s="7" t="n">
        <x:v>201495.83</x:v>
      </x:c>
      <x:c r="G12" s="8"/>
    </x:row>
    <x:row r="13">
      <x:c r="A13" s="6" t="n">
        <x:v>44958</x:v>
      </x:c>
      <x:c r="B13" s="5" t="str">
        <x:v>Customer Support</x:v>
      </x:c>
      <x:c r="C13" s="5" t="str">
        <x:v>Cost of Revenue</x:v>
      </x:c>
      <x:c r="D13" s="5" t="str">
        <x:v>US West</x:v>
      </x:c>
      <x:c r="E13" s="10" t="n">
        <x:v>12</x:v>
      </x:c>
      <x:c r="F13" s="7" t="n">
        <x:v>159605.44</x:v>
      </x:c>
      <x:c r="G13" s="8"/>
    </x:row>
    <x:row r="14">
      <x:c r="A14" s="6" t="n">
        <x:v>44958</x:v>
      </x:c>
      <x:c r="B14" s="5" t="str">
        <x:v>Professional Services</x:v>
      </x:c>
      <x:c r="C14" s="5" t="str">
        <x:v>Cost of Revenue</x:v>
      </x:c>
      <x:c r="D14" s="5" t="str">
        <x:v>US West</x:v>
      </x:c>
      <x:c r="E14" s="10" t="n">
        <x:v>19</x:v>
      </x:c>
      <x:c r="F14" s="7" t="n">
        <x:v>304504.12</x:v>
      </x:c>
      <x:c r="G14" s="8" t="n">
        <x:v>0.7164</x:v>
      </x:c>
    </x:row>
    <x:row r="15">
      <x:c r="A15" s="6" t="n">
        <x:v>44958</x:v>
      </x:c>
      <x:c r="B15" s="5" t="str">
        <x:v>Sales</x:v>
      </x:c>
      <x:c r="C15" s="5" t="str">
        <x:v>Sales &amp; Marketing</x:v>
      </x:c>
      <x:c r="D15" s="5" t="str">
        <x:v>US West</x:v>
      </x:c>
      <x:c r="E15" s="10" t="n">
        <x:v>15</x:v>
      </x:c>
      <x:c r="F15" s="7" t="n">
        <x:v>258615.33</x:v>
      </x:c>
      <x:c r="G15" s="8"/>
    </x:row>
    <x:row r="16">
      <x:c r="A16" s="6" t="n">
        <x:v>44958</x:v>
      </x:c>
      <x:c r="B16" s="5" t="str">
        <x:v>Marketing</x:v>
      </x:c>
      <x:c r="C16" s="5" t="str">
        <x:v>Sales &amp; Marketing</x:v>
      </x:c>
      <x:c r="D16" s="5" t="str">
        <x:v>US West</x:v>
      </x:c>
      <x:c r="E16" s="10" t="n">
        <x:v>3</x:v>
      </x:c>
      <x:c r="F16" s="7" t="n">
        <x:v>40459.14</x:v>
      </x:c>
      <x:c r="G16" s="8"/>
    </x:row>
    <x:row r="17">
      <x:c r="A17" s="6" t="n">
        <x:v>44958</x:v>
      </x:c>
      <x:c r="B17" s="5" t="str">
        <x:v>Product &amp; Engineering</x:v>
      </x:c>
      <x:c r="C17" s="5" t="str">
        <x:v>Research &amp; Development</x:v>
      </x:c>
      <x:c r="D17" s="5" t="str">
        <x:v>US West</x:v>
      </x:c>
      <x:c r="E17" s="10" t="n">
        <x:v>39</x:v>
      </x:c>
      <x:c r="F17" s="7" t="n">
        <x:v>830892.06</x:v>
      </x:c>
      <x:c r="G17" s="8"/>
    </x:row>
    <x:row r="18">
      <x:c r="A18" s="6" t="n">
        <x:v>44958</x:v>
      </x:c>
      <x:c r="B18" s="5" t="str">
        <x:v>Finance</x:v>
      </x:c>
      <x:c r="C18" s="5" t="str">
        <x:v>General &amp; Administrative</x:v>
      </x:c>
      <x:c r="D18" s="5" t="str">
        <x:v>US West</x:v>
      </x:c>
      <x:c r="E18" s="10" t="n">
        <x:v>1</x:v>
      </x:c>
      <x:c r="F18" s="7" t="n">
        <x:v>11135.82</x:v>
      </x:c>
      <x:c r="G18" s="8"/>
    </x:row>
    <x:row r="19">
      <x:c r="A19" s="6" t="n">
        <x:v>44958</x:v>
      </x:c>
      <x:c r="B19" s="5" t="str">
        <x:v>People</x:v>
      </x:c>
      <x:c r="C19" s="5" t="str">
        <x:v>General &amp; Administrative</x:v>
      </x:c>
      <x:c r="D19" s="5" t="str">
        <x:v>US West</x:v>
      </x:c>
      <x:c r="E19" s="10" t="n">
        <x:v>1</x:v>
      </x:c>
      <x:c r="F19" s="7" t="n">
        <x:v>10965.97</x:v>
      </x:c>
      <x:c r="G19" s="8"/>
    </x:row>
    <x:row r="20">
      <x:c r="A20" s="6" t="n">
        <x:v>44958</x:v>
      </x:c>
      <x:c r="B20" s="5" t="str">
        <x:v>Information Technology</x:v>
      </x:c>
      <x:c r="C20" s="5" t="str">
        <x:v>General &amp; Administrative</x:v>
      </x:c>
      <x:c r="D20" s="5" t="str">
        <x:v>US West</x:v>
      </x:c>
      <x:c r="E20" s="10" t="n">
        <x:v>1</x:v>
      </x:c>
      <x:c r="F20" s="7" t="n">
        <x:v>16549.78</x:v>
      </x:c>
      <x:c r="G20" s="8"/>
    </x:row>
    <x:row r="21">
      <x:c r="A21" s="6" t="n">
        <x:v>44958</x:v>
      </x:c>
      <x:c r="B21" s="5" t="str">
        <x:v>Executive</x:v>
      </x:c>
      <x:c r="C21" s="5" t="str">
        <x:v>General &amp; Administrative</x:v>
      </x:c>
      <x:c r="D21" s="5" t="str">
        <x:v>US West</x:v>
      </x:c>
      <x:c r="E21" s="10" t="n">
        <x:v>2</x:v>
      </x:c>
      <x:c r="F21" s="7" t="n">
        <x:v>70112.54</x:v>
      </x:c>
      <x:c r="G21" s="8"/>
    </x:row>
    <x:row r="22">
      <x:c r="A22" s="6" t="n">
        <x:v>44986</x:v>
      </x:c>
      <x:c r="B22" s="5" t="str">
        <x:v>Cloud Operations</x:v>
      </x:c>
      <x:c r="C22" s="5" t="str">
        <x:v>Cost of Revenue</x:v>
      </x:c>
      <x:c r="D22" s="5" t="str">
        <x:v>US West</x:v>
      </x:c>
      <x:c r="E22" s="10" t="n">
        <x:v>12</x:v>
      </x:c>
      <x:c r="F22" s="7" t="n">
        <x:v>201495.83</x:v>
      </x:c>
      <x:c r="G22" s="8"/>
    </x:row>
    <x:row r="23">
      <x:c r="A23" s="6" t="n">
        <x:v>44986</x:v>
      </x:c>
      <x:c r="B23" s="5" t="str">
        <x:v>Customer Support</x:v>
      </x:c>
      <x:c r="C23" s="5" t="str">
        <x:v>Cost of Revenue</x:v>
      </x:c>
      <x:c r="D23" s="5" t="str">
        <x:v>US West</x:v>
      </x:c>
      <x:c r="E23" s="10" t="n">
        <x:v>12</x:v>
      </x:c>
      <x:c r="F23" s="7" t="n">
        <x:v>159605.44</x:v>
      </x:c>
      <x:c r="G23" s="8"/>
    </x:row>
    <x:row r="24">
      <x:c r="A24" s="6" t="n">
        <x:v>44986</x:v>
      </x:c>
      <x:c r="B24" s="5" t="str">
        <x:v>Professional Services</x:v>
      </x:c>
      <x:c r="C24" s="5" t="str">
        <x:v>Cost of Revenue</x:v>
      </x:c>
      <x:c r="D24" s="5" t="str">
        <x:v>US West</x:v>
      </x:c>
      <x:c r="E24" s="10" t="n">
        <x:v>19</x:v>
      </x:c>
      <x:c r="F24" s="7" t="n">
        <x:v>304504.12</x:v>
      </x:c>
      <x:c r="G24" s="8" t="n">
        <x:v>0.7646</x:v>
      </x:c>
    </x:row>
    <x:row r="25">
      <x:c r="A25" s="6" t="n">
        <x:v>44986</x:v>
      </x:c>
      <x:c r="B25" s="5" t="str">
        <x:v>Sales</x:v>
      </x:c>
      <x:c r="C25" s="5" t="str">
        <x:v>Sales &amp; Marketing</x:v>
      </x:c>
      <x:c r="D25" s="5" t="str">
        <x:v>US West</x:v>
      </x:c>
      <x:c r="E25" s="10" t="n">
        <x:v>15</x:v>
      </x:c>
      <x:c r="F25" s="7" t="n">
        <x:v>258615.33</x:v>
      </x:c>
      <x:c r="G25" s="8"/>
    </x:row>
    <x:row r="26">
      <x:c r="A26" s="6" t="n">
        <x:v>44986</x:v>
      </x:c>
      <x:c r="B26" s="5" t="str">
        <x:v>Marketing</x:v>
      </x:c>
      <x:c r="C26" s="5" t="str">
        <x:v>Sales &amp; Marketing</x:v>
      </x:c>
      <x:c r="D26" s="5" t="str">
        <x:v>US West</x:v>
      </x:c>
      <x:c r="E26" s="10" t="n">
        <x:v>4</x:v>
      </x:c>
      <x:c r="F26" s="7" t="n">
        <x:v>52091.6</x:v>
      </x:c>
      <x:c r="G26" s="8"/>
    </x:row>
    <x:row r="27">
      <x:c r="A27" s="6" t="n">
        <x:v>44986</x:v>
      </x:c>
      <x:c r="B27" s="5" t="str">
        <x:v>Product &amp; Engineering</x:v>
      </x:c>
      <x:c r="C27" s="5" t="str">
        <x:v>Research &amp; Development</x:v>
      </x:c>
      <x:c r="D27" s="5" t="str">
        <x:v>US West</x:v>
      </x:c>
      <x:c r="E27" s="10" t="n">
        <x:v>39</x:v>
      </x:c>
      <x:c r="F27" s="7" t="n">
        <x:v>830892.06</x:v>
      </x:c>
      <x:c r="G27" s="8"/>
    </x:row>
    <x:row r="28">
      <x:c r="A28" s="6" t="n">
        <x:v>44986</x:v>
      </x:c>
      <x:c r="B28" s="5" t="str">
        <x:v>Finance</x:v>
      </x:c>
      <x:c r="C28" s="5" t="str">
        <x:v>General &amp; Administrative</x:v>
      </x:c>
      <x:c r="D28" s="5" t="str">
        <x:v>US West</x:v>
      </x:c>
      <x:c r="E28" s="10" t="n">
        <x:v>1</x:v>
      </x:c>
      <x:c r="F28" s="7" t="n">
        <x:v>11135.82</x:v>
      </x:c>
      <x:c r="G28" s="8"/>
    </x:row>
    <x:row r="29">
      <x:c r="A29" s="6" t="n">
        <x:v>44986</x:v>
      </x:c>
      <x:c r="B29" s="5" t="str">
        <x:v>People</x:v>
      </x:c>
      <x:c r="C29" s="5" t="str">
        <x:v>General &amp; Administrative</x:v>
      </x:c>
      <x:c r="D29" s="5" t="str">
        <x:v>US West</x:v>
      </x:c>
      <x:c r="E29" s="10" t="n">
        <x:v>1</x:v>
      </x:c>
      <x:c r="F29" s="7" t="n">
        <x:v>10965.97</x:v>
      </x:c>
      <x:c r="G29" s="8"/>
    </x:row>
    <x:row r="30">
      <x:c r="A30" s="6" t="n">
        <x:v>44986</x:v>
      </x:c>
      <x:c r="B30" s="5" t="str">
        <x:v>Information Technology</x:v>
      </x:c>
      <x:c r="C30" s="5" t="str">
        <x:v>General &amp; Administrative</x:v>
      </x:c>
      <x:c r="D30" s="5" t="str">
        <x:v>US West</x:v>
      </x:c>
      <x:c r="E30" s="10" t="n">
        <x:v>1</x:v>
      </x:c>
      <x:c r="F30" s="7" t="n">
        <x:v>16549.78</x:v>
      </x:c>
      <x:c r="G30" s="8"/>
    </x:row>
    <x:row r="31">
      <x:c r="A31" s="6" t="n">
        <x:v>44986</x:v>
      </x:c>
      <x:c r="B31" s="5" t="str">
        <x:v>Executive</x:v>
      </x:c>
      <x:c r="C31" s="5" t="str">
        <x:v>General &amp; Administrative</x:v>
      </x:c>
      <x:c r="D31" s="5" t="str">
        <x:v>US West</x:v>
      </x:c>
      <x:c r="E31" s="10" t="n">
        <x:v>2</x:v>
      </x:c>
      <x:c r="F31" s="7" t="n">
        <x:v>70112.54</x:v>
      </x:c>
      <x:c r="G31" s="8"/>
    </x:row>
    <x:row r="32">
      <x:c r="A32" s="6" t="n">
        <x:v>45017</x:v>
      </x:c>
      <x:c r="B32" s="5" t="str">
        <x:v>Cloud Operations</x:v>
      </x:c>
      <x:c r="C32" s="5" t="str">
        <x:v>Cost of Revenue</x:v>
      </x:c>
      <x:c r="D32" s="5" t="str">
        <x:v>US West</x:v>
      </x:c>
      <x:c r="E32" s="10" t="n">
        <x:v>12</x:v>
      </x:c>
      <x:c r="F32" s="7" t="n">
        <x:v>201495.83</x:v>
      </x:c>
      <x:c r="G32" s="8"/>
    </x:row>
    <x:row r="33">
      <x:c r="A33" s="6" t="n">
        <x:v>45017</x:v>
      </x:c>
      <x:c r="B33" s="5" t="str">
        <x:v>Customer Support</x:v>
      </x:c>
      <x:c r="C33" s="5" t="str">
        <x:v>Cost of Revenue</x:v>
      </x:c>
      <x:c r="D33" s="5" t="str">
        <x:v>US West</x:v>
      </x:c>
      <x:c r="E33" s="10" t="n">
        <x:v>12</x:v>
      </x:c>
      <x:c r="F33" s="7" t="n">
        <x:v>159605.44</x:v>
      </x:c>
      <x:c r="G33" s="8"/>
    </x:row>
    <x:row r="34">
      <x:c r="A34" s="6" t="n">
        <x:v>45017</x:v>
      </x:c>
      <x:c r="B34" s="5" t="str">
        <x:v>Professional Services</x:v>
      </x:c>
      <x:c r="C34" s="5" t="str">
        <x:v>Cost of Revenue</x:v>
      </x:c>
      <x:c r="D34" s="5" t="str">
        <x:v>US West</x:v>
      </x:c>
      <x:c r="E34" s="10" t="n">
        <x:v>19</x:v>
      </x:c>
      <x:c r="F34" s="7" t="n">
        <x:v>304504.12</x:v>
      </x:c>
      <x:c r="G34" s="8" t="n">
        <x:v>0.7791</x:v>
      </x:c>
    </x:row>
    <x:row r="35">
      <x:c r="A35" s="6" t="n">
        <x:v>45017</x:v>
      </x:c>
      <x:c r="B35" s="5" t="str">
        <x:v>Sales</x:v>
      </x:c>
      <x:c r="C35" s="5" t="str">
        <x:v>Sales &amp; Marketing</x:v>
      </x:c>
      <x:c r="D35" s="5" t="str">
        <x:v>US West</x:v>
      </x:c>
      <x:c r="E35" s="10" t="n">
        <x:v>16</x:v>
      </x:c>
      <x:c r="F35" s="7" t="n">
        <x:v>274104.33</x:v>
      </x:c>
      <x:c r="G35" s="8"/>
    </x:row>
    <x:row r="36">
      <x:c r="A36" s="6" t="n">
        <x:v>45017</x:v>
      </x:c>
      <x:c r="B36" s="5" t="str">
        <x:v>Marketing</x:v>
      </x:c>
      <x:c r="C36" s="5" t="str">
        <x:v>Sales &amp; Marketing</x:v>
      </x:c>
      <x:c r="D36" s="5" t="str">
        <x:v>US West</x:v>
      </x:c>
      <x:c r="E36" s="10" t="n">
        <x:v>4</x:v>
      </x:c>
      <x:c r="F36" s="7" t="n">
        <x:v>52091.6</x:v>
      </x:c>
      <x:c r="G36" s="8"/>
    </x:row>
    <x:row r="37">
      <x:c r="A37" s="6" t="n">
        <x:v>45017</x:v>
      </x:c>
      <x:c r="B37" s="5" t="str">
        <x:v>Product &amp; Engineering</x:v>
      </x:c>
      <x:c r="C37" s="5" t="str">
        <x:v>Research &amp; Development</x:v>
      </x:c>
      <x:c r="D37" s="5" t="str">
        <x:v>US West</x:v>
      </x:c>
      <x:c r="E37" s="10" t="n">
        <x:v>39</x:v>
      </x:c>
      <x:c r="F37" s="7" t="n">
        <x:v>829729.06</x:v>
      </x:c>
      <x:c r="G37" s="8"/>
    </x:row>
    <x:row r="38">
      <x:c r="A38" s="6" t="n">
        <x:v>45017</x:v>
      </x:c>
      <x:c r="B38" s="5" t="str">
        <x:v>Finance</x:v>
      </x:c>
      <x:c r="C38" s="5" t="str">
        <x:v>General &amp; Administrative</x:v>
      </x:c>
      <x:c r="D38" s="5" t="str">
        <x:v>US West</x:v>
      </x:c>
      <x:c r="E38" s="10" t="n">
        <x:v>1</x:v>
      </x:c>
      <x:c r="F38" s="7" t="n">
        <x:v>11135.82</x:v>
      </x:c>
      <x:c r="G38" s="8"/>
    </x:row>
    <x:row r="39">
      <x:c r="A39" s="6" t="n">
        <x:v>45017</x:v>
      </x:c>
      <x:c r="B39" s="5" t="str">
        <x:v>People</x:v>
      </x:c>
      <x:c r="C39" s="5" t="str">
        <x:v>General &amp; Administrative</x:v>
      </x:c>
      <x:c r="D39" s="5" t="str">
        <x:v>US West</x:v>
      </x:c>
      <x:c r="E39" s="10" t="n">
        <x:v>1</x:v>
      </x:c>
      <x:c r="F39" s="7" t="n">
        <x:v>10965.97</x:v>
      </x:c>
      <x:c r="G39" s="8"/>
    </x:row>
    <x:row r="40">
      <x:c r="A40" s="6" t="n">
        <x:v>45017</x:v>
      </x:c>
      <x:c r="B40" s="5" t="str">
        <x:v>Information Technology</x:v>
      </x:c>
      <x:c r="C40" s="5" t="str">
        <x:v>General &amp; Administrative</x:v>
      </x:c>
      <x:c r="D40" s="5" t="str">
        <x:v>US West</x:v>
      </x:c>
      <x:c r="E40" s="10" t="n">
        <x:v>1</x:v>
      </x:c>
      <x:c r="F40" s="7" t="n">
        <x:v>16549.78</x:v>
      </x:c>
      <x:c r="G40" s="8"/>
    </x:row>
    <x:row r="41">
      <x:c r="A41" s="6" t="n">
        <x:v>45017</x:v>
      </x:c>
      <x:c r="B41" s="5" t="str">
        <x:v>Executive</x:v>
      </x:c>
      <x:c r="C41" s="5" t="str">
        <x:v>General &amp; Administrative</x:v>
      </x:c>
      <x:c r="D41" s="5" t="str">
        <x:v>US West</x:v>
      </x:c>
      <x:c r="E41" s="10" t="n">
        <x:v>2</x:v>
      </x:c>
      <x:c r="F41" s="7" t="n">
        <x:v>70112.54</x:v>
      </x:c>
      <x:c r="G41" s="8"/>
    </x:row>
    <x:row r="42">
      <x:c r="A42" s="6" t="n">
        <x:v>45047</x:v>
      </x:c>
      <x:c r="B42" s="5" t="str">
        <x:v>Cloud Operations</x:v>
      </x:c>
      <x:c r="C42" s="5" t="str">
        <x:v>Cost of Revenue</x:v>
      </x:c>
      <x:c r="D42" s="5" t="str">
        <x:v>US West</x:v>
      </x:c>
      <x:c r="E42" s="10" t="n">
        <x:v>11</x:v>
      </x:c>
      <x:c r="F42" s="7" t="n">
        <x:v>183131.52</x:v>
      </x:c>
      <x:c r="G42" s="8"/>
    </x:row>
    <x:row r="43">
      <x:c r="A43" s="6" t="n">
        <x:v>45047</x:v>
      </x:c>
      <x:c r="B43" s="5" t="str">
        <x:v>Customer Support</x:v>
      </x:c>
      <x:c r="C43" s="5" t="str">
        <x:v>Cost of Revenue</x:v>
      </x:c>
      <x:c r="D43" s="5" t="str">
        <x:v>US West</x:v>
      </x:c>
      <x:c r="E43" s="10" t="n">
        <x:v>12</x:v>
      </x:c>
      <x:c r="F43" s="7" t="n">
        <x:v>159605.44</x:v>
      </x:c>
      <x:c r="G43" s="8"/>
    </x:row>
    <x:row r="44">
      <x:c r="A44" s="6" t="n">
        <x:v>45047</x:v>
      </x:c>
      <x:c r="B44" s="5" t="str">
        <x:v>Professional Services</x:v>
      </x:c>
      <x:c r="C44" s="5" t="str">
        <x:v>Cost of Revenue</x:v>
      </x:c>
      <x:c r="D44" s="5" t="str">
        <x:v>US West</x:v>
      </x:c>
      <x:c r="E44" s="10" t="n">
        <x:v>19</x:v>
      </x:c>
      <x:c r="F44" s="7" t="n">
        <x:v>304504.12</x:v>
      </x:c>
      <x:c r="G44" s="8" t="n">
        <x:v>0.7693</x:v>
      </x:c>
    </x:row>
    <x:row r="45">
      <x:c r="A45" s="6" t="n">
        <x:v>45047</x:v>
      </x:c>
      <x:c r="B45" s="5" t="str">
        <x:v>Sales</x:v>
      </x:c>
      <x:c r="C45" s="5" t="str">
        <x:v>Sales &amp; Marketing</x:v>
      </x:c>
      <x:c r="D45" s="5" t="str">
        <x:v>US West</x:v>
      </x:c>
      <x:c r="E45" s="10" t="n">
        <x:v>16</x:v>
      </x:c>
      <x:c r="F45" s="7" t="n">
        <x:v>274104.33</x:v>
      </x:c>
      <x:c r="G45" s="8"/>
    </x:row>
    <x:row r="46">
      <x:c r="A46" s="6" t="n">
        <x:v>45047</x:v>
      </x:c>
      <x:c r="B46" s="5" t="str">
        <x:v>Marketing</x:v>
      </x:c>
      <x:c r="C46" s="5" t="str">
        <x:v>Sales &amp; Marketing</x:v>
      </x:c>
      <x:c r="D46" s="5" t="str">
        <x:v>US West</x:v>
      </x:c>
      <x:c r="E46" s="10" t="n">
        <x:v>4</x:v>
      </x:c>
      <x:c r="F46" s="7" t="n">
        <x:v>52091.6</x:v>
      </x:c>
      <x:c r="G46" s="8"/>
    </x:row>
    <x:row r="47">
      <x:c r="A47" s="6" t="n">
        <x:v>45047</x:v>
      </x:c>
      <x:c r="B47" s="5" t="str">
        <x:v>Product &amp; Engineering</x:v>
      </x:c>
      <x:c r="C47" s="5" t="str">
        <x:v>Research &amp; Development</x:v>
      </x:c>
      <x:c r="D47" s="5" t="str">
        <x:v>US West</x:v>
      </x:c>
      <x:c r="E47" s="10" t="n">
        <x:v>39</x:v>
      </x:c>
      <x:c r="F47" s="7" t="n">
        <x:v>829729.06</x:v>
      </x:c>
      <x:c r="G47" s="8"/>
    </x:row>
    <x:row r="48">
      <x:c r="A48" s="6" t="n">
        <x:v>45047</x:v>
      </x:c>
      <x:c r="B48" s="5" t="str">
        <x:v>Finance</x:v>
      </x:c>
      <x:c r="C48" s="5" t="str">
        <x:v>General &amp; Administrative</x:v>
      </x:c>
      <x:c r="D48" s="5" t="str">
        <x:v>US West</x:v>
      </x:c>
      <x:c r="E48" s="10" t="n">
        <x:v>1</x:v>
      </x:c>
      <x:c r="F48" s="7" t="n">
        <x:v>11135.82</x:v>
      </x:c>
      <x:c r="G48" s="8"/>
    </x:row>
    <x:row r="49">
      <x:c r="A49" s="6" t="n">
        <x:v>45047</x:v>
      </x:c>
      <x:c r="B49" s="5" t="str">
        <x:v>People</x:v>
      </x:c>
      <x:c r="C49" s="5" t="str">
        <x:v>General &amp; Administrative</x:v>
      </x:c>
      <x:c r="D49" s="5" t="str">
        <x:v>US West</x:v>
      </x:c>
      <x:c r="E49" s="10" t="n">
        <x:v>1</x:v>
      </x:c>
      <x:c r="F49" s="7" t="n">
        <x:v>10965.97</x:v>
      </x:c>
      <x:c r="G49" s="8"/>
    </x:row>
    <x:row r="50">
      <x:c r="A50" s="6" t="n">
        <x:v>45047</x:v>
      </x:c>
      <x:c r="B50" s="5" t="str">
        <x:v>Information Technology</x:v>
      </x:c>
      <x:c r="C50" s="5" t="str">
        <x:v>General &amp; Administrative</x:v>
      </x:c>
      <x:c r="D50" s="5" t="str">
        <x:v>US West</x:v>
      </x:c>
      <x:c r="E50" s="10" t="n">
        <x:v>1</x:v>
      </x:c>
      <x:c r="F50" s="7" t="n">
        <x:v>16549.78</x:v>
      </x:c>
      <x:c r="G50" s="8"/>
    </x:row>
    <x:row r="51">
      <x:c r="A51" s="6" t="n">
        <x:v>45047</x:v>
      </x:c>
      <x:c r="B51" s="5" t="str">
        <x:v>Executive</x:v>
      </x:c>
      <x:c r="C51" s="5" t="str">
        <x:v>General &amp; Administrative</x:v>
      </x:c>
      <x:c r="D51" s="5" t="str">
        <x:v>US West</x:v>
      </x:c>
      <x:c r="E51" s="10" t="n">
        <x:v>2</x:v>
      </x:c>
      <x:c r="F51" s="7" t="n">
        <x:v>70112.54</x:v>
      </x:c>
      <x:c r="G51" s="8"/>
    </x:row>
    <x:row r="52">
      <x:c r="A52" s="6" t="n">
        <x:v>45078</x:v>
      </x:c>
      <x:c r="B52" s="5" t="str">
        <x:v>Cloud Operations</x:v>
      </x:c>
      <x:c r="C52" s="5" t="str">
        <x:v>Cost of Revenue</x:v>
      </x:c>
      <x:c r="D52" s="5" t="str">
        <x:v>US West</x:v>
      </x:c>
      <x:c r="E52" s="10" t="n">
        <x:v>11</x:v>
      </x:c>
      <x:c r="F52" s="7" t="n">
        <x:v>183131.52</x:v>
      </x:c>
      <x:c r="G52" s="8"/>
    </x:row>
    <x:row r="53">
      <x:c r="A53" s="6" t="n">
        <x:v>45078</x:v>
      </x:c>
      <x:c r="B53" s="5" t="str">
        <x:v>Customer Support</x:v>
      </x:c>
      <x:c r="C53" s="5" t="str">
        <x:v>Cost of Revenue</x:v>
      </x:c>
      <x:c r="D53" s="5" t="str">
        <x:v>US West</x:v>
      </x:c>
      <x:c r="E53" s="10" t="n">
        <x:v>12</x:v>
      </x:c>
      <x:c r="F53" s="7" t="n">
        <x:v>159605.44</x:v>
      </x:c>
      <x:c r="G53" s="8"/>
    </x:row>
    <x:row r="54">
      <x:c r="A54" s="6" t="n">
        <x:v>45078</x:v>
      </x:c>
      <x:c r="B54" s="5" t="str">
        <x:v>Professional Services</x:v>
      </x:c>
      <x:c r="C54" s="5" t="str">
        <x:v>Cost of Revenue</x:v>
      </x:c>
      <x:c r="D54" s="5" t="str">
        <x:v>US West</x:v>
      </x:c>
      <x:c r="E54" s="10" t="n">
        <x:v>19</x:v>
      </x:c>
      <x:c r="F54" s="7" t="n">
        <x:v>304504.12</x:v>
      </x:c>
      <x:c r="G54" s="8" t="n">
        <x:v>0.7519</x:v>
      </x:c>
    </x:row>
    <x:row r="55">
      <x:c r="A55" s="6" t="n">
        <x:v>45078</x:v>
      </x:c>
      <x:c r="B55" s="5" t="str">
        <x:v>Sales</x:v>
      </x:c>
      <x:c r="C55" s="5" t="str">
        <x:v>Sales &amp; Marketing</x:v>
      </x:c>
      <x:c r="D55" s="5" t="str">
        <x:v>US West</x:v>
      </x:c>
      <x:c r="E55" s="10" t="n">
        <x:v>17</x:v>
      </x:c>
      <x:c r="F55" s="7" t="n">
        <x:v>286079.83</x:v>
      </x:c>
      <x:c r="G55" s="8"/>
    </x:row>
    <x:row r="56">
      <x:c r="A56" s="6" t="n">
        <x:v>45078</x:v>
      </x:c>
      <x:c r="B56" s="5" t="str">
        <x:v>Marketing</x:v>
      </x:c>
      <x:c r="C56" s="5" t="str">
        <x:v>Sales &amp; Marketing</x:v>
      </x:c>
      <x:c r="D56" s="5" t="str">
        <x:v>US West</x:v>
      </x:c>
      <x:c r="E56" s="10" t="n">
        <x:v>4</x:v>
      </x:c>
      <x:c r="F56" s="7" t="n">
        <x:v>52091.6</x:v>
      </x:c>
      <x:c r="G56" s="8"/>
    </x:row>
    <x:row r="57">
      <x:c r="A57" s="6" t="n">
        <x:v>45078</x:v>
      </x:c>
      <x:c r="B57" s="5" t="str">
        <x:v>Product &amp; Engineering</x:v>
      </x:c>
      <x:c r="C57" s="5" t="str">
        <x:v>Research &amp; Development</x:v>
      </x:c>
      <x:c r="D57" s="5" t="str">
        <x:v>US West</x:v>
      </x:c>
      <x:c r="E57" s="10" t="n">
        <x:v>41</x:v>
      </x:c>
      <x:c r="F57" s="7" t="n">
        <x:v>876438.67</x:v>
      </x:c>
      <x:c r="G57" s="8"/>
    </x:row>
    <x:row r="58">
      <x:c r="A58" s="6" t="n">
        <x:v>45078</x:v>
      </x:c>
      <x:c r="B58" s="5" t="str">
        <x:v>Finance</x:v>
      </x:c>
      <x:c r="C58" s="5" t="str">
        <x:v>General &amp; Administrative</x:v>
      </x:c>
      <x:c r="D58" s="5" t="str">
        <x:v>US West</x:v>
      </x:c>
      <x:c r="E58" s="10" t="n">
        <x:v>1</x:v>
      </x:c>
      <x:c r="F58" s="7" t="n">
        <x:v>11135.82</x:v>
      </x:c>
      <x:c r="G58" s="8"/>
    </x:row>
    <x:row r="59">
      <x:c r="A59" s="6" t="n">
        <x:v>45078</x:v>
      </x:c>
      <x:c r="B59" s="5" t="str">
        <x:v>People</x:v>
      </x:c>
      <x:c r="C59" s="5" t="str">
        <x:v>General &amp; Administrative</x:v>
      </x:c>
      <x:c r="D59" s="5" t="str">
        <x:v>US West</x:v>
      </x:c>
      <x:c r="E59" s="10" t="n">
        <x:v>1</x:v>
      </x:c>
      <x:c r="F59" s="7" t="n">
        <x:v>10965.97</x:v>
      </x:c>
      <x:c r="G59" s="8"/>
    </x:row>
    <x:row r="60">
      <x:c r="A60" s="6" t="n">
        <x:v>45078</x:v>
      </x:c>
      <x:c r="B60" s="5" t="str">
        <x:v>Information Technology</x:v>
      </x:c>
      <x:c r="C60" s="5" t="str">
        <x:v>General &amp; Administrative</x:v>
      </x:c>
      <x:c r="D60" s="5" t="str">
        <x:v>US West</x:v>
      </x:c>
      <x:c r="E60" s="10" t="n">
        <x:v>1</x:v>
      </x:c>
      <x:c r="F60" s="7" t="n">
        <x:v>16549.78</x:v>
      </x:c>
      <x:c r="G60" s="8"/>
    </x:row>
    <x:row r="61">
      <x:c r="A61" s="6" t="n">
        <x:v>45078</x:v>
      </x:c>
      <x:c r="B61" s="5" t="str">
        <x:v>Executive</x:v>
      </x:c>
      <x:c r="C61" s="5" t="str">
        <x:v>General &amp; Administrative</x:v>
      </x:c>
      <x:c r="D61" s="5" t="str">
        <x:v>US West</x:v>
      </x:c>
      <x:c r="E61" s="10" t="n">
        <x:v>2</x:v>
      </x:c>
      <x:c r="F61" s="7" t="n">
        <x:v>70112.54</x:v>
      </x:c>
      <x:c r="G61" s="8"/>
    </x:row>
    <x:row r="62">
      <x:c r="A62" s="6" t="n">
        <x:v>45108</x:v>
      </x:c>
      <x:c r="B62" s="5" t="str">
        <x:v>Cloud Operations</x:v>
      </x:c>
      <x:c r="C62" s="5" t="str">
        <x:v>Cost of Revenue</x:v>
      </x:c>
      <x:c r="D62" s="5" t="str">
        <x:v>US West</x:v>
      </x:c>
      <x:c r="E62" s="10" t="n">
        <x:v>11</x:v>
      </x:c>
      <x:c r="F62" s="7" t="n">
        <x:v>183131.52</x:v>
      </x:c>
      <x:c r="G62" s="8"/>
    </x:row>
    <x:row r="63">
      <x:c r="A63" s="6" t="n">
        <x:v>45108</x:v>
      </x:c>
      <x:c r="B63" s="5" t="str">
        <x:v>Customer Support</x:v>
      </x:c>
      <x:c r="C63" s="5" t="str">
        <x:v>Cost of Revenue</x:v>
      </x:c>
      <x:c r="D63" s="5" t="str">
        <x:v>US West</x:v>
      </x:c>
      <x:c r="E63" s="10" t="n">
        <x:v>12</x:v>
      </x:c>
      <x:c r="F63" s="7" t="n">
        <x:v>159605.44</x:v>
      </x:c>
      <x:c r="G63" s="8"/>
    </x:row>
    <x:row r="64">
      <x:c r="A64" s="6" t="n">
        <x:v>45108</x:v>
      </x:c>
      <x:c r="B64" s="5" t="str">
        <x:v>Professional Services</x:v>
      </x:c>
      <x:c r="C64" s="5" t="str">
        <x:v>Cost of Revenue</x:v>
      </x:c>
      <x:c r="D64" s="5" t="str">
        <x:v>US West</x:v>
      </x:c>
      <x:c r="E64" s="10" t="n">
        <x:v>19</x:v>
      </x:c>
      <x:c r="F64" s="7" t="n">
        <x:v>304504.12</x:v>
      </x:c>
      <x:c r="G64" s="8" t="n">
        <x:v>0.7424</x:v>
      </x:c>
    </x:row>
    <x:row r="65">
      <x:c r="A65" s="6" t="n">
        <x:v>45108</x:v>
      </x:c>
      <x:c r="B65" s="5" t="str">
        <x:v>Sales</x:v>
      </x:c>
      <x:c r="C65" s="5" t="str">
        <x:v>Sales &amp; Marketing</x:v>
      </x:c>
      <x:c r="D65" s="5" t="str">
        <x:v>US West</x:v>
      </x:c>
      <x:c r="E65" s="10" t="n">
        <x:v>17</x:v>
      </x:c>
      <x:c r="F65" s="7" t="n">
        <x:v>286079.83</x:v>
      </x:c>
      <x:c r="G65" s="8"/>
    </x:row>
    <x:row r="66">
      <x:c r="A66" s="6" t="n">
        <x:v>45108</x:v>
      </x:c>
      <x:c r="B66" s="5" t="str">
        <x:v>Marketing</x:v>
      </x:c>
      <x:c r="C66" s="5" t="str">
        <x:v>Sales &amp; Marketing</x:v>
      </x:c>
      <x:c r="D66" s="5" t="str">
        <x:v>US West</x:v>
      </x:c>
      <x:c r="E66" s="10" t="n">
        <x:v>4</x:v>
      </x:c>
      <x:c r="F66" s="7" t="n">
        <x:v>52091.6</x:v>
      </x:c>
      <x:c r="G66" s="8"/>
    </x:row>
    <x:row r="67">
      <x:c r="A67" s="6" t="n">
        <x:v>45108</x:v>
      </x:c>
      <x:c r="B67" s="5" t="str">
        <x:v>Product &amp; Engineering</x:v>
      </x:c>
      <x:c r="C67" s="5" t="str">
        <x:v>Research &amp; Development</x:v>
      </x:c>
      <x:c r="D67" s="5" t="str">
        <x:v>US West</x:v>
      </x:c>
      <x:c r="E67" s="10" t="n">
        <x:v>41</x:v>
      </x:c>
      <x:c r="F67" s="7" t="n">
        <x:v>876438.67</x:v>
      </x:c>
      <x:c r="G67" s="8"/>
    </x:row>
    <x:row r="68">
      <x:c r="A68" s="6" t="n">
        <x:v>45108</x:v>
      </x:c>
      <x:c r="B68" s="5" t="str">
        <x:v>Finance</x:v>
      </x:c>
      <x:c r="C68" s="5" t="str">
        <x:v>General &amp; Administrative</x:v>
      </x:c>
      <x:c r="D68" s="5" t="str">
        <x:v>US West</x:v>
      </x:c>
      <x:c r="E68" s="10" t="n">
        <x:v>1</x:v>
      </x:c>
      <x:c r="F68" s="7" t="n">
        <x:v>11135.82</x:v>
      </x:c>
      <x:c r="G68" s="8"/>
    </x:row>
    <x:row r="69">
      <x:c r="A69" s="6" t="n">
        <x:v>45108</x:v>
      </x:c>
      <x:c r="B69" s="5" t="str">
        <x:v>People</x:v>
      </x:c>
      <x:c r="C69" s="5" t="str">
        <x:v>General &amp; Administrative</x:v>
      </x:c>
      <x:c r="D69" s="5" t="str">
        <x:v>US West</x:v>
      </x:c>
      <x:c r="E69" s="10" t="n">
        <x:v>1</x:v>
      </x:c>
      <x:c r="F69" s="7" t="n">
        <x:v>10965.97</x:v>
      </x:c>
      <x:c r="G69" s="8"/>
    </x:row>
    <x:row r="70">
      <x:c r="A70" s="6" t="n">
        <x:v>45108</x:v>
      </x:c>
      <x:c r="B70" s="5" t="str">
        <x:v>Information Technology</x:v>
      </x:c>
      <x:c r="C70" s="5" t="str">
        <x:v>General &amp; Administrative</x:v>
      </x:c>
      <x:c r="D70" s="5" t="str">
        <x:v>US West</x:v>
      </x:c>
      <x:c r="E70" s="10" t="n">
        <x:v>1</x:v>
      </x:c>
      <x:c r="F70" s="7" t="n">
        <x:v>16549.78</x:v>
      </x:c>
      <x:c r="G70" s="8"/>
    </x:row>
    <x:row r="71">
      <x:c r="A71" s="6" t="n">
        <x:v>45108</x:v>
      </x:c>
      <x:c r="B71" s="5" t="str">
        <x:v>Executive</x:v>
      </x:c>
      <x:c r="C71" s="5" t="str">
        <x:v>General &amp; Administrative</x:v>
      </x:c>
      <x:c r="D71" s="5" t="str">
        <x:v>US West</x:v>
      </x:c>
      <x:c r="E71" s="10" t="n">
        <x:v>2</x:v>
      </x:c>
      <x:c r="F71" s="7" t="n">
        <x:v>70112.54</x:v>
      </x:c>
      <x:c r="G71" s="8"/>
    </x:row>
    <x:row r="72">
      <x:c r="A72" s="6" t="n">
        <x:v>45139</x:v>
      </x:c>
      <x:c r="B72" s="5" t="str">
        <x:v>Cloud Operations</x:v>
      </x:c>
      <x:c r="C72" s="5" t="str">
        <x:v>Cost of Revenue</x:v>
      </x:c>
      <x:c r="D72" s="5" t="str">
        <x:v>US West</x:v>
      </x:c>
      <x:c r="E72" s="10" t="n">
        <x:v>11</x:v>
      </x:c>
      <x:c r="F72" s="7" t="n">
        <x:v>183131.52</x:v>
      </x:c>
      <x:c r="G72" s="8"/>
    </x:row>
    <x:row r="73">
      <x:c r="A73" s="6" t="n">
        <x:v>45139</x:v>
      </x:c>
      <x:c r="B73" s="5" t="str">
        <x:v>Customer Support</x:v>
      </x:c>
      <x:c r="C73" s="5" t="str">
        <x:v>Cost of Revenue</x:v>
      </x:c>
      <x:c r="D73" s="5" t="str">
        <x:v>US West</x:v>
      </x:c>
      <x:c r="E73" s="10" t="n">
        <x:v>12</x:v>
      </x:c>
      <x:c r="F73" s="7" t="n">
        <x:v>159605.44</x:v>
      </x:c>
      <x:c r="G73" s="8"/>
    </x:row>
    <x:row r="74">
      <x:c r="A74" s="6" t="n">
        <x:v>45139</x:v>
      </x:c>
      <x:c r="B74" s="5" t="str">
        <x:v>Professional Services</x:v>
      </x:c>
      <x:c r="C74" s="5" t="str">
        <x:v>Cost of Revenue</x:v>
      </x:c>
      <x:c r="D74" s="5" t="str">
        <x:v>US West</x:v>
      </x:c>
      <x:c r="E74" s="10" t="n">
        <x:v>19</x:v>
      </x:c>
      <x:c r="F74" s="7" t="n">
        <x:v>303095.2</x:v>
      </x:c>
      <x:c r="G74" s="8" t="n">
        <x:v>0.7705</x:v>
      </x:c>
    </x:row>
    <x:row r="75">
      <x:c r="A75" s="6" t="n">
        <x:v>45139</x:v>
      </x:c>
      <x:c r="B75" s="5" t="str">
        <x:v>Sales</x:v>
      </x:c>
      <x:c r="C75" s="5" t="str">
        <x:v>Sales &amp; Marketing</x:v>
      </x:c>
      <x:c r="D75" s="5" t="str">
        <x:v>US West</x:v>
      </x:c>
      <x:c r="E75" s="10" t="n">
        <x:v>17</x:v>
      </x:c>
      <x:c r="F75" s="7" t="n">
        <x:v>286079.83</x:v>
      </x:c>
      <x:c r="G75" s="8"/>
    </x:row>
    <x:row r="76">
      <x:c r="A76" s="6" t="n">
        <x:v>45139</x:v>
      </x:c>
      <x:c r="B76" s="5" t="str">
        <x:v>Marketing</x:v>
      </x:c>
      <x:c r="C76" s="5" t="str">
        <x:v>Sales &amp; Marketing</x:v>
      </x:c>
      <x:c r="D76" s="5" t="str">
        <x:v>US West</x:v>
      </x:c>
      <x:c r="E76" s="10" t="n">
        <x:v>4</x:v>
      </x:c>
      <x:c r="F76" s="7" t="n">
        <x:v>52091.6</x:v>
      </x:c>
      <x:c r="G76" s="8"/>
    </x:row>
    <x:row r="77">
      <x:c r="A77" s="6" t="n">
        <x:v>45139</x:v>
      </x:c>
      <x:c r="B77" s="5" t="str">
        <x:v>Product &amp; Engineering</x:v>
      </x:c>
      <x:c r="C77" s="5" t="str">
        <x:v>Research &amp; Development</x:v>
      </x:c>
      <x:c r="D77" s="5" t="str">
        <x:v>US West</x:v>
      </x:c>
      <x:c r="E77" s="10" t="n">
        <x:v>40</x:v>
      </x:c>
      <x:c r="F77" s="7" t="n">
        <x:v>856593.91</x:v>
      </x:c>
      <x:c r="G77" s="8"/>
    </x:row>
    <x:row r="78">
      <x:c r="A78" s="6" t="n">
        <x:v>45139</x:v>
      </x:c>
      <x:c r="B78" s="5" t="str">
        <x:v>Finance</x:v>
      </x:c>
      <x:c r="C78" s="5" t="str">
        <x:v>General &amp; Administrative</x:v>
      </x:c>
      <x:c r="D78" s="5" t="str">
        <x:v>US West</x:v>
      </x:c>
      <x:c r="E78" s="10" t="n">
        <x:v>1</x:v>
      </x:c>
      <x:c r="F78" s="7" t="n">
        <x:v>11135.82</x:v>
      </x:c>
      <x:c r="G78" s="8"/>
    </x:row>
    <x:row r="79">
      <x:c r="A79" s="6" t="n">
        <x:v>45139</x:v>
      </x:c>
      <x:c r="B79" s="5" t="str">
        <x:v>People</x:v>
      </x:c>
      <x:c r="C79" s="5" t="str">
        <x:v>General &amp; Administrative</x:v>
      </x:c>
      <x:c r="D79" s="5" t="str">
        <x:v>US West</x:v>
      </x:c>
      <x:c r="E79" s="10" t="n">
        <x:v>1</x:v>
      </x:c>
      <x:c r="F79" s="7" t="n">
        <x:v>10965.97</x:v>
      </x:c>
      <x:c r="G79" s="8"/>
    </x:row>
    <x:row r="80">
      <x:c r="A80" s="6" t="n">
        <x:v>45139</x:v>
      </x:c>
      <x:c r="B80" s="5" t="str">
        <x:v>Information Technology</x:v>
      </x:c>
      <x:c r="C80" s="5" t="str">
        <x:v>General &amp; Administrative</x:v>
      </x:c>
      <x:c r="D80" s="5" t="str">
        <x:v>US West</x:v>
      </x:c>
      <x:c r="E80" s="10" t="n">
        <x:v>1</x:v>
      </x:c>
      <x:c r="F80" s="7" t="n">
        <x:v>16549.78</x:v>
      </x:c>
      <x:c r="G80" s="8"/>
    </x:row>
    <x:row r="81">
      <x:c r="A81" s="6" t="n">
        <x:v>45139</x:v>
      </x:c>
      <x:c r="B81" s="5" t="str">
        <x:v>Executive</x:v>
      </x:c>
      <x:c r="C81" s="5" t="str">
        <x:v>General &amp; Administrative</x:v>
      </x:c>
      <x:c r="D81" s="5" t="str">
        <x:v>US West</x:v>
      </x:c>
      <x:c r="E81" s="10" t="n">
        <x:v>2</x:v>
      </x:c>
      <x:c r="F81" s="7" t="n">
        <x:v>70112.54</x:v>
      </x:c>
      <x:c r="G81" s="8"/>
    </x:row>
    <x:row r="82">
      <x:c r="A82" s="6" t="n">
        <x:v>45170</x:v>
      </x:c>
      <x:c r="B82" s="5" t="str">
        <x:v>Cloud Operations</x:v>
      </x:c>
      <x:c r="C82" s="5" t="str">
        <x:v>Cost of Revenue</x:v>
      </x:c>
      <x:c r="D82" s="5" t="str">
        <x:v>US West</x:v>
      </x:c>
      <x:c r="E82" s="10" t="n">
        <x:v>11</x:v>
      </x:c>
      <x:c r="F82" s="7" t="n">
        <x:v>183131.52</x:v>
      </x:c>
      <x:c r="G82" s="8"/>
    </x:row>
    <x:row r="83">
      <x:c r="A83" s="6" t="n">
        <x:v>45170</x:v>
      </x:c>
      <x:c r="B83" s="5" t="str">
        <x:v>Customer Support</x:v>
      </x:c>
      <x:c r="C83" s="5" t="str">
        <x:v>Cost of Revenue</x:v>
      </x:c>
      <x:c r="D83" s="5" t="str">
        <x:v>US West</x:v>
      </x:c>
      <x:c r="E83" s="10" t="n">
        <x:v>12</x:v>
      </x:c>
      <x:c r="F83" s="7" t="n">
        <x:v>159605.44</x:v>
      </x:c>
      <x:c r="G83" s="8"/>
    </x:row>
    <x:row r="84">
      <x:c r="A84" s="6" t="n">
        <x:v>45170</x:v>
      </x:c>
      <x:c r="B84" s="5" t="str">
        <x:v>Professional Services</x:v>
      </x:c>
      <x:c r="C84" s="5" t="str">
        <x:v>Cost of Revenue</x:v>
      </x:c>
      <x:c r="D84" s="5" t="str">
        <x:v>US West</x:v>
      </x:c>
      <x:c r="E84" s="10" t="n">
        <x:v>20</x:v>
      </x:c>
      <x:c r="F84" s="7" t="n">
        <x:v>315277.79</x:v>
      </x:c>
      <x:c r="G84" s="8" t="n">
        <x:v>0.7515</x:v>
      </x:c>
    </x:row>
    <x:row r="85">
      <x:c r="A85" s="6" t="n">
        <x:v>45170</x:v>
      </x:c>
      <x:c r="B85" s="5" t="str">
        <x:v>Sales</x:v>
      </x:c>
      <x:c r="C85" s="5" t="str">
        <x:v>Sales &amp; Marketing</x:v>
      </x:c>
      <x:c r="D85" s="5" t="str">
        <x:v>US West</x:v>
      </x:c>
      <x:c r="E85" s="10" t="n">
        <x:v>17</x:v>
      </x:c>
      <x:c r="F85" s="7" t="n">
        <x:v>283874.12</x:v>
      </x:c>
      <x:c r="G85" s="8"/>
    </x:row>
    <x:row r="86">
      <x:c r="A86" s="6" t="n">
        <x:v>45170</x:v>
      </x:c>
      <x:c r="B86" s="5" t="str">
        <x:v>Marketing</x:v>
      </x:c>
      <x:c r="C86" s="5" t="str">
        <x:v>Sales &amp; Marketing</x:v>
      </x:c>
      <x:c r="D86" s="5" t="str">
        <x:v>US West</x:v>
      </x:c>
      <x:c r="E86" s="10" t="n">
        <x:v>4</x:v>
      </x:c>
      <x:c r="F86" s="7" t="n">
        <x:v>52091.6</x:v>
      </x:c>
      <x:c r="G86" s="8"/>
    </x:row>
    <x:row r="87">
      <x:c r="A87" s="6" t="n">
        <x:v>45170</x:v>
      </x:c>
      <x:c r="B87" s="5" t="str">
        <x:v>Product &amp; Engineering</x:v>
      </x:c>
      <x:c r="C87" s="5" t="str">
        <x:v>Research &amp; Development</x:v>
      </x:c>
      <x:c r="D87" s="5" t="str">
        <x:v>US West</x:v>
      </x:c>
      <x:c r="E87" s="10" t="n">
        <x:v>40</x:v>
      </x:c>
      <x:c r="F87" s="7" t="n">
        <x:v>856593.91</x:v>
      </x:c>
      <x:c r="G87" s="8"/>
    </x:row>
    <x:row r="88">
      <x:c r="A88" s="6" t="n">
        <x:v>45170</x:v>
      </x:c>
      <x:c r="B88" s="5" t="str">
        <x:v>Finance</x:v>
      </x:c>
      <x:c r="C88" s="5" t="str">
        <x:v>General &amp; Administrative</x:v>
      </x:c>
      <x:c r="D88" s="5" t="str">
        <x:v>US West</x:v>
      </x:c>
      <x:c r="E88" s="10" t="n">
        <x:v>1</x:v>
      </x:c>
      <x:c r="F88" s="7" t="n">
        <x:v>11135.82</x:v>
      </x:c>
      <x:c r="G88" s="8"/>
    </x:row>
    <x:row r="89">
      <x:c r="A89" s="6" t="n">
        <x:v>45170</x:v>
      </x:c>
      <x:c r="B89" s="5" t="str">
        <x:v>People</x:v>
      </x:c>
      <x:c r="C89" s="5" t="str">
        <x:v>General &amp; Administrative</x:v>
      </x:c>
      <x:c r="D89" s="5" t="str">
        <x:v>US West</x:v>
      </x:c>
      <x:c r="E89" s="10" t="n">
        <x:v>1</x:v>
      </x:c>
      <x:c r="F89" s="7" t="n">
        <x:v>10965.97</x:v>
      </x:c>
      <x:c r="G89" s="8"/>
    </x:row>
    <x:row r="90">
      <x:c r="A90" s="6" t="n">
        <x:v>45170</x:v>
      </x:c>
      <x:c r="B90" s="5" t="str">
        <x:v>Information Technology</x:v>
      </x:c>
      <x:c r="C90" s="5" t="str">
        <x:v>General &amp; Administrative</x:v>
      </x:c>
      <x:c r="D90" s="5" t="str">
        <x:v>US West</x:v>
      </x:c>
      <x:c r="E90" s="10" t="n">
        <x:v>1</x:v>
      </x:c>
      <x:c r="F90" s="7" t="n">
        <x:v>16549.78</x:v>
      </x:c>
      <x:c r="G90" s="8"/>
    </x:row>
    <x:row r="91">
      <x:c r="A91" s="6" t="n">
        <x:v>45170</x:v>
      </x:c>
      <x:c r="B91" s="5" t="str">
        <x:v>Executive</x:v>
      </x:c>
      <x:c r="C91" s="5" t="str">
        <x:v>General &amp; Administrative</x:v>
      </x:c>
      <x:c r="D91" s="5" t="str">
        <x:v>US West</x:v>
      </x:c>
      <x:c r="E91" s="10" t="n">
        <x:v>2</x:v>
      </x:c>
      <x:c r="F91" s="7" t="n">
        <x:v>70112.54</x:v>
      </x:c>
      <x:c r="G91" s="8"/>
    </x:row>
    <x:row r="92">
      <x:c r="A92" s="6" t="n">
        <x:v>45200</x:v>
      </x:c>
      <x:c r="B92" s="5" t="str">
        <x:v>Cloud Operations</x:v>
      </x:c>
      <x:c r="C92" s="5" t="str">
        <x:v>Cost of Revenue</x:v>
      </x:c>
      <x:c r="D92" s="5" t="str">
        <x:v>US West</x:v>
      </x:c>
      <x:c r="E92" s="10" t="n">
        <x:v>11</x:v>
      </x:c>
      <x:c r="F92" s="7" t="n">
        <x:v>183131.52</x:v>
      </x:c>
      <x:c r="G92" s="8"/>
    </x:row>
    <x:row r="93">
      <x:c r="A93" s="6" t="n">
        <x:v>45200</x:v>
      </x:c>
      <x:c r="B93" s="5" t="str">
        <x:v>Customer Support</x:v>
      </x:c>
      <x:c r="C93" s="5" t="str">
        <x:v>Cost of Revenue</x:v>
      </x:c>
      <x:c r="D93" s="5" t="str">
        <x:v>US West</x:v>
      </x:c>
      <x:c r="E93" s="10" t="n">
        <x:v>12</x:v>
      </x:c>
      <x:c r="F93" s="7" t="n">
        <x:v>159605.44</x:v>
      </x:c>
      <x:c r="G93" s="8"/>
    </x:row>
    <x:row r="94">
      <x:c r="A94" s="6" t="n">
        <x:v>45200</x:v>
      </x:c>
      <x:c r="B94" s="5" t="str">
        <x:v>Professional Services</x:v>
      </x:c>
      <x:c r="C94" s="5" t="str">
        <x:v>Cost of Revenue</x:v>
      </x:c>
      <x:c r="D94" s="5" t="str">
        <x:v>US West</x:v>
      </x:c>
      <x:c r="E94" s="10" t="n">
        <x:v>20</x:v>
      </x:c>
      <x:c r="F94" s="7" t="n">
        <x:v>315277.79</x:v>
      </x:c>
      <x:c r="G94" s="8" t="n">
        <x:v>0.754</x:v>
      </x:c>
    </x:row>
    <x:row r="95">
      <x:c r="A95" s="6" t="n">
        <x:v>45200</x:v>
      </x:c>
      <x:c r="B95" s="5" t="str">
        <x:v>Sales</x:v>
      </x:c>
      <x:c r="C95" s="5" t="str">
        <x:v>Sales &amp; Marketing</x:v>
      </x:c>
      <x:c r="D95" s="5" t="str">
        <x:v>US West</x:v>
      </x:c>
      <x:c r="E95" s="10" t="n">
        <x:v>17</x:v>
      </x:c>
      <x:c r="F95" s="7" t="n">
        <x:v>283874.12</x:v>
      </x:c>
      <x:c r="G95" s="8"/>
    </x:row>
    <x:row r="96">
      <x:c r="A96" s="6" t="n">
        <x:v>45200</x:v>
      </x:c>
      <x:c r="B96" s="5" t="str">
        <x:v>Marketing</x:v>
      </x:c>
      <x:c r="C96" s="5" t="str">
        <x:v>Sales &amp; Marketing</x:v>
      </x:c>
      <x:c r="D96" s="5" t="str">
        <x:v>US West</x:v>
      </x:c>
      <x:c r="E96" s="10" t="n">
        <x:v>4</x:v>
      </x:c>
      <x:c r="F96" s="7" t="n">
        <x:v>52091.6</x:v>
      </x:c>
      <x:c r="G96" s="8"/>
    </x:row>
    <x:row r="97">
      <x:c r="A97" s="6" t="n">
        <x:v>45200</x:v>
      </x:c>
      <x:c r="B97" s="5" t="str">
        <x:v>Product &amp; Engineering</x:v>
      </x:c>
      <x:c r="C97" s="5" t="str">
        <x:v>Research &amp; Development</x:v>
      </x:c>
      <x:c r="D97" s="5" t="str">
        <x:v>US West</x:v>
      </x:c>
      <x:c r="E97" s="10" t="n">
        <x:v>42</x:v>
      </x:c>
      <x:c r="F97" s="7" t="n">
        <x:v>904947.43</x:v>
      </x:c>
      <x:c r="G97" s="8"/>
    </x:row>
    <x:row r="98">
      <x:c r="A98" s="6" t="n">
        <x:v>45200</x:v>
      </x:c>
      <x:c r="B98" s="5" t="str">
        <x:v>Finance</x:v>
      </x:c>
      <x:c r="C98" s="5" t="str">
        <x:v>General &amp; Administrative</x:v>
      </x:c>
      <x:c r="D98" s="5" t="str">
        <x:v>US West</x:v>
      </x:c>
      <x:c r="E98" s="10" t="n">
        <x:v>1</x:v>
      </x:c>
      <x:c r="F98" s="7" t="n">
        <x:v>11135.82</x:v>
      </x:c>
      <x:c r="G98" s="8"/>
    </x:row>
    <x:row r="99">
      <x:c r="A99" s="6" t="n">
        <x:v>45200</x:v>
      </x:c>
      <x:c r="B99" s="5" t="str">
        <x:v>People</x:v>
      </x:c>
      <x:c r="C99" s="5" t="str">
        <x:v>General &amp; Administrative</x:v>
      </x:c>
      <x:c r="D99" s="5" t="str">
        <x:v>US West</x:v>
      </x:c>
      <x:c r="E99" s="10" t="n">
        <x:v>1</x:v>
      </x:c>
      <x:c r="F99" s="7" t="n">
        <x:v>10965.97</x:v>
      </x:c>
      <x:c r="G99" s="8"/>
    </x:row>
    <x:row r="100">
      <x:c r="A100" s="6" t="n">
        <x:v>45200</x:v>
      </x:c>
      <x:c r="B100" s="5" t="str">
        <x:v>Information Technology</x:v>
      </x:c>
      <x:c r="C100" s="5" t="str">
        <x:v>General &amp; Administrative</x:v>
      </x:c>
      <x:c r="D100" s="5" t="str">
        <x:v>US West</x:v>
      </x:c>
      <x:c r="E100" s="10" t="n">
        <x:v>1</x:v>
      </x:c>
      <x:c r="F100" s="7" t="n">
        <x:v>16549.78</x:v>
      </x:c>
      <x:c r="G100" s="8"/>
    </x:row>
    <x:row r="101">
      <x:c r="A101" s="6" t="n">
        <x:v>45200</x:v>
      </x:c>
      <x:c r="B101" s="5" t="str">
        <x:v>Executive</x:v>
      </x:c>
      <x:c r="C101" s="5" t="str">
        <x:v>General &amp; Administrative</x:v>
      </x:c>
      <x:c r="D101" s="5" t="str">
        <x:v>US West</x:v>
      </x:c>
      <x:c r="E101" s="10" t="n">
        <x:v>2</x:v>
      </x:c>
      <x:c r="F101" s="7" t="n">
        <x:v>70112.54</x:v>
      </x:c>
      <x:c r="G101" s="8"/>
    </x:row>
    <x:row r="102">
      <x:c r="A102" s="6" t="n">
        <x:v>45231</x:v>
      </x:c>
      <x:c r="B102" s="5" t="str">
        <x:v>Cloud Operations</x:v>
      </x:c>
      <x:c r="C102" s="5" t="str">
        <x:v>Cost of Revenue</x:v>
      </x:c>
      <x:c r="D102" s="5" t="str">
        <x:v>US West</x:v>
      </x:c>
      <x:c r="E102" s="10" t="n">
        <x:v>11</x:v>
      </x:c>
      <x:c r="F102" s="7" t="n">
        <x:v>183131.52</x:v>
      </x:c>
      <x:c r="G102" s="8"/>
    </x:row>
    <x:row r="103">
      <x:c r="A103" s="6" t="n">
        <x:v>45231</x:v>
      </x:c>
      <x:c r="B103" s="5" t="str">
        <x:v>Customer Support</x:v>
      </x:c>
      <x:c r="C103" s="5" t="str">
        <x:v>Cost of Revenue</x:v>
      </x:c>
      <x:c r="D103" s="5" t="str">
        <x:v>US West</x:v>
      </x:c>
      <x:c r="E103" s="10" t="n">
        <x:v>12</x:v>
      </x:c>
      <x:c r="F103" s="7" t="n">
        <x:v>159605.44</x:v>
      </x:c>
      <x:c r="G103" s="8"/>
    </x:row>
    <x:row r="104">
      <x:c r="A104" s="6" t="n">
        <x:v>45231</x:v>
      </x:c>
      <x:c r="B104" s="5" t="str">
        <x:v>Professional Services</x:v>
      </x:c>
      <x:c r="C104" s="5" t="str">
        <x:v>Cost of Revenue</x:v>
      </x:c>
      <x:c r="D104" s="5" t="str">
        <x:v>US West</x:v>
      </x:c>
      <x:c r="E104" s="10" t="n">
        <x:v>20</x:v>
      </x:c>
      <x:c r="F104" s="7" t="n">
        <x:v>315277.79</x:v>
      </x:c>
      <x:c r="G104" s="8" t="n">
        <x:v>0.7656</x:v>
      </x:c>
    </x:row>
    <x:row r="105">
      <x:c r="A105" s="6" t="n">
        <x:v>45231</x:v>
      </x:c>
      <x:c r="B105" s="5" t="str">
        <x:v>Sales</x:v>
      </x:c>
      <x:c r="C105" s="5" t="str">
        <x:v>Sales &amp; Marketing</x:v>
      </x:c>
      <x:c r="D105" s="5" t="str">
        <x:v>US West</x:v>
      </x:c>
      <x:c r="E105" s="10" t="n">
        <x:v>17</x:v>
      </x:c>
      <x:c r="F105" s="7" t="n">
        <x:v>283874.12</x:v>
      </x:c>
      <x:c r="G105" s="8"/>
    </x:row>
    <x:row r="106">
      <x:c r="A106" s="6" t="n">
        <x:v>45231</x:v>
      </x:c>
      <x:c r="B106" s="5" t="str">
        <x:v>Marketing</x:v>
      </x:c>
      <x:c r="C106" s="5" t="str">
        <x:v>Sales &amp; Marketing</x:v>
      </x:c>
      <x:c r="D106" s="5" t="str">
        <x:v>US West</x:v>
      </x:c>
      <x:c r="E106" s="10" t="n">
        <x:v>4</x:v>
      </x:c>
      <x:c r="F106" s="7" t="n">
        <x:v>52091.6</x:v>
      </x:c>
      <x:c r="G106" s="8"/>
    </x:row>
    <x:row r="107">
      <x:c r="A107" s="6" t="n">
        <x:v>45231</x:v>
      </x:c>
      <x:c r="B107" s="5" t="str">
        <x:v>Product &amp; Engineering</x:v>
      </x:c>
      <x:c r="C107" s="5" t="str">
        <x:v>Research &amp; Development</x:v>
      </x:c>
      <x:c r="D107" s="5" t="str">
        <x:v>US West</x:v>
      </x:c>
      <x:c r="E107" s="10" t="n">
        <x:v>42</x:v>
      </x:c>
      <x:c r="F107" s="7" t="n">
        <x:v>904947.43</x:v>
      </x:c>
      <x:c r="G107" s="8"/>
    </x:row>
    <x:row r="108">
      <x:c r="A108" s="6" t="n">
        <x:v>45231</x:v>
      </x:c>
      <x:c r="B108" s="5" t="str">
        <x:v>Finance</x:v>
      </x:c>
      <x:c r="C108" s="5" t="str">
        <x:v>General &amp; Administrative</x:v>
      </x:c>
      <x:c r="D108" s="5" t="str">
        <x:v>US West</x:v>
      </x:c>
      <x:c r="E108" s="10" t="n">
        <x:v>1</x:v>
      </x:c>
      <x:c r="F108" s="7" t="n">
        <x:v>11135.82</x:v>
      </x:c>
      <x:c r="G108" s="8"/>
    </x:row>
    <x:row r="109">
      <x:c r="A109" s="6" t="n">
        <x:v>45231</x:v>
      </x:c>
      <x:c r="B109" s="5" t="str">
        <x:v>People</x:v>
      </x:c>
      <x:c r="C109" s="5" t="str">
        <x:v>General &amp; Administrative</x:v>
      </x:c>
      <x:c r="D109" s="5" t="str">
        <x:v>US West</x:v>
      </x:c>
      <x:c r="E109" s="10" t="n">
        <x:v>1.6</x:v>
      </x:c>
      <x:c r="F109" s="7" t="n">
        <x:v>17516.14</x:v>
      </x:c>
      <x:c r="G109" s="8"/>
    </x:row>
    <x:row r="110">
      <x:c r="A110" s="6" t="n">
        <x:v>45231</x:v>
      </x:c>
      <x:c r="B110" s="5" t="str">
        <x:v>Information Technology</x:v>
      </x:c>
      <x:c r="C110" s="5" t="str">
        <x:v>General &amp; Administrative</x:v>
      </x:c>
      <x:c r="D110" s="5" t="str">
        <x:v>US West</x:v>
      </x:c>
      <x:c r="E110" s="10" t="n">
        <x:v>1</x:v>
      </x:c>
      <x:c r="F110" s="7" t="n">
        <x:v>16549.78</x:v>
      </x:c>
      <x:c r="G110" s="8"/>
    </x:row>
    <x:row r="111">
      <x:c r="A111" s="6" t="n">
        <x:v>45231</x:v>
      </x:c>
      <x:c r="B111" s="5" t="str">
        <x:v>Executive</x:v>
      </x:c>
      <x:c r="C111" s="5" t="str">
        <x:v>General &amp; Administrative</x:v>
      </x:c>
      <x:c r="D111" s="5" t="str">
        <x:v>US West</x:v>
      </x:c>
      <x:c r="E111" s="10" t="n">
        <x:v>2</x:v>
      </x:c>
      <x:c r="F111" s="7" t="n">
        <x:v>70112.54</x:v>
      </x:c>
      <x:c r="G111" s="8"/>
    </x:row>
    <x:row r="112">
      <x:c r="A112" s="6" t="n">
        <x:v>45261</x:v>
      </x:c>
      <x:c r="B112" s="5" t="str">
        <x:v>Cloud Operations</x:v>
      </x:c>
      <x:c r="C112" s="5" t="str">
        <x:v>Cost of Revenue</x:v>
      </x:c>
      <x:c r="D112" s="5" t="str">
        <x:v>US West</x:v>
      </x:c>
      <x:c r="E112" s="10" t="n">
        <x:v>10</x:v>
      </x:c>
      <x:c r="F112" s="7" t="n">
        <x:v>169311.16</x:v>
      </x:c>
      <x:c r="G112" s="8"/>
    </x:row>
    <x:row r="113">
      <x:c r="A113" s="6" t="n">
        <x:v>45261</x:v>
      </x:c>
      <x:c r="B113" s="5" t="str">
        <x:v>Customer Support</x:v>
      </x:c>
      <x:c r="C113" s="5" t="str">
        <x:v>Cost of Revenue</x:v>
      </x:c>
      <x:c r="D113" s="5" t="str">
        <x:v>US West</x:v>
      </x:c>
      <x:c r="E113" s="10" t="n">
        <x:v>13</x:v>
      </x:c>
      <x:c r="F113" s="7" t="n">
        <x:v>175310.87</x:v>
      </x:c>
      <x:c r="G113" s="8"/>
    </x:row>
    <x:row r="114">
      <x:c r="A114" s="6" t="n">
        <x:v>45261</x:v>
      </x:c>
      <x:c r="B114" s="5" t="str">
        <x:v>Professional Services</x:v>
      </x:c>
      <x:c r="C114" s="5" t="str">
        <x:v>Cost of Revenue</x:v>
      </x:c>
      <x:c r="D114" s="5" t="str">
        <x:v>US West</x:v>
      </x:c>
      <x:c r="E114" s="10" t="n">
        <x:v>20</x:v>
      </x:c>
      <x:c r="F114" s="7" t="n">
        <x:v>308541.4</x:v>
      </x:c>
      <x:c r="G114" s="8" t="n">
        <x:v>0.6966</x:v>
      </x:c>
    </x:row>
    <x:row r="115">
      <x:c r="A115" s="6" t="n">
        <x:v>45261</x:v>
      </x:c>
      <x:c r="B115" s="5" t="str">
        <x:v>Sales</x:v>
      </x:c>
      <x:c r="C115" s="5" t="str">
        <x:v>Sales &amp; Marketing</x:v>
      </x:c>
      <x:c r="D115" s="5" t="str">
        <x:v>US West</x:v>
      </x:c>
      <x:c r="E115" s="10" t="n">
        <x:v>17</x:v>
      </x:c>
      <x:c r="F115" s="7" t="n">
        <x:v>283874.12</x:v>
      </x:c>
      <x:c r="G115" s="8"/>
    </x:row>
    <x:row r="116">
      <x:c r="A116" s="6" t="n">
        <x:v>45261</x:v>
      </x:c>
      <x:c r="B116" s="5" t="str">
        <x:v>Marketing</x:v>
      </x:c>
      <x:c r="C116" s="5" t="str">
        <x:v>Sales &amp; Marketing</x:v>
      </x:c>
      <x:c r="D116" s="5" t="str">
        <x:v>US West</x:v>
      </x:c>
      <x:c r="E116" s="10" t="n">
        <x:v>4</x:v>
      </x:c>
      <x:c r="F116" s="7" t="n">
        <x:v>52091.6</x:v>
      </x:c>
      <x:c r="G116" s="8"/>
    </x:row>
    <x:row r="117">
      <x:c r="A117" s="6" t="n">
        <x:v>45261</x:v>
      </x:c>
      <x:c r="B117" s="5" t="str">
        <x:v>Product &amp; Engineering</x:v>
      </x:c>
      <x:c r="C117" s="5" t="str">
        <x:v>Research &amp; Development</x:v>
      </x:c>
      <x:c r="D117" s="5" t="str">
        <x:v>US West</x:v>
      </x:c>
      <x:c r="E117" s="10" t="n">
        <x:v>43</x:v>
      </x:c>
      <x:c r="F117" s="7" t="n">
        <x:v>927572.98</x:v>
      </x:c>
      <x:c r="G117" s="8"/>
    </x:row>
    <x:row r="118">
      <x:c r="A118" s="6" t="n">
        <x:v>45261</x:v>
      </x:c>
      <x:c r="B118" s="5" t="str">
        <x:v>Finance</x:v>
      </x:c>
      <x:c r="C118" s="5" t="str">
        <x:v>General &amp; Administrative</x:v>
      </x:c>
      <x:c r="D118" s="5" t="str">
        <x:v>US West</x:v>
      </x:c>
      <x:c r="E118" s="10" t="n">
        <x:v>1</x:v>
      </x:c>
      <x:c r="F118" s="7" t="n">
        <x:v>11135.82</x:v>
      </x:c>
      <x:c r="G118" s="8"/>
    </x:row>
    <x:row r="119">
      <x:c r="A119" s="6" t="n">
        <x:v>45261</x:v>
      </x:c>
      <x:c r="B119" s="5" t="str">
        <x:v>People</x:v>
      </x:c>
      <x:c r="C119" s="5" t="str">
        <x:v>General &amp; Administrative</x:v>
      </x:c>
      <x:c r="D119" s="5" t="str">
        <x:v>US West</x:v>
      </x:c>
      <x:c r="E119" s="10" t="n">
        <x:v>1.6</x:v>
      </x:c>
      <x:c r="F119" s="7" t="n">
        <x:v>17516.14</x:v>
      </x:c>
      <x:c r="G119" s="8"/>
    </x:row>
    <x:row r="120">
      <x:c r="A120" s="6" t="n">
        <x:v>45261</x:v>
      </x:c>
      <x:c r="B120" s="5" t="str">
        <x:v>Information Technology</x:v>
      </x:c>
      <x:c r="C120" s="5" t="str">
        <x:v>General &amp; Administrative</x:v>
      </x:c>
      <x:c r="D120" s="5" t="str">
        <x:v>US West</x:v>
      </x:c>
      <x:c r="E120" s="10" t="n">
        <x:v>1</x:v>
      </x:c>
      <x:c r="F120" s="7" t="n">
        <x:v>16549.78</x:v>
      </x:c>
      <x:c r="G120" s="8"/>
    </x:row>
    <x:row r="121">
      <x:c r="A121" s="6" t="n">
        <x:v>45261</x:v>
      </x:c>
      <x:c r="B121" s="5" t="str">
        <x:v>Executive</x:v>
      </x:c>
      <x:c r="C121" s="5" t="str">
        <x:v>General &amp; Administrative</x:v>
      </x:c>
      <x:c r="D121" s="5" t="str">
        <x:v>US West</x:v>
      </x:c>
      <x:c r="E121" s="10" t="n">
        <x:v>2</x:v>
      </x:c>
      <x:c r="F121" s="7" t="n">
        <x:v>70112.54</x:v>
      </x:c>
      <x:c r="G121" s="8"/>
    </x:row>
    <x:row r="122">
      <x:c r="A122" s="6" t="n">
        <x:v>45292</x:v>
      </x:c>
      <x:c r="B122" s="5" t="str">
        <x:v>Cloud Operations</x:v>
      </x:c>
      <x:c r="C122" s="5" t="str">
        <x:v>Cost of Revenue</x:v>
      </x:c>
      <x:c r="D122" s="5" t="str">
        <x:v>US West</x:v>
      </x:c>
      <x:c r="E122" s="10" t="n">
        <x:v>10</x:v>
      </x:c>
      <x:c r="F122" s="7" t="n">
        <x:v>175237.04</x:v>
      </x:c>
      <x:c r="G122" s="8"/>
    </x:row>
    <x:row r="123">
      <x:c r="A123" s="6" t="n">
        <x:v>45292</x:v>
      </x:c>
      <x:c r="B123" s="5" t="str">
        <x:v>Customer Support</x:v>
      </x:c>
      <x:c r="C123" s="5" t="str">
        <x:v>Cost of Revenue</x:v>
      </x:c>
      <x:c r="D123" s="5" t="str">
        <x:v>US West</x:v>
      </x:c>
      <x:c r="E123" s="10" t="n">
        <x:v>13</x:v>
      </x:c>
      <x:c r="F123" s="7" t="n">
        <x:v>181446.75</x:v>
      </x:c>
      <x:c r="G123" s="8"/>
    </x:row>
    <x:row r="124">
      <x:c r="A124" s="6" t="n">
        <x:v>45292</x:v>
      </x:c>
      <x:c r="B124" s="5" t="str">
        <x:v>Professional Services</x:v>
      </x:c>
      <x:c r="C124" s="5" t="str">
        <x:v>Cost of Revenue</x:v>
      </x:c>
      <x:c r="D124" s="5" t="str">
        <x:v>US West</x:v>
      </x:c>
      <x:c r="E124" s="10" t="n">
        <x:v>20</x:v>
      </x:c>
      <x:c r="F124" s="7" t="n">
        <x:v>319340.36</x:v>
      </x:c>
      <x:c r="G124" s="8" t="n">
        <x:v>0.701</x:v>
      </x:c>
    </x:row>
    <x:row r="125">
      <x:c r="A125" s="6" t="n">
        <x:v>45292</x:v>
      </x:c>
      <x:c r="B125" s="5" t="str">
        <x:v>Sales</x:v>
      </x:c>
      <x:c r="C125" s="5" t="str">
        <x:v>Sales &amp; Marketing</x:v>
      </x:c>
      <x:c r="D125" s="5" t="str">
        <x:v>US West</x:v>
      </x:c>
      <x:c r="E125" s="10" t="n">
        <x:v>17</x:v>
      </x:c>
      <x:c r="F125" s="7" t="n">
        <x:v>293809.75</x:v>
      </x:c>
      <x:c r="G125" s="8"/>
    </x:row>
    <x:row r="126">
      <x:c r="A126" s="6" t="n">
        <x:v>45292</x:v>
      </x:c>
      <x:c r="B126" s="5" t="str">
        <x:v>Marketing</x:v>
      </x:c>
      <x:c r="C126" s="5" t="str">
        <x:v>Sales &amp; Marketing</x:v>
      </x:c>
      <x:c r="D126" s="5" t="str">
        <x:v>US West</x:v>
      </x:c>
      <x:c r="E126" s="10" t="n">
        <x:v>4</x:v>
      </x:c>
      <x:c r="F126" s="7" t="n">
        <x:v>53914.79</x:v>
      </x:c>
      <x:c r="G126" s="8"/>
    </x:row>
    <x:row r="127">
      <x:c r="A127" s="6" t="n">
        <x:v>45292</x:v>
      </x:c>
      <x:c r="B127" s="5" t="str">
        <x:v>Product &amp; Engineering</x:v>
      </x:c>
      <x:c r="C127" s="5" t="str">
        <x:v>Research &amp; Development</x:v>
      </x:c>
      <x:c r="D127" s="5" t="str">
        <x:v>US West</x:v>
      </x:c>
      <x:c r="E127" s="10" t="n">
        <x:v>43</x:v>
      </x:c>
      <x:c r="F127" s="7" t="n">
        <x:v>960038.06</x:v>
      </x:c>
      <x:c r="G127" s="8"/>
    </x:row>
    <x:row r="128">
      <x:c r="A128" s="6" t="n">
        <x:v>45292</x:v>
      </x:c>
      <x:c r="B128" s="5" t="str">
        <x:v>Finance</x:v>
      </x:c>
      <x:c r="C128" s="5" t="str">
        <x:v>General &amp; Administrative</x:v>
      </x:c>
      <x:c r="D128" s="5" t="str">
        <x:v>US West</x:v>
      </x:c>
      <x:c r="E128" s="10" t="n">
        <x:v>1</x:v>
      </x:c>
      <x:c r="F128" s="7" t="n">
        <x:v>11525.58</x:v>
      </x:c>
      <x:c r="G128" s="8"/>
    </x:row>
    <x:row r="129">
      <x:c r="A129" s="6" t="n">
        <x:v>45292</x:v>
      </x:c>
      <x:c r="B129" s="5" t="str">
        <x:v>People</x:v>
      </x:c>
      <x:c r="C129" s="5" t="str">
        <x:v>General &amp; Administrative</x:v>
      </x:c>
      <x:c r="D129" s="5" t="str">
        <x:v>US West</x:v>
      </x:c>
      <x:c r="E129" s="10" t="n">
        <x:v>1.6</x:v>
      </x:c>
      <x:c r="F129" s="7" t="n">
        <x:v>18129.21</x:v>
      </x:c>
      <x:c r="G129" s="8"/>
    </x:row>
    <x:row r="130">
      <x:c r="A130" s="6" t="n">
        <x:v>45292</x:v>
      </x:c>
      <x:c r="B130" s="5" t="str">
        <x:v>Information Technology</x:v>
      </x:c>
      <x:c r="C130" s="5" t="str">
        <x:v>General &amp; Administrative</x:v>
      </x:c>
      <x:c r="D130" s="5" t="str">
        <x:v>US West</x:v>
      </x:c>
      <x:c r="E130" s="10" t="n">
        <x:v>1</x:v>
      </x:c>
      <x:c r="F130" s="7" t="n">
        <x:v>17129.02</x:v>
      </x:c>
      <x:c r="G130" s="8"/>
    </x:row>
    <x:row r="131">
      <x:c r="A131" s="6" t="n">
        <x:v>45292</x:v>
      </x:c>
      <x:c r="B131" s="5" t="str">
        <x:v>Executive</x:v>
      </x:c>
      <x:c r="C131" s="5" t="str">
        <x:v>General &amp; Administrative</x:v>
      </x:c>
      <x:c r="D131" s="5" t="str">
        <x:v>US West</x:v>
      </x:c>
      <x:c r="E131" s="10" t="n">
        <x:v>2</x:v>
      </x:c>
      <x:c r="F131" s="7" t="n">
        <x:v>72566.48</x:v>
      </x:c>
      <x:c r="G131" s="8"/>
    </x:row>
    <x:row r="132">
      <x:c r="A132" s="6" t="n">
        <x:v>45323</x:v>
      </x:c>
      <x:c r="B132" s="5" t="str">
        <x:v>Cloud Operations</x:v>
      </x:c>
      <x:c r="C132" s="5" t="str">
        <x:v>Cost of Revenue</x:v>
      </x:c>
      <x:c r="D132" s="5" t="str">
        <x:v>US West</x:v>
      </x:c>
      <x:c r="E132" s="10" t="n">
        <x:v>10</x:v>
      </x:c>
      <x:c r="F132" s="7" t="n">
        <x:v>175237.04</x:v>
      </x:c>
      <x:c r="G132" s="8"/>
    </x:row>
    <x:row r="133">
      <x:c r="A133" s="6" t="n">
        <x:v>45323</x:v>
      </x:c>
      <x:c r="B133" s="5" t="str">
        <x:v>Customer Support</x:v>
      </x:c>
      <x:c r="C133" s="5" t="str">
        <x:v>Cost of Revenue</x:v>
      </x:c>
      <x:c r="D133" s="5" t="str">
        <x:v>US West</x:v>
      </x:c>
      <x:c r="E133" s="10" t="n">
        <x:v>13</x:v>
      </x:c>
      <x:c r="F133" s="7" t="n">
        <x:v>181446.75</x:v>
      </x:c>
      <x:c r="G133" s="8"/>
    </x:row>
    <x:row r="134">
      <x:c r="A134" s="6" t="n">
        <x:v>45323</x:v>
      </x:c>
      <x:c r="B134" s="5" t="str">
        <x:v>Professional Services</x:v>
      </x:c>
      <x:c r="C134" s="5" t="str">
        <x:v>Cost of Revenue</x:v>
      </x:c>
      <x:c r="D134" s="5" t="str">
        <x:v>US West</x:v>
      </x:c>
      <x:c r="E134" s="10" t="n">
        <x:v>20</x:v>
      </x:c>
      <x:c r="F134" s="7" t="n">
        <x:v>319340.36</x:v>
      </x:c>
      <x:c r="G134" s="8" t="n">
        <x:v>0.726</x:v>
      </x:c>
    </x:row>
    <x:row r="135">
      <x:c r="A135" s="6" t="n">
        <x:v>45323</x:v>
      </x:c>
      <x:c r="B135" s="5" t="str">
        <x:v>Sales</x:v>
      </x:c>
      <x:c r="C135" s="5" t="str">
        <x:v>Sales &amp; Marketing</x:v>
      </x:c>
      <x:c r="D135" s="5" t="str">
        <x:v>US West</x:v>
      </x:c>
      <x:c r="E135" s="10" t="n">
        <x:v>17</x:v>
      </x:c>
      <x:c r="F135" s="7" t="n">
        <x:v>293809.75</x:v>
      </x:c>
      <x:c r="G135" s="8"/>
    </x:row>
    <x:row r="136">
      <x:c r="A136" s="6" t="n">
        <x:v>45323</x:v>
      </x:c>
      <x:c r="B136" s="5" t="str">
        <x:v>Marketing</x:v>
      </x:c>
      <x:c r="C136" s="5" t="str">
        <x:v>Sales &amp; Marketing</x:v>
      </x:c>
      <x:c r="D136" s="5" t="str">
        <x:v>US West</x:v>
      </x:c>
      <x:c r="E136" s="10" t="n">
        <x:v>4</x:v>
      </x:c>
      <x:c r="F136" s="7" t="n">
        <x:v>53914.79</x:v>
      </x:c>
      <x:c r="G136" s="8"/>
    </x:row>
    <x:row r="137">
      <x:c r="A137" s="6" t="n">
        <x:v>45323</x:v>
      </x:c>
      <x:c r="B137" s="5" t="str">
        <x:v>Product &amp; Engineering</x:v>
      </x:c>
      <x:c r="C137" s="5" t="str">
        <x:v>Research &amp; Development</x:v>
      </x:c>
      <x:c r="D137" s="5" t="str">
        <x:v>US West</x:v>
      </x:c>
      <x:c r="E137" s="10" t="n">
        <x:v>45</x:v>
      </x:c>
      <x:c r="F137" s="7" t="n">
        <x:v>1018003.93</x:v>
      </x:c>
      <x:c r="G137" s="8"/>
    </x:row>
    <x:row r="138">
      <x:c r="A138" s="6" t="n">
        <x:v>45323</x:v>
      </x:c>
      <x:c r="B138" s="5" t="str">
        <x:v>Finance</x:v>
      </x:c>
      <x:c r="C138" s="5" t="str">
        <x:v>General &amp; Administrative</x:v>
      </x:c>
      <x:c r="D138" s="5" t="str">
        <x:v>US West</x:v>
      </x:c>
      <x:c r="E138" s="10" t="n">
        <x:v>1</x:v>
      </x:c>
      <x:c r="F138" s="7" t="n">
        <x:v>11525.58</x:v>
      </x:c>
      <x:c r="G138" s="8"/>
    </x:row>
    <x:row r="139">
      <x:c r="A139" s="6" t="n">
        <x:v>45323</x:v>
      </x:c>
      <x:c r="B139" s="5" t="str">
        <x:v>People</x:v>
      </x:c>
      <x:c r="C139" s="5" t="str">
        <x:v>General &amp; Administrative</x:v>
      </x:c>
      <x:c r="D139" s="5" t="str">
        <x:v>US West</x:v>
      </x:c>
      <x:c r="E139" s="10" t="n">
        <x:v>1.6</x:v>
      </x:c>
      <x:c r="F139" s="7" t="n">
        <x:v>18129.21</x:v>
      </x:c>
      <x:c r="G139" s="8"/>
    </x:row>
    <x:row r="140">
      <x:c r="A140" s="6" t="n">
        <x:v>45323</x:v>
      </x:c>
      <x:c r="B140" s="5" t="str">
        <x:v>Information Technology</x:v>
      </x:c>
      <x:c r="C140" s="5" t="str">
        <x:v>General &amp; Administrative</x:v>
      </x:c>
      <x:c r="D140" s="5" t="str">
        <x:v>US West</x:v>
      </x:c>
      <x:c r="E140" s="10" t="n">
        <x:v>1</x:v>
      </x:c>
      <x:c r="F140" s="7" t="n">
        <x:v>17129.02</x:v>
      </x:c>
      <x:c r="G140" s="8"/>
    </x:row>
    <x:row r="141">
      <x:c r="A141" s="6" t="n">
        <x:v>45323</x:v>
      </x:c>
      <x:c r="B141" s="5" t="str">
        <x:v>Executive</x:v>
      </x:c>
      <x:c r="C141" s="5" t="str">
        <x:v>General &amp; Administrative</x:v>
      </x:c>
      <x:c r="D141" s="5" t="str">
        <x:v>US West</x:v>
      </x:c>
      <x:c r="E141" s="10" t="n">
        <x:v>2</x:v>
      </x:c>
      <x:c r="F141" s="7" t="n">
        <x:v>72566.48</x:v>
      </x:c>
      <x:c r="G141" s="8"/>
    </x:row>
    <x:row r="142">
      <x:c r="A142" s="6" t="n">
        <x:v>45352</x:v>
      </x:c>
      <x:c r="B142" s="5" t="str">
        <x:v>Cloud Operations</x:v>
      </x:c>
      <x:c r="C142" s="5" t="str">
        <x:v>Cost of Revenue</x:v>
      </x:c>
      <x:c r="D142" s="5" t="str">
        <x:v>US West</x:v>
      </x:c>
      <x:c r="E142" s="10" t="n">
        <x:v>10</x:v>
      </x:c>
      <x:c r="F142" s="7" t="n">
        <x:v>175237.04</x:v>
      </x:c>
      <x:c r="G142" s="8"/>
    </x:row>
    <x:row r="143">
      <x:c r="A143" s="6" t="n">
        <x:v>45352</x:v>
      </x:c>
      <x:c r="B143" s="5" t="str">
        <x:v>Customer Support</x:v>
      </x:c>
      <x:c r="C143" s="5" t="str">
        <x:v>Cost of Revenue</x:v>
      </x:c>
      <x:c r="D143" s="5" t="str">
        <x:v>US West</x:v>
      </x:c>
      <x:c r="E143" s="10" t="n">
        <x:v>13</x:v>
      </x:c>
      <x:c r="F143" s="7" t="n">
        <x:v>181446.75</x:v>
      </x:c>
      <x:c r="G143" s="8"/>
    </x:row>
    <x:row r="144">
      <x:c r="A144" s="6" t="n">
        <x:v>45352</x:v>
      </x:c>
      <x:c r="B144" s="5" t="str">
        <x:v>Professional Services</x:v>
      </x:c>
      <x:c r="C144" s="5" t="str">
        <x:v>Cost of Revenue</x:v>
      </x:c>
      <x:c r="D144" s="5" t="str">
        <x:v>US West</x:v>
      </x:c>
      <x:c r="E144" s="10" t="n">
        <x:v>20</x:v>
      </x:c>
      <x:c r="F144" s="7" t="n">
        <x:v>319340.36</x:v>
      </x:c>
      <x:c r="G144" s="8" t="n">
        <x:v>0.7543</x:v>
      </x:c>
    </x:row>
    <x:row r="145">
      <x:c r="A145" s="6" t="n">
        <x:v>45352</x:v>
      </x:c>
      <x:c r="B145" s="5" t="str">
        <x:v>Sales</x:v>
      </x:c>
      <x:c r="C145" s="5" t="str">
        <x:v>Sales &amp; Marketing</x:v>
      </x:c>
      <x:c r="D145" s="5" t="str">
        <x:v>US West</x:v>
      </x:c>
      <x:c r="E145" s="10" t="n">
        <x:v>17</x:v>
      </x:c>
      <x:c r="F145" s="7" t="n">
        <x:v>293809.75</x:v>
      </x:c>
      <x:c r="G145" s="8"/>
    </x:row>
    <x:row r="146">
      <x:c r="A146" s="6" t="n">
        <x:v>45352</x:v>
      </x:c>
      <x:c r="B146" s="5" t="str">
        <x:v>Marketing</x:v>
      </x:c>
      <x:c r="C146" s="5" t="str">
        <x:v>Sales &amp; Marketing</x:v>
      </x:c>
      <x:c r="D146" s="5" t="str">
        <x:v>US West</x:v>
      </x:c>
      <x:c r="E146" s="10" t="n">
        <x:v>4</x:v>
      </x:c>
      <x:c r="F146" s="7" t="n">
        <x:v>53914.79</x:v>
      </x:c>
      <x:c r="G146" s="8"/>
    </x:row>
    <x:row r="147">
      <x:c r="A147" s="6" t="n">
        <x:v>45352</x:v>
      </x:c>
      <x:c r="B147" s="5" t="str">
        <x:v>Product &amp; Engineering</x:v>
      </x:c>
      <x:c r="C147" s="5" t="str">
        <x:v>Research &amp; Development</x:v>
      </x:c>
      <x:c r="D147" s="5" t="str">
        <x:v>US West</x:v>
      </x:c>
      <x:c r="E147" s="10" t="n">
        <x:v>46</x:v>
      </x:c>
      <x:c r="F147" s="7" t="n">
        <x:v>1038624.53</x:v>
      </x:c>
      <x:c r="G147" s="8"/>
    </x:row>
    <x:row r="148">
      <x:c r="A148" s="6" t="n">
        <x:v>45352</x:v>
      </x:c>
      <x:c r="B148" s="5" t="str">
        <x:v>Finance</x:v>
      </x:c>
      <x:c r="C148" s="5" t="str">
        <x:v>General &amp; Administrative</x:v>
      </x:c>
      <x:c r="D148" s="5" t="str">
        <x:v>US West</x:v>
      </x:c>
      <x:c r="E148" s="10" t="n">
        <x:v>1</x:v>
      </x:c>
      <x:c r="F148" s="7" t="n">
        <x:v>11525.58</x:v>
      </x:c>
      <x:c r="G148" s="8"/>
    </x:row>
    <x:row r="149">
      <x:c r="A149" s="6" t="n">
        <x:v>45352</x:v>
      </x:c>
      <x:c r="B149" s="5" t="str">
        <x:v>People</x:v>
      </x:c>
      <x:c r="C149" s="5" t="str">
        <x:v>General &amp; Administrative</x:v>
      </x:c>
      <x:c r="D149" s="5" t="str">
        <x:v>US West</x:v>
      </x:c>
      <x:c r="E149" s="10" t="n">
        <x:v>1.6</x:v>
      </x:c>
      <x:c r="F149" s="7" t="n">
        <x:v>18129.21</x:v>
      </x:c>
      <x:c r="G149" s="8"/>
    </x:row>
    <x:row r="150">
      <x:c r="A150" s="6" t="n">
        <x:v>45352</x:v>
      </x:c>
      <x:c r="B150" s="5" t="str">
        <x:v>Information Technology</x:v>
      </x:c>
      <x:c r="C150" s="5" t="str">
        <x:v>General &amp; Administrative</x:v>
      </x:c>
      <x:c r="D150" s="5" t="str">
        <x:v>US West</x:v>
      </x:c>
      <x:c r="E150" s="10" t="n">
        <x:v>1</x:v>
      </x:c>
      <x:c r="F150" s="7" t="n">
        <x:v>17129.02</x:v>
      </x:c>
      <x:c r="G150" s="8"/>
    </x:row>
    <x:row r="151">
      <x:c r="A151" s="6" t="n">
        <x:v>45352</x:v>
      </x:c>
      <x:c r="B151" s="5" t="str">
        <x:v>Executive</x:v>
      </x:c>
      <x:c r="C151" s="5" t="str">
        <x:v>General &amp; Administrative</x:v>
      </x:c>
      <x:c r="D151" s="5" t="str">
        <x:v>US West</x:v>
      </x:c>
      <x:c r="E151" s="10" t="n">
        <x:v>2</x:v>
      </x:c>
      <x:c r="F151" s="7" t="n">
        <x:v>72566.48</x:v>
      </x:c>
      <x:c r="G151" s="8"/>
    </x:row>
    <x:row r="152">
      <x:c r="A152" s="6" t="n">
        <x:v>45383</x:v>
      </x:c>
      <x:c r="B152" s="5" t="str">
        <x:v>Cloud Operations</x:v>
      </x:c>
      <x:c r="C152" s="5" t="str">
        <x:v>Cost of Revenue</x:v>
      </x:c>
      <x:c r="D152" s="5" t="str">
        <x:v>US West</x:v>
      </x:c>
      <x:c r="E152" s="10" t="n">
        <x:v>10</x:v>
      </x:c>
      <x:c r="F152" s="7" t="n">
        <x:v>175237.04</x:v>
      </x:c>
      <x:c r="G152" s="8"/>
    </x:row>
    <x:row r="153">
      <x:c r="A153" s="6" t="n">
        <x:v>45383</x:v>
      </x:c>
      <x:c r="B153" s="5" t="str">
        <x:v>Customer Support</x:v>
      </x:c>
      <x:c r="C153" s="5" t="str">
        <x:v>Cost of Revenue</x:v>
      </x:c>
      <x:c r="D153" s="5" t="str">
        <x:v>US West</x:v>
      </x:c>
      <x:c r="E153" s="10" t="n">
        <x:v>13</x:v>
      </x:c>
      <x:c r="F153" s="7" t="n">
        <x:v>181446.75</x:v>
      </x:c>
      <x:c r="G153" s="8"/>
    </x:row>
    <x:row r="154">
      <x:c r="A154" s="6" t="n">
        <x:v>45383</x:v>
      </x:c>
      <x:c r="B154" s="5" t="str">
        <x:v>Professional Services</x:v>
      </x:c>
      <x:c r="C154" s="5" t="str">
        <x:v>Cost of Revenue</x:v>
      </x:c>
      <x:c r="D154" s="5" t="str">
        <x:v>US West</x:v>
      </x:c>
      <x:c r="E154" s="10" t="n">
        <x:v>20</x:v>
      </x:c>
      <x:c r="F154" s="7" t="n">
        <x:v>319340.36</x:v>
      </x:c>
      <x:c r="G154" s="8" t="n">
        <x:v>0.7542</x:v>
      </x:c>
    </x:row>
    <x:row r="155">
      <x:c r="A155" s="6" t="n">
        <x:v>45383</x:v>
      </x:c>
      <x:c r="B155" s="5" t="str">
        <x:v>Sales</x:v>
      </x:c>
      <x:c r="C155" s="5" t="str">
        <x:v>Sales &amp; Marketing</x:v>
      </x:c>
      <x:c r="D155" s="5" t="str">
        <x:v>US West</x:v>
      </x:c>
      <x:c r="E155" s="10" t="n">
        <x:v>18</x:v>
      </x:c>
      <x:c r="F155" s="7" t="n">
        <x:v>308079.47</x:v>
      </x:c>
      <x:c r="G155" s="8"/>
    </x:row>
    <x:row r="156">
      <x:c r="A156" s="6" t="n">
        <x:v>45383</x:v>
      </x:c>
      <x:c r="B156" s="5" t="str">
        <x:v>Marketing</x:v>
      </x:c>
      <x:c r="C156" s="5" t="str">
        <x:v>Sales &amp; Marketing</x:v>
      </x:c>
      <x:c r="D156" s="5" t="str">
        <x:v>US West</x:v>
      </x:c>
      <x:c r="E156" s="10" t="n">
        <x:v>4</x:v>
      </x:c>
      <x:c r="F156" s="7" t="n">
        <x:v>53914.79</x:v>
      </x:c>
      <x:c r="G156" s="8"/>
    </x:row>
    <x:row r="157">
      <x:c r="A157" s="6" t="n">
        <x:v>45383</x:v>
      </x:c>
      <x:c r="B157" s="5" t="str">
        <x:v>Product &amp; Engineering</x:v>
      </x:c>
      <x:c r="C157" s="5" t="str">
        <x:v>Research &amp; Development</x:v>
      </x:c>
      <x:c r="D157" s="5" t="str">
        <x:v>US West</x:v>
      </x:c>
      <x:c r="E157" s="10" t="n">
        <x:v>47</x:v>
      </x:c>
      <x:c r="F157" s="7" t="n">
        <x:v>1054074.56</x:v>
      </x:c>
      <x:c r="G157" s="8"/>
    </x:row>
    <x:row r="158">
      <x:c r="A158" s="6" t="n">
        <x:v>45383</x:v>
      </x:c>
      <x:c r="B158" s="5" t="str">
        <x:v>Finance</x:v>
      </x:c>
      <x:c r="C158" s="5" t="str">
        <x:v>General &amp; Administrative</x:v>
      </x:c>
      <x:c r="D158" s="5" t="str">
        <x:v>US West</x:v>
      </x:c>
      <x:c r="E158" s="10" t="n">
        <x:v>1</x:v>
      </x:c>
      <x:c r="F158" s="7" t="n">
        <x:v>11525.58</x:v>
      </x:c>
      <x:c r="G158" s="8"/>
    </x:row>
    <x:row r="159">
      <x:c r="A159" s="6" t="n">
        <x:v>45383</x:v>
      </x:c>
      <x:c r="B159" s="5" t="str">
        <x:v>People</x:v>
      </x:c>
      <x:c r="C159" s="5" t="str">
        <x:v>General &amp; Administrative</x:v>
      </x:c>
      <x:c r="D159" s="5" t="str">
        <x:v>US West</x:v>
      </x:c>
      <x:c r="E159" s="10" t="n">
        <x:v>1.6</x:v>
      </x:c>
      <x:c r="F159" s="7" t="n">
        <x:v>18129.21</x:v>
      </x:c>
      <x:c r="G159" s="8"/>
    </x:row>
    <x:row r="160">
      <x:c r="A160" s="6" t="n">
        <x:v>45383</x:v>
      </x:c>
      <x:c r="B160" s="5" t="str">
        <x:v>Information Technology</x:v>
      </x:c>
      <x:c r="C160" s="5" t="str">
        <x:v>General &amp; Administrative</x:v>
      </x:c>
      <x:c r="D160" s="5" t="str">
        <x:v>US West</x:v>
      </x:c>
      <x:c r="E160" s="10" t="n">
        <x:v>1</x:v>
      </x:c>
      <x:c r="F160" s="7" t="n">
        <x:v>17129.02</x:v>
      </x:c>
      <x:c r="G160" s="8"/>
    </x:row>
    <x:row r="161">
      <x:c r="A161" s="6" t="n">
        <x:v>45383</x:v>
      </x:c>
      <x:c r="B161" s="5" t="str">
        <x:v>Executive</x:v>
      </x:c>
      <x:c r="C161" s="5" t="str">
        <x:v>General &amp; Administrative</x:v>
      </x:c>
      <x:c r="D161" s="5" t="str">
        <x:v>US West</x:v>
      </x:c>
      <x:c r="E161" s="10" t="n">
        <x:v>2</x:v>
      </x:c>
      <x:c r="F161" s="7" t="n">
        <x:v>72566.48</x:v>
      </x:c>
      <x:c r="G161" s="8"/>
    </x:row>
    <x:row r="162">
      <x:c r="A162" s="6" t="n">
        <x:v>45413</x:v>
      </x:c>
      <x:c r="B162" s="5" t="str">
        <x:v>Cloud Operations</x:v>
      </x:c>
      <x:c r="C162" s="5" t="str">
        <x:v>Cost of Revenue</x:v>
      </x:c>
      <x:c r="D162" s="5" t="str">
        <x:v>US West</x:v>
      </x:c>
      <x:c r="E162" s="10" t="n">
        <x:v>10</x:v>
      </x:c>
      <x:c r="F162" s="7" t="n">
        <x:v>175237.04</x:v>
      </x:c>
      <x:c r="G162" s="8"/>
    </x:row>
    <x:row r="163">
      <x:c r="A163" s="6" t="n">
        <x:v>45413</x:v>
      </x:c>
      <x:c r="B163" s="5" t="str">
        <x:v>Customer Support</x:v>
      </x:c>
      <x:c r="C163" s="5" t="str">
        <x:v>Cost of Revenue</x:v>
      </x:c>
      <x:c r="D163" s="5" t="str">
        <x:v>US West</x:v>
      </x:c>
      <x:c r="E163" s="10" t="n">
        <x:v>13</x:v>
      </x:c>
      <x:c r="F163" s="7" t="n">
        <x:v>181446.75</x:v>
      </x:c>
      <x:c r="G163" s="8"/>
    </x:row>
    <x:row r="164">
      <x:c r="A164" s="6" t="n">
        <x:v>45413</x:v>
      </x:c>
      <x:c r="B164" s="5" t="str">
        <x:v>Professional Services</x:v>
      </x:c>
      <x:c r="C164" s="5" t="str">
        <x:v>Cost of Revenue</x:v>
      </x:c>
      <x:c r="D164" s="5" t="str">
        <x:v>US West</x:v>
      </x:c>
      <x:c r="E164" s="10" t="n">
        <x:v>20</x:v>
      </x:c>
      <x:c r="F164" s="7" t="n">
        <x:v>319340.36</x:v>
      </x:c>
      <x:c r="G164" s="8" t="n">
        <x:v>0.7526</x:v>
      </x:c>
    </x:row>
    <x:row r="165">
      <x:c r="A165" s="6" t="n">
        <x:v>45413</x:v>
      </x:c>
      <x:c r="B165" s="5" t="str">
        <x:v>Sales</x:v>
      </x:c>
      <x:c r="C165" s="5" t="str">
        <x:v>Sales &amp; Marketing</x:v>
      </x:c>
      <x:c r="D165" s="5" t="str">
        <x:v>US West</x:v>
      </x:c>
      <x:c r="E165" s="10" t="n">
        <x:v>18</x:v>
      </x:c>
      <x:c r="F165" s="7" t="n">
        <x:v>308079.47</x:v>
      </x:c>
      <x:c r="G165" s="8"/>
    </x:row>
    <x:row r="166">
      <x:c r="A166" s="6" t="n">
        <x:v>45413</x:v>
      </x:c>
      <x:c r="B166" s="5" t="str">
        <x:v>Marketing</x:v>
      </x:c>
      <x:c r="C166" s="5" t="str">
        <x:v>Sales &amp; Marketing</x:v>
      </x:c>
      <x:c r="D166" s="5" t="str">
        <x:v>US West</x:v>
      </x:c>
      <x:c r="E166" s="10" t="n">
        <x:v>4</x:v>
      </x:c>
      <x:c r="F166" s="7" t="n">
        <x:v>53914.79</x:v>
      </x:c>
      <x:c r="G166" s="8"/>
    </x:row>
    <x:row r="167">
      <x:c r="A167" s="6" t="n">
        <x:v>45413</x:v>
      </x:c>
      <x:c r="B167" s="5" t="str">
        <x:v>Product &amp; Engineering</x:v>
      </x:c>
      <x:c r="C167" s="5" t="str">
        <x:v>Research &amp; Development</x:v>
      </x:c>
      <x:c r="D167" s="5" t="str">
        <x:v>US West</x:v>
      </x:c>
      <x:c r="E167" s="10" t="n">
        <x:v>47</x:v>
      </x:c>
      <x:c r="F167" s="7" t="n">
        <x:v>1054074.56</x:v>
      </x:c>
      <x:c r="G167" s="8"/>
    </x:row>
    <x:row r="168">
      <x:c r="A168" s="6" t="n">
        <x:v>45413</x:v>
      </x:c>
      <x:c r="B168" s="5" t="str">
        <x:v>Finance</x:v>
      </x:c>
      <x:c r="C168" s="5" t="str">
        <x:v>General &amp; Administrative</x:v>
      </x:c>
      <x:c r="D168" s="5" t="str">
        <x:v>US West</x:v>
      </x:c>
      <x:c r="E168" s="10" t="n">
        <x:v>1</x:v>
      </x:c>
      <x:c r="F168" s="7" t="n">
        <x:v>11525.58</x:v>
      </x:c>
      <x:c r="G168" s="8"/>
    </x:row>
    <x:row r="169">
      <x:c r="A169" s="6" t="n">
        <x:v>45413</x:v>
      </x:c>
      <x:c r="B169" s="5" t="str">
        <x:v>People</x:v>
      </x:c>
      <x:c r="C169" s="5" t="str">
        <x:v>General &amp; Administrative</x:v>
      </x:c>
      <x:c r="D169" s="5" t="str">
        <x:v>US West</x:v>
      </x:c>
      <x:c r="E169" s="10" t="n">
        <x:v>1.6</x:v>
      </x:c>
      <x:c r="F169" s="7" t="n">
        <x:v>18129.21</x:v>
      </x:c>
      <x:c r="G169" s="8"/>
    </x:row>
    <x:row r="170">
      <x:c r="A170" s="6" t="n">
        <x:v>45413</x:v>
      </x:c>
      <x:c r="B170" s="5" t="str">
        <x:v>Information Technology</x:v>
      </x:c>
      <x:c r="C170" s="5" t="str">
        <x:v>General &amp; Administrative</x:v>
      </x:c>
      <x:c r="D170" s="5" t="str">
        <x:v>US West</x:v>
      </x:c>
      <x:c r="E170" s="10" t="n">
        <x:v>1</x:v>
      </x:c>
      <x:c r="F170" s="7" t="n">
        <x:v>17129.02</x:v>
      </x:c>
      <x:c r="G170" s="8"/>
    </x:row>
    <x:row r="171">
      <x:c r="A171" s="6" t="n">
        <x:v>45413</x:v>
      </x:c>
      <x:c r="B171" s="5" t="str">
        <x:v>Executive</x:v>
      </x:c>
      <x:c r="C171" s="5" t="str">
        <x:v>General &amp; Administrative</x:v>
      </x:c>
      <x:c r="D171" s="5" t="str">
        <x:v>US West</x:v>
      </x:c>
      <x:c r="E171" s="10" t="n">
        <x:v>2</x:v>
      </x:c>
      <x:c r="F171" s="7" t="n">
        <x:v>72566.48</x:v>
      </x:c>
      <x:c r="G171" s="8"/>
    </x:row>
    <x:row r="172">
      <x:c r="A172" s="6" t="n">
        <x:v>45444</x:v>
      </x:c>
      <x:c r="B172" s="5" t="str">
        <x:v>Cloud Operations</x:v>
      </x:c>
      <x:c r="C172" s="5" t="str">
        <x:v>Cost of Revenue</x:v>
      </x:c>
      <x:c r="D172" s="5" t="str">
        <x:v>US West</x:v>
      </x:c>
      <x:c r="E172" s="10" t="n">
        <x:v>10</x:v>
      </x:c>
      <x:c r="F172" s="7" t="n">
        <x:v>175237.04</x:v>
      </x:c>
      <x:c r="G172" s="8"/>
    </x:row>
    <x:row r="173">
      <x:c r="A173" s="6" t="n">
        <x:v>45444</x:v>
      </x:c>
      <x:c r="B173" s="5" t="str">
        <x:v>Customer Support</x:v>
      </x:c>
      <x:c r="C173" s="5" t="str">
        <x:v>Cost of Revenue</x:v>
      </x:c>
      <x:c r="D173" s="5" t="str">
        <x:v>US West</x:v>
      </x:c>
      <x:c r="E173" s="10" t="n">
        <x:v>13</x:v>
      </x:c>
      <x:c r="F173" s="7" t="n">
        <x:v>181446.75</x:v>
      </x:c>
      <x:c r="G173" s="8"/>
    </x:row>
    <x:row r="174">
      <x:c r="A174" s="6" t="n">
        <x:v>45444</x:v>
      </x:c>
      <x:c r="B174" s="5" t="str">
        <x:v>Professional Services</x:v>
      </x:c>
      <x:c r="C174" s="5" t="str">
        <x:v>Cost of Revenue</x:v>
      </x:c>
      <x:c r="D174" s="5" t="str">
        <x:v>US West</x:v>
      </x:c>
      <x:c r="E174" s="10" t="n">
        <x:v>20</x:v>
      </x:c>
      <x:c r="F174" s="7" t="n">
        <x:v>319340.36</x:v>
      </x:c>
      <x:c r="G174" s="8" t="n">
        <x:v>0.7692</x:v>
      </x:c>
    </x:row>
    <x:row r="175">
      <x:c r="A175" s="6" t="n">
        <x:v>45444</x:v>
      </x:c>
      <x:c r="B175" s="5" t="str">
        <x:v>Sales</x:v>
      </x:c>
      <x:c r="C175" s="5" t="str">
        <x:v>Sales &amp; Marketing</x:v>
      </x:c>
      <x:c r="D175" s="5" t="str">
        <x:v>US West</x:v>
      </x:c>
      <x:c r="E175" s="10" t="n">
        <x:v>18</x:v>
      </x:c>
      <x:c r="F175" s="7" t="n">
        <x:v>308079.47</x:v>
      </x:c>
      <x:c r="G175" s="8"/>
    </x:row>
    <x:row r="176">
      <x:c r="A176" s="6" t="n">
        <x:v>45444</x:v>
      </x:c>
      <x:c r="B176" s="5" t="str">
        <x:v>Marketing</x:v>
      </x:c>
      <x:c r="C176" s="5" t="str">
        <x:v>Sales &amp; Marketing</x:v>
      </x:c>
      <x:c r="D176" s="5" t="str">
        <x:v>US West</x:v>
      </x:c>
      <x:c r="E176" s="10" t="n">
        <x:v>4</x:v>
      </x:c>
      <x:c r="F176" s="7" t="n">
        <x:v>53914.79</x:v>
      </x:c>
      <x:c r="G176" s="8"/>
    </x:row>
    <x:row r="177">
      <x:c r="A177" s="6" t="n">
        <x:v>45444</x:v>
      </x:c>
      <x:c r="B177" s="5" t="str">
        <x:v>Product &amp; Engineering</x:v>
      </x:c>
      <x:c r="C177" s="5" t="str">
        <x:v>Research &amp; Development</x:v>
      </x:c>
      <x:c r="D177" s="5" t="str">
        <x:v>US West</x:v>
      </x:c>
      <x:c r="E177" s="10" t="n">
        <x:v>46</x:v>
      </x:c>
      <x:c r="F177" s="7" t="n">
        <x:v>1025115.98</x:v>
      </x:c>
      <x:c r="G177" s="8"/>
    </x:row>
    <x:row r="178">
      <x:c r="A178" s="6" t="n">
        <x:v>45444</x:v>
      </x:c>
      <x:c r="B178" s="5" t="str">
        <x:v>Finance</x:v>
      </x:c>
      <x:c r="C178" s="5" t="str">
        <x:v>General &amp; Administrative</x:v>
      </x:c>
      <x:c r="D178" s="5" t="str">
        <x:v>US West</x:v>
      </x:c>
      <x:c r="E178" s="10" t="n">
        <x:v>1</x:v>
      </x:c>
      <x:c r="F178" s="7" t="n">
        <x:v>11525.58</x:v>
      </x:c>
      <x:c r="G178" s="8"/>
    </x:row>
    <x:row r="179">
      <x:c r="A179" s="6" t="n">
        <x:v>45444</x:v>
      </x:c>
      <x:c r="B179" s="5" t="str">
        <x:v>People</x:v>
      </x:c>
      <x:c r="C179" s="5" t="str">
        <x:v>General &amp; Administrative</x:v>
      </x:c>
      <x:c r="D179" s="5" t="str">
        <x:v>US West</x:v>
      </x:c>
      <x:c r="E179" s="10" t="n">
        <x:v>1.6</x:v>
      </x:c>
      <x:c r="F179" s="7" t="n">
        <x:v>18129.21</x:v>
      </x:c>
      <x:c r="G179" s="8"/>
    </x:row>
    <x:row r="180">
      <x:c r="A180" s="6" t="n">
        <x:v>45444</x:v>
      </x:c>
      <x:c r="B180" s="5" t="str">
        <x:v>Information Technology</x:v>
      </x:c>
      <x:c r="C180" s="5" t="str">
        <x:v>General &amp; Administrative</x:v>
      </x:c>
      <x:c r="D180" s="5" t="str">
        <x:v>US West</x:v>
      </x:c>
      <x:c r="E180" s="10" t="n">
        <x:v>1</x:v>
      </x:c>
      <x:c r="F180" s="7" t="n">
        <x:v>17129.02</x:v>
      </x:c>
      <x:c r="G180" s="8"/>
    </x:row>
    <x:row r="181">
      <x:c r="A181" s="6" t="n">
        <x:v>45444</x:v>
      </x:c>
      <x:c r="B181" s="5" t="str">
        <x:v>Executive</x:v>
      </x:c>
      <x:c r="C181" s="5" t="str">
        <x:v>General &amp; Administrative</x:v>
      </x:c>
      <x:c r="D181" s="5" t="str">
        <x:v>US West</x:v>
      </x:c>
      <x:c r="E181" s="10" t="n">
        <x:v>2</x:v>
      </x:c>
      <x:c r="F181" s="7" t="n">
        <x:v>72566.48</x:v>
      </x:c>
      <x:c r="G181" s="8"/>
    </x:row>
    <x:row r="182">
      <x:c r="A182" s="6" t="n">
        <x:v>45474</x:v>
      </x:c>
      <x:c r="B182" s="5" t="str">
        <x:v>Cloud Operations</x:v>
      </x:c>
      <x:c r="C182" s="5" t="str">
        <x:v>Cost of Revenue</x:v>
      </x:c>
      <x:c r="D182" s="5" t="str">
        <x:v>US West</x:v>
      </x:c>
      <x:c r="E182" s="10" t="n">
        <x:v>10</x:v>
      </x:c>
      <x:c r="F182" s="7" t="n">
        <x:v>175237.04</x:v>
      </x:c>
      <x:c r="G182" s="8"/>
    </x:row>
    <x:row r="183">
      <x:c r="A183" s="6" t="n">
        <x:v>45474</x:v>
      </x:c>
      <x:c r="B183" s="5" t="str">
        <x:v>Customer Support</x:v>
      </x:c>
      <x:c r="C183" s="5" t="str">
        <x:v>Cost of Revenue</x:v>
      </x:c>
      <x:c r="D183" s="5" t="str">
        <x:v>US West</x:v>
      </x:c>
      <x:c r="E183" s="10" t="n">
        <x:v>13</x:v>
      </x:c>
      <x:c r="F183" s="7" t="n">
        <x:v>181446.75</x:v>
      </x:c>
      <x:c r="G183" s="8"/>
    </x:row>
    <x:row r="184">
      <x:c r="A184" s="6" t="n">
        <x:v>45474</x:v>
      </x:c>
      <x:c r="B184" s="5" t="str">
        <x:v>Professional Services</x:v>
      </x:c>
      <x:c r="C184" s="5" t="str">
        <x:v>Cost of Revenue</x:v>
      </x:c>
      <x:c r="D184" s="5" t="str">
        <x:v>US West</x:v>
      </x:c>
      <x:c r="E184" s="10" t="n">
        <x:v>20</x:v>
      </x:c>
      <x:c r="F184" s="7" t="n">
        <x:v>319340.36</x:v>
      </x:c>
      <x:c r="G184" s="8" t="n">
        <x:v>0.7589</x:v>
      </x:c>
    </x:row>
    <x:row r="185">
      <x:c r="A185" s="6" t="n">
        <x:v>45474</x:v>
      </x:c>
      <x:c r="B185" s="5" t="str">
        <x:v>Sales</x:v>
      </x:c>
      <x:c r="C185" s="5" t="str">
        <x:v>Sales &amp; Marketing</x:v>
      </x:c>
      <x:c r="D185" s="5" t="str">
        <x:v>US West</x:v>
      </x:c>
      <x:c r="E185" s="10" t="n">
        <x:v>18</x:v>
      </x:c>
      <x:c r="F185" s="7" t="n">
        <x:v>308079.47</x:v>
      </x:c>
      <x:c r="G185" s="8"/>
    </x:row>
    <x:row r="186">
      <x:c r="A186" s="6" t="n">
        <x:v>45474</x:v>
      </x:c>
      <x:c r="B186" s="5" t="str">
        <x:v>Marketing</x:v>
      </x:c>
      <x:c r="C186" s="5" t="str">
        <x:v>Sales &amp; Marketing</x:v>
      </x:c>
      <x:c r="D186" s="5" t="str">
        <x:v>US West</x:v>
      </x:c>
      <x:c r="E186" s="10" t="n">
        <x:v>5</x:v>
      </x:c>
      <x:c r="F186" s="7" t="n">
        <x:v>67610.14</x:v>
      </x:c>
      <x:c r="G186" s="8"/>
    </x:row>
    <x:row r="187">
      <x:c r="A187" s="6" t="n">
        <x:v>45474</x:v>
      </x:c>
      <x:c r="B187" s="5" t="str">
        <x:v>Product &amp; Engineering</x:v>
      </x:c>
      <x:c r="C187" s="5" t="str">
        <x:v>Research &amp; Development</x:v>
      </x:c>
      <x:c r="D187" s="5" t="str">
        <x:v>US West</x:v>
      </x:c>
      <x:c r="E187" s="10" t="n">
        <x:v>47</x:v>
      </x:c>
      <x:c r="F187" s="7" t="n">
        <x:v>1044789.2</x:v>
      </x:c>
      <x:c r="G187" s="8"/>
    </x:row>
    <x:row r="188">
      <x:c r="A188" s="6" t="n">
        <x:v>45474</x:v>
      </x:c>
      <x:c r="B188" s="5" t="str">
        <x:v>Finance</x:v>
      </x:c>
      <x:c r="C188" s="5" t="str">
        <x:v>General &amp; Administrative</x:v>
      </x:c>
      <x:c r="D188" s="5" t="str">
        <x:v>US West</x:v>
      </x:c>
      <x:c r="E188" s="10" t="n">
        <x:v>2</x:v>
      </x:c>
      <x:c r="F188" s="7" t="n">
        <x:v>25724.95</x:v>
      </x:c>
      <x:c r="G188" s="8"/>
    </x:row>
    <x:row r="189">
      <x:c r="A189" s="6" t="n">
        <x:v>45474</x:v>
      </x:c>
      <x:c r="B189" s="5" t="str">
        <x:v>People</x:v>
      </x:c>
      <x:c r="C189" s="5" t="str">
        <x:v>General &amp; Administrative</x:v>
      </x:c>
      <x:c r="D189" s="5" t="str">
        <x:v>US West</x:v>
      </x:c>
      <x:c r="E189" s="10" t="n">
        <x:v>1.6</x:v>
      </x:c>
      <x:c r="F189" s="7" t="n">
        <x:v>18129.21</x:v>
      </x:c>
      <x:c r="G189" s="8"/>
    </x:row>
    <x:row r="190">
      <x:c r="A190" s="6" t="n">
        <x:v>45474</x:v>
      </x:c>
      <x:c r="B190" s="5" t="str">
        <x:v>Information Technology</x:v>
      </x:c>
      <x:c r="C190" s="5" t="str">
        <x:v>General &amp; Administrative</x:v>
      </x:c>
      <x:c r="D190" s="5" t="str">
        <x:v>US West</x:v>
      </x:c>
      <x:c r="E190" s="10" t="n">
        <x:v>1</x:v>
      </x:c>
      <x:c r="F190" s="7" t="n">
        <x:v>17129.02</x:v>
      </x:c>
      <x:c r="G190" s="8"/>
    </x:row>
    <x:row r="191">
      <x:c r="A191" s="6" t="n">
        <x:v>45474</x:v>
      </x:c>
      <x:c r="B191" s="5" t="str">
        <x:v>Executive</x:v>
      </x:c>
      <x:c r="C191" s="5" t="str">
        <x:v>General &amp; Administrative</x:v>
      </x:c>
      <x:c r="D191" s="5" t="str">
        <x:v>US West</x:v>
      </x:c>
      <x:c r="E191" s="10" t="n">
        <x:v>2</x:v>
      </x:c>
      <x:c r="F191" s="7" t="n">
        <x:v>72566.48</x:v>
      </x:c>
      <x:c r="G191" s="8"/>
    </x:row>
    <x:row r="192">
      <x:c r="A192" s="6" t="n">
        <x:v>45505</x:v>
      </x:c>
      <x:c r="B192" s="5" t="str">
        <x:v>Cloud Operations</x:v>
      </x:c>
      <x:c r="C192" s="5" t="str">
        <x:v>Cost of Revenue</x:v>
      </x:c>
      <x:c r="D192" s="5" t="str">
        <x:v>US West</x:v>
      </x:c>
      <x:c r="E192" s="10" t="n">
        <x:v>10</x:v>
      </x:c>
      <x:c r="F192" s="7" t="n">
        <x:v>175237.04</x:v>
      </x:c>
      <x:c r="G192" s="8"/>
    </x:row>
    <x:row r="193">
      <x:c r="A193" s="6" t="n">
        <x:v>45505</x:v>
      </x:c>
      <x:c r="B193" s="5" t="str">
        <x:v>Customer Support</x:v>
      </x:c>
      <x:c r="C193" s="5" t="str">
        <x:v>Cost of Revenue</x:v>
      </x:c>
      <x:c r="D193" s="5" t="str">
        <x:v>US West</x:v>
      </x:c>
      <x:c r="E193" s="10" t="n">
        <x:v>13</x:v>
      </x:c>
      <x:c r="F193" s="7" t="n">
        <x:v>181446.75</x:v>
      </x:c>
      <x:c r="G193" s="8"/>
    </x:row>
    <x:row r="194">
      <x:c r="A194" s="6" t="n">
        <x:v>45505</x:v>
      </x:c>
      <x:c r="B194" s="5" t="str">
        <x:v>Professional Services</x:v>
      </x:c>
      <x:c r="C194" s="5" t="str">
        <x:v>Cost of Revenue</x:v>
      </x:c>
      <x:c r="D194" s="5" t="str">
        <x:v>US West</x:v>
      </x:c>
      <x:c r="E194" s="10" t="n">
        <x:v>20</x:v>
      </x:c>
      <x:c r="F194" s="7" t="n">
        <x:v>319340.36</x:v>
      </x:c>
      <x:c r="G194" s="8" t="n">
        <x:v>0.7514</x:v>
      </x:c>
    </x:row>
    <x:row r="195">
      <x:c r="A195" s="6" t="n">
        <x:v>45505</x:v>
      </x:c>
      <x:c r="B195" s="5" t="str">
        <x:v>Sales</x:v>
      </x:c>
      <x:c r="C195" s="5" t="str">
        <x:v>Sales &amp; Marketing</x:v>
      </x:c>
      <x:c r="D195" s="5" t="str">
        <x:v>US West</x:v>
      </x:c>
      <x:c r="E195" s="10" t="n">
        <x:v>20</x:v>
      </x:c>
      <x:c r="F195" s="7" t="n">
        <x:v>328566.77</x:v>
      </x:c>
      <x:c r="G195" s="8"/>
    </x:row>
    <x:row r="196">
      <x:c r="A196" s="6" t="n">
        <x:v>45505</x:v>
      </x:c>
      <x:c r="B196" s="5" t="str">
        <x:v>Marketing</x:v>
      </x:c>
      <x:c r="C196" s="5" t="str">
        <x:v>Sales &amp; Marketing</x:v>
      </x:c>
      <x:c r="D196" s="5" t="str">
        <x:v>US West</x:v>
      </x:c>
      <x:c r="E196" s="10" t="n">
        <x:v>5</x:v>
      </x:c>
      <x:c r="F196" s="7" t="n">
        <x:v>67610.14</x:v>
      </x:c>
      <x:c r="G196" s="8"/>
    </x:row>
    <x:row r="197">
      <x:c r="A197" s="6" t="n">
        <x:v>45505</x:v>
      </x:c>
      <x:c r="B197" s="5" t="str">
        <x:v>Product &amp; Engineering</x:v>
      </x:c>
      <x:c r="C197" s="5" t="str">
        <x:v>Research &amp; Development</x:v>
      </x:c>
      <x:c r="D197" s="5" t="str">
        <x:v>US West</x:v>
      </x:c>
      <x:c r="E197" s="10" t="n">
        <x:v>47.6</x:v>
      </x:c>
      <x:c r="F197" s="7" t="n">
        <x:v>1052646.48</x:v>
      </x:c>
      <x:c r="G197" s="8"/>
    </x:row>
    <x:row r="198">
      <x:c r="A198" s="6" t="n">
        <x:v>45505</x:v>
      </x:c>
      <x:c r="B198" s="5" t="str">
        <x:v>Finance</x:v>
      </x:c>
      <x:c r="C198" s="5" t="str">
        <x:v>General &amp; Administrative</x:v>
      </x:c>
      <x:c r="D198" s="5" t="str">
        <x:v>US West</x:v>
      </x:c>
      <x:c r="E198" s="10" t="n">
        <x:v>2</x:v>
      </x:c>
      <x:c r="F198" s="7" t="n">
        <x:v>25724.95</x:v>
      </x:c>
      <x:c r="G198" s="8"/>
    </x:row>
    <x:row r="199">
      <x:c r="A199" s="6" t="n">
        <x:v>45505</x:v>
      </x:c>
      <x:c r="B199" s="5" t="str">
        <x:v>People</x:v>
      </x:c>
      <x:c r="C199" s="5" t="str">
        <x:v>General &amp; Administrative</x:v>
      </x:c>
      <x:c r="D199" s="5" t="str">
        <x:v>US West</x:v>
      </x:c>
      <x:c r="E199" s="10" t="n">
        <x:v>1.6</x:v>
      </x:c>
      <x:c r="F199" s="7" t="n">
        <x:v>18129.21</x:v>
      </x:c>
      <x:c r="G199" s="8"/>
    </x:row>
    <x:row r="200">
      <x:c r="A200" s="6" t="n">
        <x:v>45505</x:v>
      </x:c>
      <x:c r="B200" s="5" t="str">
        <x:v>Information Technology</x:v>
      </x:c>
      <x:c r="C200" s="5" t="str">
        <x:v>General &amp; Administrative</x:v>
      </x:c>
      <x:c r="D200" s="5" t="str">
        <x:v>US West</x:v>
      </x:c>
      <x:c r="E200" s="10" t="n">
        <x:v>1</x:v>
      </x:c>
      <x:c r="F200" s="7" t="n">
        <x:v>17129.02</x:v>
      </x:c>
      <x:c r="G200" s="8"/>
    </x:row>
    <x:row r="201">
      <x:c r="A201" s="6" t="n">
        <x:v>45505</x:v>
      </x:c>
      <x:c r="B201" s="5" t="str">
        <x:v>Executive</x:v>
      </x:c>
      <x:c r="C201" s="5" t="str">
        <x:v>General &amp; Administrative</x:v>
      </x:c>
      <x:c r="D201" s="5" t="str">
        <x:v>US West</x:v>
      </x:c>
      <x:c r="E201" s="10" t="n">
        <x:v>2</x:v>
      </x:c>
      <x:c r="F201" s="7" t="n">
        <x:v>72566.48</x:v>
      </x:c>
      <x:c r="G201" s="8"/>
    </x:row>
    <x:row r="202">
      <x:c r="A202" s="6" t="n">
        <x:v>45536</x:v>
      </x:c>
      <x:c r="B202" s="5" t="str">
        <x:v>Cloud Operations</x:v>
      </x:c>
      <x:c r="C202" s="5" t="str">
        <x:v>Cost of Revenue</x:v>
      </x:c>
      <x:c r="D202" s="5" t="str">
        <x:v>US West</x:v>
      </x:c>
      <x:c r="E202" s="10" t="n">
        <x:v>10</x:v>
      </x:c>
      <x:c r="F202" s="7" t="n">
        <x:v>175237.04</x:v>
      </x:c>
      <x:c r="G202" s="8"/>
    </x:row>
    <x:row r="203">
      <x:c r="A203" s="6" t="n">
        <x:v>45536</x:v>
      </x:c>
      <x:c r="B203" s="5" t="str">
        <x:v>Customer Support</x:v>
      </x:c>
      <x:c r="C203" s="5" t="str">
        <x:v>Cost of Revenue</x:v>
      </x:c>
      <x:c r="D203" s="5" t="str">
        <x:v>US West</x:v>
      </x:c>
      <x:c r="E203" s="10" t="n">
        <x:v>13</x:v>
      </x:c>
      <x:c r="F203" s="7" t="n">
        <x:v>181446.75</x:v>
      </x:c>
      <x:c r="G203" s="8"/>
    </x:row>
    <x:row r="204">
      <x:c r="A204" s="6" t="n">
        <x:v>45536</x:v>
      </x:c>
      <x:c r="B204" s="5" t="str">
        <x:v>Professional Services</x:v>
      </x:c>
      <x:c r="C204" s="5" t="str">
        <x:v>Cost of Revenue</x:v>
      </x:c>
      <x:c r="D204" s="5" t="str">
        <x:v>US West</x:v>
      </x:c>
      <x:c r="E204" s="10" t="n">
        <x:v>19</x:v>
      </x:c>
      <x:c r="F204" s="7" t="n">
        <x:v>310225.73</x:v>
      </x:c>
      <x:c r="G204" s="8" t="n">
        <x:v>0.7367</x:v>
      </x:c>
    </x:row>
    <x:row r="205">
      <x:c r="A205" s="6" t="n">
        <x:v>45536</x:v>
      </x:c>
      <x:c r="B205" s="5" t="str">
        <x:v>Sales</x:v>
      </x:c>
      <x:c r="C205" s="5" t="str">
        <x:v>Sales &amp; Marketing</x:v>
      </x:c>
      <x:c r="D205" s="5" t="str">
        <x:v>US West</x:v>
      </x:c>
      <x:c r="E205" s="10" t="n">
        <x:v>20</x:v>
      </x:c>
      <x:c r="F205" s="7" t="n">
        <x:v>328566.77</x:v>
      </x:c>
      <x:c r="G205" s="8"/>
    </x:row>
    <x:row r="206">
      <x:c r="A206" s="6" t="n">
        <x:v>45536</x:v>
      </x:c>
      <x:c r="B206" s="5" t="str">
        <x:v>Marketing</x:v>
      </x:c>
      <x:c r="C206" s="5" t="str">
        <x:v>Sales &amp; Marketing</x:v>
      </x:c>
      <x:c r="D206" s="5" t="str">
        <x:v>US West</x:v>
      </x:c>
      <x:c r="E206" s="10" t="n">
        <x:v>5</x:v>
      </x:c>
      <x:c r="F206" s="7" t="n">
        <x:v>67610.14</x:v>
      </x:c>
      <x:c r="G206" s="8"/>
    </x:row>
    <x:row r="207">
      <x:c r="A207" s="6" t="n">
        <x:v>45536</x:v>
      </x:c>
      <x:c r="B207" s="5" t="str">
        <x:v>Product &amp; Engineering</x:v>
      </x:c>
      <x:c r="C207" s="5" t="str">
        <x:v>Research &amp; Development</x:v>
      </x:c>
      <x:c r="D207" s="5" t="str">
        <x:v>US West</x:v>
      </x:c>
      <x:c r="E207" s="10" t="n">
        <x:v>46.6</x:v>
      </x:c>
      <x:c r="F207" s="7" t="n">
        <x:v>1036140.9</x:v>
      </x:c>
      <x:c r="G207" s="8"/>
    </x:row>
    <x:row r="208">
      <x:c r="A208" s="6" t="n">
        <x:v>45536</x:v>
      </x:c>
      <x:c r="B208" s="5" t="str">
        <x:v>Finance</x:v>
      </x:c>
      <x:c r="C208" s="5" t="str">
        <x:v>General &amp; Administrative</x:v>
      </x:c>
      <x:c r="D208" s="5" t="str">
        <x:v>US West</x:v>
      </x:c>
      <x:c r="E208" s="10" t="n">
        <x:v>2</x:v>
      </x:c>
      <x:c r="F208" s="7" t="n">
        <x:v>25724.95</x:v>
      </x:c>
      <x:c r="G208" s="8"/>
    </x:row>
    <x:row r="209">
      <x:c r="A209" s="6" t="n">
        <x:v>45536</x:v>
      </x:c>
      <x:c r="B209" s="5" t="str">
        <x:v>People</x:v>
      </x:c>
      <x:c r="C209" s="5" t="str">
        <x:v>General &amp; Administrative</x:v>
      </x:c>
      <x:c r="D209" s="5" t="str">
        <x:v>US West</x:v>
      </x:c>
      <x:c r="E209" s="10" t="n">
        <x:v>1.6</x:v>
      </x:c>
      <x:c r="F209" s="7" t="n">
        <x:v>18129.21</x:v>
      </x:c>
      <x:c r="G209" s="8"/>
    </x:row>
    <x:row r="210">
      <x:c r="A210" s="6" t="n">
        <x:v>45536</x:v>
      </x:c>
      <x:c r="B210" s="5" t="str">
        <x:v>Information Technology</x:v>
      </x:c>
      <x:c r="C210" s="5" t="str">
        <x:v>General &amp; Administrative</x:v>
      </x:c>
      <x:c r="D210" s="5" t="str">
        <x:v>US West</x:v>
      </x:c>
      <x:c r="E210" s="10" t="n">
        <x:v>1</x:v>
      </x:c>
      <x:c r="F210" s="7" t="n">
        <x:v>17129.02</x:v>
      </x:c>
      <x:c r="G210" s="8"/>
    </x:row>
    <x:row r="211">
      <x:c r="A211" s="6" t="n">
        <x:v>45536</x:v>
      </x:c>
      <x:c r="B211" s="5" t="str">
        <x:v>Executive</x:v>
      </x:c>
      <x:c r="C211" s="5" t="str">
        <x:v>General &amp; Administrative</x:v>
      </x:c>
      <x:c r="D211" s="5" t="str">
        <x:v>US West</x:v>
      </x:c>
      <x:c r="E211" s="10" t="n">
        <x:v>2</x:v>
      </x:c>
      <x:c r="F211" s="7" t="n">
        <x:v>72566.48</x:v>
      </x:c>
      <x:c r="G211" s="8"/>
    </x:row>
    <x:row r="212">
      <x:c r="A212" s="6" t="n">
        <x:v>45566</x:v>
      </x:c>
      <x:c r="B212" s="5" t="str">
        <x:v>Cloud Operations</x:v>
      </x:c>
      <x:c r="C212" s="5" t="str">
        <x:v>Cost of Revenue</x:v>
      </x:c>
      <x:c r="D212" s="5" t="str">
        <x:v>US West</x:v>
      </x:c>
      <x:c r="E212" s="10" t="n">
        <x:v>10</x:v>
      </x:c>
      <x:c r="F212" s="7" t="n">
        <x:v>175237.04</x:v>
      </x:c>
      <x:c r="G212" s="8"/>
    </x:row>
    <x:row r="213">
      <x:c r="A213" s="6" t="n">
        <x:v>45566</x:v>
      </x:c>
      <x:c r="B213" s="5" t="str">
        <x:v>Customer Support</x:v>
      </x:c>
      <x:c r="C213" s="5" t="str">
        <x:v>Cost of Revenue</x:v>
      </x:c>
      <x:c r="D213" s="5" t="str">
        <x:v>US West</x:v>
      </x:c>
      <x:c r="E213" s="10" t="n">
        <x:v>13</x:v>
      </x:c>
      <x:c r="F213" s="7" t="n">
        <x:v>181446.75</x:v>
      </x:c>
      <x:c r="G213" s="8"/>
    </x:row>
    <x:row r="214">
      <x:c r="A214" s="6" t="n">
        <x:v>45566</x:v>
      </x:c>
      <x:c r="B214" s="5" t="str">
        <x:v>Professional Services</x:v>
      </x:c>
      <x:c r="C214" s="5" t="str">
        <x:v>Cost of Revenue</x:v>
      </x:c>
      <x:c r="D214" s="5" t="str">
        <x:v>US West</x:v>
      </x:c>
      <x:c r="E214" s="10" t="n">
        <x:v>19</x:v>
      </x:c>
      <x:c r="F214" s="7" t="n">
        <x:v>310225.73</x:v>
      </x:c>
      <x:c r="G214" s="8" t="n">
        <x:v>0.7309</x:v>
      </x:c>
    </x:row>
    <x:row r="215">
      <x:c r="A215" s="6" t="n">
        <x:v>45566</x:v>
      </x:c>
      <x:c r="B215" s="5" t="str">
        <x:v>Sales</x:v>
      </x:c>
      <x:c r="C215" s="5" t="str">
        <x:v>Sales &amp; Marketing</x:v>
      </x:c>
      <x:c r="D215" s="5" t="str">
        <x:v>US West</x:v>
      </x:c>
      <x:c r="E215" s="10" t="n">
        <x:v>21</x:v>
      </x:c>
      <x:c r="F215" s="7" t="n">
        <x:v>367235.95</x:v>
      </x:c>
      <x:c r="G215" s="8"/>
    </x:row>
    <x:row r="216">
      <x:c r="A216" s="6" t="n">
        <x:v>45566</x:v>
      </x:c>
      <x:c r="B216" s="5" t="str">
        <x:v>Marketing</x:v>
      </x:c>
      <x:c r="C216" s="5" t="str">
        <x:v>Sales &amp; Marketing</x:v>
      </x:c>
      <x:c r="D216" s="5" t="str">
        <x:v>US West</x:v>
      </x:c>
      <x:c r="E216" s="10" t="n">
        <x:v>6</x:v>
      </x:c>
      <x:c r="F216" s="7" t="n">
        <x:v>78340.58</x:v>
      </x:c>
      <x:c r="G216" s="8"/>
    </x:row>
    <x:row r="217">
      <x:c r="A217" s="6" t="n">
        <x:v>45566</x:v>
      </x:c>
      <x:c r="B217" s="5" t="str">
        <x:v>Product &amp; Engineering</x:v>
      </x:c>
      <x:c r="C217" s="5" t="str">
        <x:v>Research &amp; Development</x:v>
      </x:c>
      <x:c r="D217" s="5" t="str">
        <x:v>US West</x:v>
      </x:c>
      <x:c r="E217" s="10" t="n">
        <x:v>47.6</x:v>
      </x:c>
      <x:c r="F217" s="7" t="n">
        <x:v>1055273.18</x:v>
      </x:c>
      <x:c r="G217" s="8"/>
    </x:row>
    <x:row r="218">
      <x:c r="A218" s="6" t="n">
        <x:v>45566</x:v>
      </x:c>
      <x:c r="B218" s="5" t="str">
        <x:v>Finance</x:v>
      </x:c>
      <x:c r="C218" s="5" t="str">
        <x:v>General &amp; Administrative</x:v>
      </x:c>
      <x:c r="D218" s="5" t="str">
        <x:v>US West</x:v>
      </x:c>
      <x:c r="E218" s="10" t="n">
        <x:v>2</x:v>
      </x:c>
      <x:c r="F218" s="7" t="n">
        <x:v>25724.95</x:v>
      </x:c>
      <x:c r="G218" s="8"/>
    </x:row>
    <x:row r="219">
      <x:c r="A219" s="6" t="n">
        <x:v>45566</x:v>
      </x:c>
      <x:c r="B219" s="5" t="str">
        <x:v>People</x:v>
      </x:c>
      <x:c r="C219" s="5" t="str">
        <x:v>General &amp; Administrative</x:v>
      </x:c>
      <x:c r="D219" s="5" t="str">
        <x:v>US West</x:v>
      </x:c>
      <x:c r="E219" s="10" t="n">
        <x:v>1.6</x:v>
      </x:c>
      <x:c r="F219" s="7" t="n">
        <x:v>18129.21</x:v>
      </x:c>
      <x:c r="G219" s="8"/>
    </x:row>
    <x:row r="220">
      <x:c r="A220" s="6" t="n">
        <x:v>45566</x:v>
      </x:c>
      <x:c r="B220" s="5" t="str">
        <x:v>Information Technology</x:v>
      </x:c>
      <x:c r="C220" s="5" t="str">
        <x:v>General &amp; Administrative</x:v>
      </x:c>
      <x:c r="D220" s="5" t="str">
        <x:v>US West</x:v>
      </x:c>
      <x:c r="E220" s="10" t="n">
        <x:v>1</x:v>
      </x:c>
      <x:c r="F220" s="7" t="n">
        <x:v>17129.02</x:v>
      </x:c>
      <x:c r="G220" s="8"/>
    </x:row>
    <x:row r="221">
      <x:c r="A221" s="6" t="n">
        <x:v>45566</x:v>
      </x:c>
      <x:c r="B221" s="5" t="str">
        <x:v>Executive</x:v>
      </x:c>
      <x:c r="C221" s="5" t="str">
        <x:v>General &amp; Administrative</x:v>
      </x:c>
      <x:c r="D221" s="5" t="str">
        <x:v>US West</x:v>
      </x:c>
      <x:c r="E221" s="10" t="n">
        <x:v>2</x:v>
      </x:c>
      <x:c r="F221" s="7" t="n">
        <x:v>72566.48</x:v>
      </x:c>
      <x:c r="G221" s="8"/>
    </x:row>
    <x:row r="222">
      <x:c r="A222" s="6" t="n">
        <x:v>45597</x:v>
      </x:c>
      <x:c r="B222" s="5" t="str">
        <x:v>Cloud Operations</x:v>
      </x:c>
      <x:c r="C222" s="5" t="str">
        <x:v>Cost of Revenue</x:v>
      </x:c>
      <x:c r="D222" s="5" t="str">
        <x:v>US West</x:v>
      </x:c>
      <x:c r="E222" s="10" t="n">
        <x:v>11</x:v>
      </x:c>
      <x:c r="F222" s="7" t="n">
        <x:v>202817.88</x:v>
      </x:c>
      <x:c r="G222" s="8"/>
    </x:row>
    <x:row r="223">
      <x:c r="A223" s="6" t="n">
        <x:v>45597</x:v>
      </x:c>
      <x:c r="B223" s="5" t="str">
        <x:v>Customer Support</x:v>
      </x:c>
      <x:c r="C223" s="5" t="str">
        <x:v>Cost of Revenue</x:v>
      </x:c>
      <x:c r="D223" s="5" t="str">
        <x:v>US West</x:v>
      </x:c>
      <x:c r="E223" s="10" t="n">
        <x:v>12</x:v>
      </x:c>
      <x:c r="F223" s="7" t="n">
        <x:v>170647.6</x:v>
      </x:c>
      <x:c r="G223" s="8"/>
    </x:row>
    <x:row r="224">
      <x:c r="A224" s="6" t="n">
        <x:v>45597</x:v>
      </x:c>
      <x:c r="B224" s="5" t="str">
        <x:v>Professional Services</x:v>
      </x:c>
      <x:c r="C224" s="5" t="str">
        <x:v>Cost of Revenue</x:v>
      </x:c>
      <x:c r="D224" s="5" t="str">
        <x:v>US West</x:v>
      </x:c>
      <x:c r="E224" s="10" t="n">
        <x:v>19</x:v>
      </x:c>
      <x:c r="F224" s="7" t="n">
        <x:v>310225.73</x:v>
      </x:c>
      <x:c r="G224" s="8" t="n">
        <x:v>0.7583</x:v>
      </x:c>
    </x:row>
    <x:row r="225">
      <x:c r="A225" s="6" t="n">
        <x:v>45597</x:v>
      </x:c>
      <x:c r="B225" s="5" t="str">
        <x:v>Sales</x:v>
      </x:c>
      <x:c r="C225" s="5" t="str">
        <x:v>Sales &amp; Marketing</x:v>
      </x:c>
      <x:c r="D225" s="5" t="str">
        <x:v>US West</x:v>
      </x:c>
      <x:c r="E225" s="10" t="n">
        <x:v>21</x:v>
      </x:c>
      <x:c r="F225" s="7" t="n">
        <x:v>367235.95</x:v>
      </x:c>
      <x:c r="G225" s="8"/>
    </x:row>
    <x:row r="226">
      <x:c r="A226" s="6" t="n">
        <x:v>45597</x:v>
      </x:c>
      <x:c r="B226" s="5" t="str">
        <x:v>Marketing</x:v>
      </x:c>
      <x:c r="C226" s="5" t="str">
        <x:v>Sales &amp; Marketing</x:v>
      </x:c>
      <x:c r="D226" s="5" t="str">
        <x:v>US West</x:v>
      </x:c>
      <x:c r="E226" s="10" t="n">
        <x:v>6</x:v>
      </x:c>
      <x:c r="F226" s="7" t="n">
        <x:v>78340.58</x:v>
      </x:c>
      <x:c r="G226" s="8"/>
    </x:row>
    <x:row r="227">
      <x:c r="A227" s="6" t="n">
        <x:v>45597</x:v>
      </x:c>
      <x:c r="B227" s="5" t="str">
        <x:v>Product &amp; Engineering</x:v>
      </x:c>
      <x:c r="C227" s="5" t="str">
        <x:v>Research &amp; Development</x:v>
      </x:c>
      <x:c r="D227" s="5" t="str">
        <x:v>US West</x:v>
      </x:c>
      <x:c r="E227" s="10" t="n">
        <x:v>47.6</x:v>
      </x:c>
      <x:c r="F227" s="7" t="n">
        <x:v>1055273.18</x:v>
      </x:c>
      <x:c r="G227" s="8"/>
    </x:row>
    <x:row r="228">
      <x:c r="A228" s="6" t="n">
        <x:v>45597</x:v>
      </x:c>
      <x:c r="B228" s="5" t="str">
        <x:v>Finance</x:v>
      </x:c>
      <x:c r="C228" s="5" t="str">
        <x:v>General &amp; Administrative</x:v>
      </x:c>
      <x:c r="D228" s="5" t="str">
        <x:v>US West</x:v>
      </x:c>
      <x:c r="E228" s="10" t="n">
        <x:v>2</x:v>
      </x:c>
      <x:c r="F228" s="7" t="n">
        <x:v>25724.95</x:v>
      </x:c>
      <x:c r="G228" s="8"/>
    </x:row>
    <x:row r="229">
      <x:c r="A229" s="6" t="n">
        <x:v>45597</x:v>
      </x:c>
      <x:c r="B229" s="5" t="str">
        <x:v>People</x:v>
      </x:c>
      <x:c r="C229" s="5" t="str">
        <x:v>General &amp; Administrative</x:v>
      </x:c>
      <x:c r="D229" s="5" t="str">
        <x:v>US West</x:v>
      </x:c>
      <x:c r="E229" s="10" t="n">
        <x:v>1.6</x:v>
      </x:c>
      <x:c r="F229" s="7" t="n">
        <x:v>18129.21</x:v>
      </x:c>
      <x:c r="G229" s="8"/>
    </x:row>
    <x:row r="230">
      <x:c r="A230" s="6" t="n">
        <x:v>45597</x:v>
      </x:c>
      <x:c r="B230" s="5" t="str">
        <x:v>Information Technology</x:v>
      </x:c>
      <x:c r="C230" s="5" t="str">
        <x:v>General &amp; Administrative</x:v>
      </x:c>
      <x:c r="D230" s="5" t="str">
        <x:v>US West</x:v>
      </x:c>
      <x:c r="E230" s="10" t="n">
        <x:v>1</x:v>
      </x:c>
      <x:c r="F230" s="7" t="n">
        <x:v>17129.02</x:v>
      </x:c>
      <x:c r="G230" s="8"/>
    </x:row>
    <x:row r="231">
      <x:c r="A231" s="6" t="n">
        <x:v>45597</x:v>
      </x:c>
      <x:c r="B231" s="5" t="str">
        <x:v>Executive</x:v>
      </x:c>
      <x:c r="C231" s="5" t="str">
        <x:v>General &amp; Administrative</x:v>
      </x:c>
      <x:c r="D231" s="5" t="str">
        <x:v>US West</x:v>
      </x:c>
      <x:c r="E231" s="10" t="n">
        <x:v>2</x:v>
      </x:c>
      <x:c r="F231" s="7" t="n">
        <x:v>72566.48</x:v>
      </x:c>
      <x:c r="G231" s="8"/>
    </x:row>
    <x:row r="232">
      <x:c r="A232" s="6" t="n">
        <x:v>45627</x:v>
      </x:c>
      <x:c r="B232" s="5" t="str">
        <x:v>Cloud Operations</x:v>
      </x:c>
      <x:c r="C232" s="5" t="str">
        <x:v>Cost of Revenue</x:v>
      </x:c>
      <x:c r="D232" s="5" t="str">
        <x:v>US West</x:v>
      </x:c>
      <x:c r="E232" s="10" t="n">
        <x:v>11</x:v>
      </x:c>
      <x:c r="F232" s="7" t="n">
        <x:v>202817.88</x:v>
      </x:c>
      <x:c r="G232" s="8"/>
    </x:row>
    <x:row r="233">
      <x:c r="A233" s="6" t="n">
        <x:v>45627</x:v>
      </x:c>
      <x:c r="B233" s="5" t="str">
        <x:v>Customer Support</x:v>
      </x:c>
      <x:c r="C233" s="5" t="str">
        <x:v>Cost of Revenue</x:v>
      </x:c>
      <x:c r="D233" s="5" t="str">
        <x:v>US West</x:v>
      </x:c>
      <x:c r="E233" s="10" t="n">
        <x:v>12</x:v>
      </x:c>
      <x:c r="F233" s="7" t="n">
        <x:v>170647.6</x:v>
      </x:c>
      <x:c r="G233" s="8"/>
    </x:row>
    <x:row r="234">
      <x:c r="A234" s="6" t="n">
        <x:v>45627</x:v>
      </x:c>
      <x:c r="B234" s="5" t="str">
        <x:v>Professional Services</x:v>
      </x:c>
      <x:c r="C234" s="5" t="str">
        <x:v>Cost of Revenue</x:v>
      </x:c>
      <x:c r="D234" s="5" t="str">
        <x:v>US West</x:v>
      </x:c>
      <x:c r="E234" s="10" t="n">
        <x:v>19</x:v>
      </x:c>
      <x:c r="F234" s="7" t="n">
        <x:v>310225.73</x:v>
      </x:c>
      <x:c r="G234" s="8" t="n">
        <x:v>0.7163</x:v>
      </x:c>
    </x:row>
    <x:row r="235">
      <x:c r="A235" s="6" t="n">
        <x:v>45627</x:v>
      </x:c>
      <x:c r="B235" s="5" t="str">
        <x:v>Sales</x:v>
      </x:c>
      <x:c r="C235" s="5" t="str">
        <x:v>Sales &amp; Marketing</x:v>
      </x:c>
      <x:c r="D235" s="5" t="str">
        <x:v>US West</x:v>
      </x:c>
      <x:c r="E235" s="10" t="n">
        <x:v>21</x:v>
      </x:c>
      <x:c r="F235" s="7" t="n">
        <x:v>367235.95</x:v>
      </x:c>
      <x:c r="G235" s="8"/>
    </x:row>
    <x:row r="236">
      <x:c r="A236" s="6" t="n">
        <x:v>45627</x:v>
      </x:c>
      <x:c r="B236" s="5" t="str">
        <x:v>Marketing</x:v>
      </x:c>
      <x:c r="C236" s="5" t="str">
        <x:v>Sales &amp; Marketing</x:v>
      </x:c>
      <x:c r="D236" s="5" t="str">
        <x:v>US West</x:v>
      </x:c>
      <x:c r="E236" s="10" t="n">
        <x:v>6</x:v>
      </x:c>
      <x:c r="F236" s="7" t="n">
        <x:v>78340.58</x:v>
      </x:c>
      <x:c r="G236" s="8"/>
    </x:row>
    <x:row r="237">
      <x:c r="A237" s="6" t="n">
        <x:v>45627</x:v>
      </x:c>
      <x:c r="B237" s="5" t="str">
        <x:v>Product &amp; Engineering</x:v>
      </x:c>
      <x:c r="C237" s="5" t="str">
        <x:v>Research &amp; Development</x:v>
      </x:c>
      <x:c r="D237" s="5" t="str">
        <x:v>US West</x:v>
      </x:c>
      <x:c r="E237" s="10" t="n">
        <x:v>47.6</x:v>
      </x:c>
      <x:c r="F237" s="7" t="n">
        <x:v>1055273.18</x:v>
      </x:c>
      <x:c r="G237" s="8"/>
    </x:row>
    <x:row r="238">
      <x:c r="A238" s="6" t="n">
        <x:v>45627</x:v>
      </x:c>
      <x:c r="B238" s="5" t="str">
        <x:v>Finance</x:v>
      </x:c>
      <x:c r="C238" s="5" t="str">
        <x:v>General &amp; Administrative</x:v>
      </x:c>
      <x:c r="D238" s="5" t="str">
        <x:v>US West</x:v>
      </x:c>
      <x:c r="E238" s="10" t="n">
        <x:v>2</x:v>
      </x:c>
      <x:c r="F238" s="7" t="n">
        <x:v>25724.95</x:v>
      </x:c>
      <x:c r="G238" s="8"/>
    </x:row>
    <x:row r="239">
      <x:c r="A239" s="6" t="n">
        <x:v>45627</x:v>
      </x:c>
      <x:c r="B239" s="5" t="str">
        <x:v>People</x:v>
      </x:c>
      <x:c r="C239" s="5" t="str">
        <x:v>General &amp; Administrative</x:v>
      </x:c>
      <x:c r="D239" s="5" t="str">
        <x:v>US West</x:v>
      </x:c>
      <x:c r="E239" s="10" t="n">
        <x:v>1.6</x:v>
      </x:c>
      <x:c r="F239" s="7" t="n">
        <x:v>18129.21</x:v>
      </x:c>
      <x:c r="G239" s="8"/>
    </x:row>
    <x:row r="240">
      <x:c r="A240" s="6" t="n">
        <x:v>45627</x:v>
      </x:c>
      <x:c r="B240" s="5" t="str">
        <x:v>Information Technology</x:v>
      </x:c>
      <x:c r="C240" s="5" t="str">
        <x:v>General &amp; Administrative</x:v>
      </x:c>
      <x:c r="D240" s="5" t="str">
        <x:v>US West</x:v>
      </x:c>
      <x:c r="E240" s="10" t="n">
        <x:v>1</x:v>
      </x:c>
      <x:c r="F240" s="7" t="n">
        <x:v>17129.02</x:v>
      </x:c>
      <x:c r="G240" s="8"/>
    </x:row>
    <x:row r="241">
      <x:c r="A241" s="6" t="n">
        <x:v>45627</x:v>
      </x:c>
      <x:c r="B241" s="5" t="str">
        <x:v>Executive</x:v>
      </x:c>
      <x:c r="C241" s="5" t="str">
        <x:v>General &amp; Administrative</x:v>
      </x:c>
      <x:c r="D241" s="5" t="str">
        <x:v>US West</x:v>
      </x:c>
      <x:c r="E241" s="10" t="n">
        <x:v>2</x:v>
      </x:c>
      <x:c r="F241" s="7" t="n">
        <x:v>72566.48</x:v>
      </x:c>
      <x:c r="G241" s="8"/>
    </x:row>
    <x:row r="242">
      <x:c r="A242" s="6" t="n">
        <x:v>45658</x:v>
      </x:c>
      <x:c r="B242" s="5" t="str">
        <x:v>Cloud Operations</x:v>
      </x:c>
      <x:c r="C242" s="5" t="str">
        <x:v>Cost of Revenue</x:v>
      </x:c>
      <x:c r="D242" s="5" t="str">
        <x:v>US West</x:v>
      </x:c>
      <x:c r="E242" s="10" t="n">
        <x:v>11</x:v>
      </x:c>
      <x:c r="F242" s="7" t="n">
        <x:v>209916.51</x:v>
      </x:c>
      <x:c r="G242" s="8"/>
    </x:row>
    <x:row r="243">
      <x:c r="A243" s="6" t="n">
        <x:v>45658</x:v>
      </x:c>
      <x:c r="B243" s="5" t="str">
        <x:v>Customer Support</x:v>
      </x:c>
      <x:c r="C243" s="5" t="str">
        <x:v>Cost of Revenue</x:v>
      </x:c>
      <x:c r="D243" s="5" t="str">
        <x:v>US West</x:v>
      </x:c>
      <x:c r="E243" s="10" t="n">
        <x:v>12</x:v>
      </x:c>
      <x:c r="F243" s="7" t="n">
        <x:v>176620.27</x:v>
      </x:c>
      <x:c r="G243" s="8"/>
    </x:row>
    <x:row r="244">
      <x:c r="A244" s="6" t="n">
        <x:v>45658</x:v>
      </x:c>
      <x:c r="B244" s="5" t="str">
        <x:v>Professional Services</x:v>
      </x:c>
      <x:c r="C244" s="5" t="str">
        <x:v>Cost of Revenue</x:v>
      </x:c>
      <x:c r="D244" s="5" t="str">
        <x:v>US West</x:v>
      </x:c>
      <x:c r="E244" s="10" t="n">
        <x:v>19</x:v>
      </x:c>
      <x:c r="F244" s="7" t="n">
        <x:v>321083.63</x:v>
      </x:c>
      <x:c r="G244" s="8" t="n">
        <x:v>0.7169</x:v>
      </x:c>
    </x:row>
    <x:row r="245">
      <x:c r="A245" s="6" t="n">
        <x:v>45658</x:v>
      </x:c>
      <x:c r="B245" s="5" t="str">
        <x:v>Sales</x:v>
      </x:c>
      <x:c r="C245" s="5" t="str">
        <x:v>Sales &amp; Marketing</x:v>
      </x:c>
      <x:c r="D245" s="5" t="str">
        <x:v>US West</x:v>
      </x:c>
      <x:c r="E245" s="10" t="n">
        <x:v>22</x:v>
      </x:c>
      <x:c r="F245" s="7" t="n">
        <x:v>403667.13</x:v>
      </x:c>
      <x:c r="G245" s="8"/>
    </x:row>
    <x:row r="246">
      <x:c r="A246" s="6" t="n">
        <x:v>45658</x:v>
      </x:c>
      <x:c r="B246" s="5" t="str">
        <x:v>Marketing</x:v>
      </x:c>
      <x:c r="C246" s="5" t="str">
        <x:v>Sales &amp; Marketing</x:v>
      </x:c>
      <x:c r="D246" s="5" t="str">
        <x:v>US West</x:v>
      </x:c>
      <x:c r="E246" s="10" t="n">
        <x:v>6</x:v>
      </x:c>
      <x:c r="F246" s="7" t="n">
        <x:v>81082.5</x:v>
      </x:c>
      <x:c r="G246" s="8"/>
    </x:row>
    <x:row r="247">
      <x:c r="A247" s="6" t="n">
        <x:v>45658</x:v>
      </x:c>
      <x:c r="B247" s="5" t="str">
        <x:v>Product &amp; Engineering</x:v>
      </x:c>
      <x:c r="C247" s="5" t="str">
        <x:v>Research &amp; Development</x:v>
      </x:c>
      <x:c r="D247" s="5" t="str">
        <x:v>US West</x:v>
      </x:c>
      <x:c r="E247" s="10" t="n">
        <x:v>47.6</x:v>
      </x:c>
      <x:c r="F247" s="7" t="n">
        <x:v>1092207.75</x:v>
      </x:c>
      <x:c r="G247" s="8"/>
    </x:row>
    <x:row r="248">
      <x:c r="A248" s="6" t="n">
        <x:v>45658</x:v>
      </x:c>
      <x:c r="B248" s="5" t="str">
        <x:v>Finance</x:v>
      </x:c>
      <x:c r="C248" s="5" t="str">
        <x:v>General &amp; Administrative</x:v>
      </x:c>
      <x:c r="D248" s="5" t="str">
        <x:v>US West</x:v>
      </x:c>
      <x:c r="E248" s="10" t="n">
        <x:v>2</x:v>
      </x:c>
      <x:c r="F248" s="7" t="n">
        <x:v>26625.32</x:v>
      </x:c>
      <x:c r="G248" s="8"/>
    </x:row>
    <x:row r="249">
      <x:c r="A249" s="6" t="n">
        <x:v>45658</x:v>
      </x:c>
      <x:c r="B249" s="5" t="str">
        <x:v>People</x:v>
      </x:c>
      <x:c r="C249" s="5" t="str">
        <x:v>General &amp; Administrative</x:v>
      </x:c>
      <x:c r="D249" s="5" t="str">
        <x:v>US West</x:v>
      </x:c>
      <x:c r="E249" s="10" t="n">
        <x:v>1.6</x:v>
      </x:c>
      <x:c r="F249" s="7" t="n">
        <x:v>18763.74</x:v>
      </x:c>
      <x:c r="G249" s="8"/>
    </x:row>
    <x:row r="250">
      <x:c r="A250" s="6" t="n">
        <x:v>45658</x:v>
      </x:c>
      <x:c r="B250" s="5" t="str">
        <x:v>Information Technology</x:v>
      </x:c>
      <x:c r="C250" s="5" t="str">
        <x:v>General &amp; Administrative</x:v>
      </x:c>
      <x:c r="D250" s="5" t="str">
        <x:v>US West</x:v>
      </x:c>
      <x:c r="E250" s="10" t="n">
        <x:v>1</x:v>
      </x:c>
      <x:c r="F250" s="7" t="n">
        <x:v>17728.54</x:v>
      </x:c>
      <x:c r="G250" s="8"/>
    </x:row>
    <x:row r="251">
      <x:c r="A251" s="6" t="n">
        <x:v>45658</x:v>
      </x:c>
      <x:c r="B251" s="5" t="str">
        <x:v>Executive</x:v>
      </x:c>
      <x:c r="C251" s="5" t="str">
        <x:v>General &amp; Administrative</x:v>
      </x:c>
      <x:c r="D251" s="5" t="str">
        <x:v>US West</x:v>
      </x:c>
      <x:c r="E251" s="10" t="n">
        <x:v>2</x:v>
      </x:c>
      <x:c r="F251" s="7" t="n">
        <x:v>75106.31</x:v>
      </x:c>
      <x:c r="G251" s="8"/>
    </x:row>
    <x:row r="252">
      <x:c r="A252" s="6" t="n">
        <x:v>45689</x:v>
      </x:c>
      <x:c r="B252" s="5" t="str">
        <x:v>Cloud Operations</x:v>
      </x:c>
      <x:c r="C252" s="5" t="str">
        <x:v>Cost of Revenue</x:v>
      </x:c>
      <x:c r="D252" s="5" t="str">
        <x:v>US West</x:v>
      </x:c>
      <x:c r="E252" s="10" t="n">
        <x:v>11</x:v>
      </x:c>
      <x:c r="F252" s="7" t="n">
        <x:v>209916.51</x:v>
      </x:c>
      <x:c r="G252" s="8"/>
    </x:row>
    <x:row r="253">
      <x:c r="A253" s="6" t="n">
        <x:v>45689</x:v>
      </x:c>
      <x:c r="B253" s="5" t="str">
        <x:v>Customer Support</x:v>
      </x:c>
      <x:c r="C253" s="5" t="str">
        <x:v>Cost of Revenue</x:v>
      </x:c>
      <x:c r="D253" s="5" t="str">
        <x:v>US West</x:v>
      </x:c>
      <x:c r="E253" s="10" t="n">
        <x:v>13</x:v>
      </x:c>
      <x:c r="F253" s="7" t="n">
        <x:v>183186.78</x:v>
      </x:c>
      <x:c r="G253" s="8"/>
    </x:row>
    <x:row r="254">
      <x:c r="A254" s="6" t="n">
        <x:v>45689</x:v>
      </x:c>
      <x:c r="B254" s="5" t="str">
        <x:v>Professional Services</x:v>
      </x:c>
      <x:c r="C254" s="5" t="str">
        <x:v>Cost of Revenue</x:v>
      </x:c>
      <x:c r="D254" s="5" t="str">
        <x:v>US West</x:v>
      </x:c>
      <x:c r="E254" s="10" t="n">
        <x:v>19</x:v>
      </x:c>
      <x:c r="F254" s="7" t="n">
        <x:v>321083.63</x:v>
      </x:c>
      <x:c r="G254" s="8" t="n">
        <x:v>0.7376</x:v>
      </x:c>
    </x:row>
    <x:row r="255">
      <x:c r="A255" s="6" t="n">
        <x:v>45689</x:v>
      </x:c>
      <x:c r="B255" s="5" t="str">
        <x:v>Sales</x:v>
      </x:c>
      <x:c r="C255" s="5" t="str">
        <x:v>Sales &amp; Marketing</x:v>
      </x:c>
      <x:c r="D255" s="5" t="str">
        <x:v>US West</x:v>
      </x:c>
      <x:c r="E255" s="10" t="n">
        <x:v>22</x:v>
      </x:c>
      <x:c r="F255" s="7" t="n">
        <x:v>403667.13</x:v>
      </x:c>
      <x:c r="G255" s="8"/>
    </x:row>
    <x:row r="256">
      <x:c r="A256" s="6" t="n">
        <x:v>45689</x:v>
      </x:c>
      <x:c r="B256" s="5" t="str">
        <x:v>Marketing</x:v>
      </x:c>
      <x:c r="C256" s="5" t="str">
        <x:v>Sales &amp; Marketing</x:v>
      </x:c>
      <x:c r="D256" s="5" t="str">
        <x:v>US West</x:v>
      </x:c>
      <x:c r="E256" s="10" t="n">
        <x:v>6</x:v>
      </x:c>
      <x:c r="F256" s="7" t="n">
        <x:v>81082.5</x:v>
      </x:c>
      <x:c r="G256" s="8"/>
    </x:row>
    <x:row r="257">
      <x:c r="A257" s="6" t="n">
        <x:v>45689</x:v>
      </x:c>
      <x:c r="B257" s="5" t="str">
        <x:v>Product &amp; Engineering</x:v>
      </x:c>
      <x:c r="C257" s="5" t="str">
        <x:v>Research &amp; Development</x:v>
      </x:c>
      <x:c r="D257" s="5" t="str">
        <x:v>US West</x:v>
      </x:c>
      <x:c r="E257" s="10" t="n">
        <x:v>47.6</x:v>
      </x:c>
      <x:c r="F257" s="7" t="n">
        <x:v>1092207.75</x:v>
      </x:c>
      <x:c r="G257" s="8"/>
    </x:row>
    <x:row r="258">
      <x:c r="A258" s="6" t="n">
        <x:v>45689</x:v>
      </x:c>
      <x:c r="B258" s="5" t="str">
        <x:v>Finance</x:v>
      </x:c>
      <x:c r="C258" s="5" t="str">
        <x:v>General &amp; Administrative</x:v>
      </x:c>
      <x:c r="D258" s="5" t="str">
        <x:v>US West</x:v>
      </x:c>
      <x:c r="E258" s="10" t="n">
        <x:v>2</x:v>
      </x:c>
      <x:c r="F258" s="7" t="n">
        <x:v>26625.32</x:v>
      </x:c>
      <x:c r="G258" s="8"/>
    </x:row>
    <x:row r="259">
      <x:c r="A259" s="6" t="n">
        <x:v>45689</x:v>
      </x:c>
      <x:c r="B259" s="5" t="str">
        <x:v>People</x:v>
      </x:c>
      <x:c r="C259" s="5" t="str">
        <x:v>General &amp; Administrative</x:v>
      </x:c>
      <x:c r="D259" s="5" t="str">
        <x:v>US West</x:v>
      </x:c>
      <x:c r="E259" s="10" t="n">
        <x:v>1.6</x:v>
      </x:c>
      <x:c r="F259" s="7" t="n">
        <x:v>18763.74</x:v>
      </x:c>
      <x:c r="G259" s="8"/>
    </x:row>
    <x:row r="260">
      <x:c r="A260" s="6" t="n">
        <x:v>45689</x:v>
      </x:c>
      <x:c r="B260" s="5" t="str">
        <x:v>Information Technology</x:v>
      </x:c>
      <x:c r="C260" s="5" t="str">
        <x:v>General &amp; Administrative</x:v>
      </x:c>
      <x:c r="D260" s="5" t="str">
        <x:v>US West</x:v>
      </x:c>
      <x:c r="E260" s="10" t="n">
        <x:v>1</x:v>
      </x:c>
      <x:c r="F260" s="7" t="n">
        <x:v>17728.54</x:v>
      </x:c>
      <x:c r="G260" s="8"/>
    </x:row>
    <x:row r="261">
      <x:c r="A261" s="6" t="n">
        <x:v>45689</x:v>
      </x:c>
      <x:c r="B261" s="5" t="str">
        <x:v>Executive</x:v>
      </x:c>
      <x:c r="C261" s="5" t="str">
        <x:v>General &amp; Administrative</x:v>
      </x:c>
      <x:c r="D261" s="5" t="str">
        <x:v>US West</x:v>
      </x:c>
      <x:c r="E261" s="10" t="n">
        <x:v>2</x:v>
      </x:c>
      <x:c r="F261" s="7" t="n">
        <x:v>75106.31</x:v>
      </x:c>
      <x:c r="G261" s="8"/>
    </x:row>
    <x:row r="262">
      <x:c r="A262" s="6" t="n">
        <x:v>45717</x:v>
      </x:c>
      <x:c r="B262" s="5" t="str">
        <x:v>Cloud Operations</x:v>
      </x:c>
      <x:c r="C262" s="5" t="str">
        <x:v>Cost of Revenue</x:v>
      </x:c>
      <x:c r="D262" s="5" t="str">
        <x:v>US West</x:v>
      </x:c>
      <x:c r="E262" s="10" t="n">
        <x:v>11</x:v>
      </x:c>
      <x:c r="F262" s="7" t="n">
        <x:v>209916.51</x:v>
      </x:c>
      <x:c r="G262" s="8"/>
    </x:row>
    <x:row r="263">
      <x:c r="A263" s="6" t="n">
        <x:v>45717</x:v>
      </x:c>
      <x:c r="B263" s="5" t="str">
        <x:v>Customer Support</x:v>
      </x:c>
      <x:c r="C263" s="5" t="str">
        <x:v>Cost of Revenue</x:v>
      </x:c>
      <x:c r="D263" s="5" t="str">
        <x:v>US West</x:v>
      </x:c>
      <x:c r="E263" s="10" t="n">
        <x:v>13</x:v>
      </x:c>
      <x:c r="F263" s="7" t="n">
        <x:v>183186.78</x:v>
      </x:c>
      <x:c r="G263" s="8"/>
    </x:row>
    <x:row r="264">
      <x:c r="A264" s="6" t="n">
        <x:v>45717</x:v>
      </x:c>
      <x:c r="B264" s="5" t="str">
        <x:v>Professional Services</x:v>
      </x:c>
      <x:c r="C264" s="5" t="str">
        <x:v>Cost of Revenue</x:v>
      </x:c>
      <x:c r="D264" s="5" t="str">
        <x:v>US West</x:v>
      </x:c>
      <x:c r="E264" s="10" t="n">
        <x:v>19</x:v>
      </x:c>
      <x:c r="F264" s="7" t="n">
        <x:v>321083.63</x:v>
      </x:c>
      <x:c r="G264" s="8" t="n">
        <x:v>0.7737</x:v>
      </x:c>
    </x:row>
    <x:row r="265">
      <x:c r="A265" s="6" t="n">
        <x:v>45717</x:v>
      </x:c>
      <x:c r="B265" s="5" t="str">
        <x:v>Sales</x:v>
      </x:c>
      <x:c r="C265" s="5" t="str">
        <x:v>Sales &amp; Marketing</x:v>
      </x:c>
      <x:c r="D265" s="5" t="str">
        <x:v>US West</x:v>
      </x:c>
      <x:c r="E265" s="10" t="n">
        <x:v>22</x:v>
      </x:c>
      <x:c r="F265" s="7" t="n">
        <x:v>403667.13</x:v>
      </x:c>
      <x:c r="G265" s="8"/>
    </x:row>
    <x:row r="266">
      <x:c r="A266" s="6" t="n">
        <x:v>45717</x:v>
      </x:c>
      <x:c r="B266" s="5" t="str">
        <x:v>Marketing</x:v>
      </x:c>
      <x:c r="C266" s="5" t="str">
        <x:v>Sales &amp; Marketing</x:v>
      </x:c>
      <x:c r="D266" s="5" t="str">
        <x:v>US West</x:v>
      </x:c>
      <x:c r="E266" s="10" t="n">
        <x:v>5</x:v>
      </x:c>
      <x:c r="F266" s="7" t="n">
        <x:v>66907.81</x:v>
      </x:c>
      <x:c r="G266" s="8"/>
    </x:row>
    <x:row r="267">
      <x:c r="A267" s="6" t="n">
        <x:v>45717</x:v>
      </x:c>
      <x:c r="B267" s="5" t="str">
        <x:v>Product &amp; Engineering</x:v>
      </x:c>
      <x:c r="C267" s="5" t="str">
        <x:v>Research &amp; Development</x:v>
      </x:c>
      <x:c r="D267" s="5" t="str">
        <x:v>US West</x:v>
      </x:c>
      <x:c r="E267" s="10" t="n">
        <x:v>47.6</x:v>
      </x:c>
      <x:c r="F267" s="7" t="n">
        <x:v>1092207.75</x:v>
      </x:c>
      <x:c r="G267" s="8"/>
    </x:row>
    <x:row r="268">
      <x:c r="A268" s="6" t="n">
        <x:v>45717</x:v>
      </x:c>
      <x:c r="B268" s="5" t="str">
        <x:v>Finance</x:v>
      </x:c>
      <x:c r="C268" s="5" t="str">
        <x:v>General &amp; Administrative</x:v>
      </x:c>
      <x:c r="D268" s="5" t="str">
        <x:v>US West</x:v>
      </x:c>
      <x:c r="E268" s="10" t="n">
        <x:v>2</x:v>
      </x:c>
      <x:c r="F268" s="7" t="n">
        <x:v>26625.32</x:v>
      </x:c>
      <x:c r="G268" s="8"/>
    </x:row>
    <x:row r="269">
      <x:c r="A269" s="6" t="n">
        <x:v>45717</x:v>
      </x:c>
      <x:c r="B269" s="5" t="str">
        <x:v>People</x:v>
      </x:c>
      <x:c r="C269" s="5" t="str">
        <x:v>General &amp; Administrative</x:v>
      </x:c>
      <x:c r="D269" s="5" t="str">
        <x:v>US West</x:v>
      </x:c>
      <x:c r="E269" s="10" t="n">
        <x:v>1.6</x:v>
      </x:c>
      <x:c r="F269" s="7" t="n">
        <x:v>18763.74</x:v>
      </x:c>
      <x:c r="G269" s="8"/>
    </x:row>
    <x:row r="270">
      <x:c r="A270" s="6" t="n">
        <x:v>45717</x:v>
      </x:c>
      <x:c r="B270" s="5" t="str">
        <x:v>Information Technology</x:v>
      </x:c>
      <x:c r="C270" s="5" t="str">
        <x:v>General &amp; Administrative</x:v>
      </x:c>
      <x:c r="D270" s="5" t="str">
        <x:v>US West</x:v>
      </x:c>
      <x:c r="E270" s="10" t="n">
        <x:v>1</x:v>
      </x:c>
      <x:c r="F270" s="7" t="n">
        <x:v>17728.54</x:v>
      </x:c>
      <x:c r="G270" s="8"/>
    </x:row>
    <x:row r="271">
      <x:c r="A271" s="6" t="n">
        <x:v>45717</x:v>
      </x:c>
      <x:c r="B271" s="5" t="str">
        <x:v>Executive</x:v>
      </x:c>
      <x:c r="C271" s="5" t="str">
        <x:v>General &amp; Administrative</x:v>
      </x:c>
      <x:c r="D271" s="5" t="str">
        <x:v>US West</x:v>
      </x:c>
      <x:c r="E271" s="10" t="n">
        <x:v>2</x:v>
      </x:c>
      <x:c r="F271" s="7" t="n">
        <x:v>75106.31</x:v>
      </x:c>
      <x:c r="G271" s="8"/>
    </x:row>
    <x:row r="272">
      <x:c r="A272" s="6" t="n">
        <x:v>45748</x:v>
      </x:c>
      <x:c r="B272" s="5" t="str">
        <x:v>Cloud Operations</x:v>
      </x:c>
      <x:c r="C272" s="5" t="str">
        <x:v>Cost of Revenue</x:v>
      </x:c>
      <x:c r="D272" s="5" t="str">
        <x:v>US West</x:v>
      </x:c>
      <x:c r="E272" s="10" t="n">
        <x:v>12</x:v>
      </x:c>
      <x:c r="F272" s="7" t="n">
        <x:v>230803.4</x:v>
      </x:c>
      <x:c r="G272" s="8"/>
    </x:row>
    <x:row r="273">
      <x:c r="A273" s="6" t="n">
        <x:v>45748</x:v>
      </x:c>
      <x:c r="B273" s="5" t="str">
        <x:v>Customer Support</x:v>
      </x:c>
      <x:c r="C273" s="5" t="str">
        <x:v>Cost of Revenue</x:v>
      </x:c>
      <x:c r="D273" s="5" t="str">
        <x:v>US West</x:v>
      </x:c>
      <x:c r="E273" s="10" t="n">
        <x:v>13</x:v>
      </x:c>
      <x:c r="F273" s="7" t="n">
        <x:v>183186.78</x:v>
      </x:c>
      <x:c r="G273" s="8"/>
    </x:row>
    <x:row r="274">
      <x:c r="A274" s="6" t="n">
        <x:v>45748</x:v>
      </x:c>
      <x:c r="B274" s="5" t="str">
        <x:v>Professional Services</x:v>
      </x:c>
      <x:c r="C274" s="5" t="str">
        <x:v>Cost of Revenue</x:v>
      </x:c>
      <x:c r="D274" s="5" t="str">
        <x:v>US West</x:v>
      </x:c>
      <x:c r="E274" s="10" t="n">
        <x:v>19</x:v>
      </x:c>
      <x:c r="F274" s="7" t="n">
        <x:v>321083.63</x:v>
      </x:c>
      <x:c r="G274" s="8" t="n">
        <x:v>0.7428</x:v>
      </x:c>
    </x:row>
    <x:row r="275">
      <x:c r="A275" s="6" t="n">
        <x:v>45748</x:v>
      </x:c>
      <x:c r="B275" s="5" t="str">
        <x:v>Sales</x:v>
      </x:c>
      <x:c r="C275" s="5" t="str">
        <x:v>Sales &amp; Marketing</x:v>
      </x:c>
      <x:c r="D275" s="5" t="str">
        <x:v>US West</x:v>
      </x:c>
      <x:c r="E275" s="10" t="n">
        <x:v>22</x:v>
      </x:c>
      <x:c r="F275" s="7" t="n">
        <x:v>403667.13</x:v>
      </x:c>
      <x:c r="G275" s="8"/>
    </x:row>
    <x:row r="276">
      <x:c r="A276" s="6" t="n">
        <x:v>45748</x:v>
      </x:c>
      <x:c r="B276" s="5" t="str">
        <x:v>Marketing</x:v>
      </x:c>
      <x:c r="C276" s="5" t="str">
        <x:v>Sales &amp; Marketing</x:v>
      </x:c>
      <x:c r="D276" s="5" t="str">
        <x:v>US West</x:v>
      </x:c>
      <x:c r="E276" s="10" t="n">
        <x:v>5</x:v>
      </x:c>
      <x:c r="F276" s="7" t="n">
        <x:v>66907.81</x:v>
      </x:c>
      <x:c r="G276" s="8"/>
    </x:row>
    <x:row r="277">
      <x:c r="A277" s="6" t="n">
        <x:v>45748</x:v>
      </x:c>
      <x:c r="B277" s="5" t="str">
        <x:v>Product &amp; Engineering</x:v>
      </x:c>
      <x:c r="C277" s="5" t="str">
        <x:v>Research &amp; Development</x:v>
      </x:c>
      <x:c r="D277" s="5" t="str">
        <x:v>US West</x:v>
      </x:c>
      <x:c r="E277" s="10" t="n">
        <x:v>47.6</x:v>
      </x:c>
      <x:c r="F277" s="7" t="n">
        <x:v>1094159.88</x:v>
      </x:c>
      <x:c r="G277" s="8"/>
    </x:row>
    <x:row r="278">
      <x:c r="A278" s="6" t="n">
        <x:v>45748</x:v>
      </x:c>
      <x:c r="B278" s="5" t="str">
        <x:v>Finance</x:v>
      </x:c>
      <x:c r="C278" s="5" t="str">
        <x:v>General &amp; Administrative</x:v>
      </x:c>
      <x:c r="D278" s="5" t="str">
        <x:v>US West</x:v>
      </x:c>
      <x:c r="E278" s="10" t="n">
        <x:v>1</x:v>
      </x:c>
      <x:c r="F278" s="7" t="n">
        <x:v>11928.97</x:v>
      </x:c>
      <x:c r="G278" s="8"/>
    </x:row>
    <x:row r="279">
      <x:c r="A279" s="6" t="n">
        <x:v>45748</x:v>
      </x:c>
      <x:c r="B279" s="5" t="str">
        <x:v>People</x:v>
      </x:c>
      <x:c r="C279" s="5" t="str">
        <x:v>General &amp; Administrative</x:v>
      </x:c>
      <x:c r="D279" s="5" t="str">
        <x:v>US West</x:v>
      </x:c>
      <x:c r="E279" s="10" t="n">
        <x:v>1.6</x:v>
      </x:c>
      <x:c r="F279" s="7" t="n">
        <x:v>18763.74</x:v>
      </x:c>
      <x:c r="G279" s="8"/>
    </x:row>
    <x:row r="280">
      <x:c r="A280" s="6" t="n">
        <x:v>45748</x:v>
      </x:c>
      <x:c r="B280" s="5" t="str">
        <x:v>Information Technology</x:v>
      </x:c>
      <x:c r="C280" s="5" t="str">
        <x:v>General &amp; Administrative</x:v>
      </x:c>
      <x:c r="D280" s="5" t="str">
        <x:v>US West</x:v>
      </x:c>
      <x:c r="E280" s="10" t="n">
        <x:v>1</x:v>
      </x:c>
      <x:c r="F280" s="7" t="n">
        <x:v>17728.54</x:v>
      </x:c>
      <x:c r="G280" s="8"/>
    </x:row>
    <x:row r="281">
      <x:c r="A281" s="6" t="n">
        <x:v>45748</x:v>
      </x:c>
      <x:c r="B281" s="5" t="str">
        <x:v>Executive</x:v>
      </x:c>
      <x:c r="C281" s="5" t="str">
        <x:v>General &amp; Administrative</x:v>
      </x:c>
      <x:c r="D281" s="5" t="str">
        <x:v>US West</x:v>
      </x:c>
      <x:c r="E281" s="10" t="n">
        <x:v>2</x:v>
      </x:c>
      <x:c r="F281" s="7" t="n">
        <x:v>75106.31</x:v>
      </x:c>
      <x:c r="G281" s="8"/>
    </x:row>
    <x:row r="282">
      <x:c r="A282" s="6" t="n">
        <x:v>45778</x:v>
      </x:c>
      <x:c r="B282" s="5" t="str">
        <x:v>Cloud Operations</x:v>
      </x:c>
      <x:c r="C282" s="5" t="str">
        <x:v>Cost of Revenue</x:v>
      </x:c>
      <x:c r="D282" s="5" t="str">
        <x:v>US West</x:v>
      </x:c>
      <x:c r="E282" s="10" t="n">
        <x:v>12</x:v>
      </x:c>
      <x:c r="F282" s="7" t="n">
        <x:v>230803.4</x:v>
      </x:c>
      <x:c r="G282" s="8"/>
    </x:row>
    <x:row r="283">
      <x:c r="A283" s="6" t="n">
        <x:v>45778</x:v>
      </x:c>
      <x:c r="B283" s="5" t="str">
        <x:v>Customer Support</x:v>
      </x:c>
      <x:c r="C283" s="5" t="str">
        <x:v>Cost of Revenue</x:v>
      </x:c>
      <x:c r="D283" s="5" t="str">
        <x:v>US West</x:v>
      </x:c>
      <x:c r="E283" s="10" t="n">
        <x:v>13</x:v>
      </x:c>
      <x:c r="F283" s="7" t="n">
        <x:v>183186.78</x:v>
      </x:c>
      <x:c r="G283" s="8"/>
    </x:row>
    <x:row r="284">
      <x:c r="A284" s="6" t="n">
        <x:v>45778</x:v>
      </x:c>
      <x:c r="B284" s="5" t="str">
        <x:v>Professional Services</x:v>
      </x:c>
      <x:c r="C284" s="5" t="str">
        <x:v>Cost of Revenue</x:v>
      </x:c>
      <x:c r="D284" s="5" t="str">
        <x:v>US West</x:v>
      </x:c>
      <x:c r="E284" s="10" t="n">
        <x:v>19</x:v>
      </x:c>
      <x:c r="F284" s="7" t="n">
        <x:v>321083.63</x:v>
      </x:c>
      <x:c r="G284" s="8" t="n">
        <x:v>0.7633</x:v>
      </x:c>
    </x:row>
    <x:row r="285">
      <x:c r="A285" s="6" t="n">
        <x:v>45778</x:v>
      </x:c>
      <x:c r="B285" s="5" t="str">
        <x:v>Sales</x:v>
      </x:c>
      <x:c r="C285" s="5" t="str">
        <x:v>Sales &amp; Marketing</x:v>
      </x:c>
      <x:c r="D285" s="5" t="str">
        <x:v>US West</x:v>
      </x:c>
      <x:c r="E285" s="10" t="n">
        <x:v>22</x:v>
      </x:c>
      <x:c r="F285" s="7" t="n">
        <x:v>403667.13</x:v>
      </x:c>
      <x:c r="G285" s="8"/>
    </x:row>
    <x:row r="286">
      <x:c r="A286" s="6" t="n">
        <x:v>45778</x:v>
      </x:c>
      <x:c r="B286" s="5" t="str">
        <x:v>Marketing</x:v>
      </x:c>
      <x:c r="C286" s="5" t="str">
        <x:v>Sales &amp; Marketing</x:v>
      </x:c>
      <x:c r="D286" s="5" t="str">
        <x:v>US West</x:v>
      </x:c>
      <x:c r="E286" s="10" t="n">
        <x:v>5</x:v>
      </x:c>
      <x:c r="F286" s="7" t="n">
        <x:v>66907.81</x:v>
      </x:c>
      <x:c r="G286" s="8"/>
    </x:row>
    <x:row r="287">
      <x:c r="A287" s="6" t="n">
        <x:v>45778</x:v>
      </x:c>
      <x:c r="B287" s="5" t="str">
        <x:v>Product &amp; Engineering</x:v>
      </x:c>
      <x:c r="C287" s="5" t="str">
        <x:v>Research &amp; Development</x:v>
      </x:c>
      <x:c r="D287" s="5" t="str">
        <x:v>US West</x:v>
      </x:c>
      <x:c r="E287" s="10" t="n">
        <x:v>47.6</x:v>
      </x:c>
      <x:c r="F287" s="7" t="n">
        <x:v>1094159.88</x:v>
      </x:c>
      <x:c r="G287" s="8"/>
    </x:row>
    <x:row r="288">
      <x:c r="A288" s="6" t="n">
        <x:v>45778</x:v>
      </x:c>
      <x:c r="B288" s="5" t="str">
        <x:v>Finance</x:v>
      </x:c>
      <x:c r="C288" s="5" t="str">
        <x:v>General &amp; Administrative</x:v>
      </x:c>
      <x:c r="D288" s="5" t="str">
        <x:v>US West</x:v>
      </x:c>
      <x:c r="E288" s="10" t="n">
        <x:v>1</x:v>
      </x:c>
      <x:c r="F288" s="7" t="n">
        <x:v>11928.97</x:v>
      </x:c>
      <x:c r="G288" s="8"/>
    </x:row>
    <x:row r="289">
      <x:c r="A289" s="6" t="n">
        <x:v>45778</x:v>
      </x:c>
      <x:c r="B289" s="5" t="str">
        <x:v>People</x:v>
      </x:c>
      <x:c r="C289" s="5" t="str">
        <x:v>General &amp; Administrative</x:v>
      </x:c>
      <x:c r="D289" s="5" t="str">
        <x:v>US West</x:v>
      </x:c>
      <x:c r="E289" s="10" t="n">
        <x:v>1.6</x:v>
      </x:c>
      <x:c r="F289" s="7" t="n">
        <x:v>18763.74</x:v>
      </x:c>
      <x:c r="G289" s="8"/>
    </x:row>
    <x:row r="290">
      <x:c r="A290" s="6" t="n">
        <x:v>45778</x:v>
      </x:c>
      <x:c r="B290" s="5" t="str">
        <x:v>Information Technology</x:v>
      </x:c>
      <x:c r="C290" s="5" t="str">
        <x:v>General &amp; Administrative</x:v>
      </x:c>
      <x:c r="D290" s="5" t="str">
        <x:v>US West</x:v>
      </x:c>
      <x:c r="E290" s="10" t="n">
        <x:v>1</x:v>
      </x:c>
      <x:c r="F290" s="7" t="n">
        <x:v>17728.54</x:v>
      </x:c>
      <x:c r="G290" s="8"/>
    </x:row>
    <x:row r="291">
      <x:c r="A291" s="6" t="n">
        <x:v>45778</x:v>
      </x:c>
      <x:c r="B291" s="5" t="str">
        <x:v>Executive</x:v>
      </x:c>
      <x:c r="C291" s="5" t="str">
        <x:v>General &amp; Administrative</x:v>
      </x:c>
      <x:c r="D291" s="5" t="str">
        <x:v>US West</x:v>
      </x:c>
      <x:c r="E291" s="10" t="n">
        <x:v>2</x:v>
      </x:c>
      <x:c r="F291" s="7" t="n">
        <x:v>75106.31</x:v>
      </x:c>
      <x:c r="G291" s="8"/>
    </x:row>
    <x:row r="292">
      <x:c r="A292" s="6" t="n">
        <x:v>45809</x:v>
      </x:c>
      <x:c r="B292" s="5" t="str">
        <x:v>Cloud Operations</x:v>
      </x:c>
      <x:c r="C292" s="5" t="str">
        <x:v>Cost of Revenue</x:v>
      </x:c>
      <x:c r="D292" s="5" t="str">
        <x:v>US West</x:v>
      </x:c>
      <x:c r="E292" s="10" t="n">
        <x:v>12</x:v>
      </x:c>
      <x:c r="F292" s="7" t="n">
        <x:v>230803.4</x:v>
      </x:c>
      <x:c r="G292" s="8"/>
    </x:row>
    <x:row r="293">
      <x:c r="A293" s="6" t="n">
        <x:v>45809</x:v>
      </x:c>
      <x:c r="B293" s="5" t="str">
        <x:v>Customer Support</x:v>
      </x:c>
      <x:c r="C293" s="5" t="str">
        <x:v>Cost of Revenue</x:v>
      </x:c>
      <x:c r="D293" s="5" t="str">
        <x:v>US West</x:v>
      </x:c>
      <x:c r="E293" s="10" t="n">
        <x:v>13</x:v>
      </x:c>
      <x:c r="F293" s="7" t="n">
        <x:v>183186.78</x:v>
      </x:c>
      <x:c r="G293" s="8"/>
    </x:row>
    <x:row r="294">
      <x:c r="A294" s="6" t="n">
        <x:v>45809</x:v>
      </x:c>
      <x:c r="B294" s="5" t="str">
        <x:v>Professional Services</x:v>
      </x:c>
      <x:c r="C294" s="5" t="str">
        <x:v>Cost of Revenue</x:v>
      </x:c>
      <x:c r="D294" s="5" t="str">
        <x:v>US West</x:v>
      </x:c>
      <x:c r="E294" s="10" t="n">
        <x:v>18</x:v>
      </x:c>
      <x:c r="F294" s="7" t="n">
        <x:v>299870.37</x:v>
      </x:c>
      <x:c r="G294" s="8" t="n">
        <x:v>0.7391</x:v>
      </x:c>
    </x:row>
    <x:row r="295">
      <x:c r="A295" s="6" t="n">
        <x:v>45809</x:v>
      </x:c>
      <x:c r="B295" s="5" t="str">
        <x:v>Sales</x:v>
      </x:c>
      <x:c r="C295" s="5" t="str">
        <x:v>Sales &amp; Marketing</x:v>
      </x:c>
      <x:c r="D295" s="5" t="str">
        <x:v>US West</x:v>
      </x:c>
      <x:c r="E295" s="10" t="n">
        <x:v>23</x:v>
      </x:c>
      <x:c r="F295" s="7" t="n">
        <x:v>420372.79</x:v>
      </x:c>
      <x:c r="G295" s="8"/>
    </x:row>
    <x:row r="296">
      <x:c r="A296" s="6" t="n">
        <x:v>45809</x:v>
      </x:c>
      <x:c r="B296" s="5" t="str">
        <x:v>Marketing</x:v>
      </x:c>
      <x:c r="C296" s="5" t="str">
        <x:v>Sales &amp; Marketing</x:v>
      </x:c>
      <x:c r="D296" s="5" t="str">
        <x:v>US West</x:v>
      </x:c>
      <x:c r="E296" s="10" t="n">
        <x:v>5</x:v>
      </x:c>
      <x:c r="F296" s="7" t="n">
        <x:v>66907.81</x:v>
      </x:c>
      <x:c r="G296" s="8"/>
    </x:row>
    <x:row r="297">
      <x:c r="A297" s="6" t="n">
        <x:v>45809</x:v>
      </x:c>
      <x:c r="B297" s="5" t="str">
        <x:v>Product &amp; Engineering</x:v>
      </x:c>
      <x:c r="C297" s="5" t="str">
        <x:v>Research &amp; Development</x:v>
      </x:c>
      <x:c r="D297" s="5" t="str">
        <x:v>US West</x:v>
      </x:c>
      <x:c r="E297" s="10" t="n">
        <x:v>47.6</x:v>
      </x:c>
      <x:c r="F297" s="7" t="n">
        <x:v>1094159.88</x:v>
      </x:c>
      <x:c r="G297" s="8"/>
    </x:row>
    <x:row r="298">
      <x:c r="A298" s="6" t="n">
        <x:v>45809</x:v>
      </x:c>
      <x:c r="B298" s="5" t="str">
        <x:v>Finance</x:v>
      </x:c>
      <x:c r="C298" s="5" t="str">
        <x:v>General &amp; Administrative</x:v>
      </x:c>
      <x:c r="D298" s="5" t="str">
        <x:v>US West</x:v>
      </x:c>
      <x:c r="E298" s="10" t="n">
        <x:v>1</x:v>
      </x:c>
      <x:c r="F298" s="7" t="n">
        <x:v>11928.97</x:v>
      </x:c>
      <x:c r="G298" s="8"/>
    </x:row>
    <x:row r="299">
      <x:c r="A299" s="6" t="n">
        <x:v>45809</x:v>
      </x:c>
      <x:c r="B299" s="5" t="str">
        <x:v>People</x:v>
      </x:c>
      <x:c r="C299" s="5" t="str">
        <x:v>General &amp; Administrative</x:v>
      </x:c>
      <x:c r="D299" s="5" t="str">
        <x:v>US West</x:v>
      </x:c>
      <x:c r="E299" s="10" t="n">
        <x:v>1.6</x:v>
      </x:c>
      <x:c r="F299" s="7" t="n">
        <x:v>18763.74</x:v>
      </x:c>
      <x:c r="G299" s="8"/>
    </x:row>
    <x:row r="300">
      <x:c r="A300" s="6" t="n">
        <x:v>45809</x:v>
      </x:c>
      <x:c r="B300" s="5" t="str">
        <x:v>Information Technology</x:v>
      </x:c>
      <x:c r="C300" s="5" t="str">
        <x:v>General &amp; Administrative</x:v>
      </x:c>
      <x:c r="D300" s="5" t="str">
        <x:v>US West</x:v>
      </x:c>
      <x:c r="E300" s="10" t="n">
        <x:v>1</x:v>
      </x:c>
      <x:c r="F300" s="7" t="n">
        <x:v>17728.54</x:v>
      </x:c>
      <x:c r="G300" s="8"/>
    </x:row>
    <x:row r="301">
      <x:c r="A301" s="6" t="n">
        <x:v>45809</x:v>
      </x:c>
      <x:c r="B301" s="5" t="str">
        <x:v>Executive</x:v>
      </x:c>
      <x:c r="C301" s="5" t="str">
        <x:v>General &amp; Administrative</x:v>
      </x:c>
      <x:c r="D301" s="5" t="str">
        <x:v>US West</x:v>
      </x:c>
      <x:c r="E301" s="10" t="n">
        <x:v>2</x:v>
      </x:c>
      <x:c r="F301" s="7" t="n">
        <x:v>75106.31</x:v>
      </x:c>
      <x:c r="G301" s="8"/>
    </x:row>
    <x:row r="302">
      <x:c r="A302" s="6" t="n">
        <x:v>45839</x:v>
      </x:c>
      <x:c r="B302" s="5" t="str">
        <x:v>Cloud Operations</x:v>
      </x:c>
      <x:c r="C302" s="5" t="str">
        <x:v>Cost of Revenue</x:v>
      </x:c>
      <x:c r="D302" s="5" t="str">
        <x:v>US West</x:v>
      </x:c>
      <x:c r="E302" s="10" t="n">
        <x:v>12</x:v>
      </x:c>
      <x:c r="F302" s="7" t="n">
        <x:v>230803.4</x:v>
      </x:c>
      <x:c r="G302" s="8"/>
    </x:row>
    <x:row r="303">
      <x:c r="A303" s="6" t="n">
        <x:v>45839</x:v>
      </x:c>
      <x:c r="B303" s="5" t="str">
        <x:v>Customer Support</x:v>
      </x:c>
      <x:c r="C303" s="5" t="str">
        <x:v>Cost of Revenue</x:v>
      </x:c>
      <x:c r="D303" s="5" t="str">
        <x:v>US West</x:v>
      </x:c>
      <x:c r="E303" s="10" t="n">
        <x:v>13</x:v>
      </x:c>
      <x:c r="F303" s="7" t="n">
        <x:v>183186.78</x:v>
      </x:c>
      <x:c r="G303" s="8"/>
    </x:row>
    <x:row r="304">
      <x:c r="A304" s="6" t="n">
        <x:v>45839</x:v>
      </x:c>
      <x:c r="B304" s="5" t="str">
        <x:v>Professional Services</x:v>
      </x:c>
      <x:c r="C304" s="5" t="str">
        <x:v>Cost of Revenue</x:v>
      </x:c>
      <x:c r="D304" s="5" t="str">
        <x:v>US West</x:v>
      </x:c>
      <x:c r="E304" s="10" t="n">
        <x:v>18</x:v>
      </x:c>
      <x:c r="F304" s="7" t="n">
        <x:v>299870.37</x:v>
      </x:c>
      <x:c r="G304" s="8" t="n">
        <x:v>0.7723</x:v>
      </x:c>
    </x:row>
    <x:row r="305">
      <x:c r="A305" s="6" t="n">
        <x:v>45839</x:v>
      </x:c>
      <x:c r="B305" s="5" t="str">
        <x:v>Sales</x:v>
      </x:c>
      <x:c r="C305" s="5" t="str">
        <x:v>Sales &amp; Marketing</x:v>
      </x:c>
      <x:c r="D305" s="5" t="str">
        <x:v>US West</x:v>
      </x:c>
      <x:c r="E305" s="10" t="n">
        <x:v>23</x:v>
      </x:c>
      <x:c r="F305" s="7" t="n">
        <x:v>420372.79</x:v>
      </x:c>
      <x:c r="G305" s="8"/>
    </x:row>
    <x:row r="306">
      <x:c r="A306" s="6" t="n">
        <x:v>45839</x:v>
      </x:c>
      <x:c r="B306" s="5" t="str">
        <x:v>Marketing</x:v>
      </x:c>
      <x:c r="C306" s="5" t="str">
        <x:v>Sales &amp; Marketing</x:v>
      </x:c>
      <x:c r="D306" s="5" t="str">
        <x:v>US West</x:v>
      </x:c>
      <x:c r="E306" s="10" t="n">
        <x:v>5</x:v>
      </x:c>
      <x:c r="F306" s="7" t="n">
        <x:v>66907.81</x:v>
      </x:c>
      <x:c r="G306" s="8"/>
    </x:row>
    <x:row r="307">
      <x:c r="A307" s="6" t="n">
        <x:v>45839</x:v>
      </x:c>
      <x:c r="B307" s="5" t="str">
        <x:v>Product &amp; Engineering</x:v>
      </x:c>
      <x:c r="C307" s="5" t="str">
        <x:v>Research &amp; Development</x:v>
      </x:c>
      <x:c r="D307" s="5" t="str">
        <x:v>US West</x:v>
      </x:c>
      <x:c r="E307" s="10" t="n">
        <x:v>48.6</x:v>
      </x:c>
      <x:c r="F307" s="7" t="n">
        <x:v>1105916.5</x:v>
      </x:c>
      <x:c r="G307" s="8"/>
    </x:row>
    <x:row r="308">
      <x:c r="A308" s="6" t="n">
        <x:v>45839</x:v>
      </x:c>
      <x:c r="B308" s="5" t="str">
        <x:v>Finance</x:v>
      </x:c>
      <x:c r="C308" s="5" t="str">
        <x:v>General &amp; Administrative</x:v>
      </x:c>
      <x:c r="D308" s="5" t="str">
        <x:v>US West</x:v>
      </x:c>
      <x:c r="E308" s="10" t="n">
        <x:v>1</x:v>
      </x:c>
      <x:c r="F308" s="7" t="n">
        <x:v>11928.97</x:v>
      </x:c>
      <x:c r="G308" s="8"/>
    </x:row>
    <x:row r="309">
      <x:c r="A309" s="6" t="n">
        <x:v>45839</x:v>
      </x:c>
      <x:c r="B309" s="5" t="str">
        <x:v>People</x:v>
      </x:c>
      <x:c r="C309" s="5" t="str">
        <x:v>General &amp; Administrative</x:v>
      </x:c>
      <x:c r="D309" s="5" t="str">
        <x:v>US West</x:v>
      </x:c>
      <x:c r="E309" s="10" t="n">
        <x:v>1.6</x:v>
      </x:c>
      <x:c r="F309" s="7" t="n">
        <x:v>18763.74</x:v>
      </x:c>
      <x:c r="G309" s="8"/>
    </x:row>
    <x:row r="310">
      <x:c r="A310" s="6" t="n">
        <x:v>45839</x:v>
      </x:c>
      <x:c r="B310" s="5" t="str">
        <x:v>Information Technology</x:v>
      </x:c>
      <x:c r="C310" s="5" t="str">
        <x:v>General &amp; Administrative</x:v>
      </x:c>
      <x:c r="D310" s="5" t="str">
        <x:v>US West</x:v>
      </x:c>
      <x:c r="E310" s="10" t="n">
        <x:v>1</x:v>
      </x:c>
      <x:c r="F310" s="7" t="n">
        <x:v>17728.54</x:v>
      </x:c>
      <x:c r="G310" s="8"/>
    </x:row>
    <x:row r="311">
      <x:c r="A311" s="6" t="n">
        <x:v>45839</x:v>
      </x:c>
      <x:c r="B311" s="5" t="str">
        <x:v>Executive</x:v>
      </x:c>
      <x:c r="C311" s="5" t="str">
        <x:v>General &amp; Administrative</x:v>
      </x:c>
      <x:c r="D311" s="5" t="str">
        <x:v>US West</x:v>
      </x:c>
      <x:c r="E311" s="10" t="n">
        <x:v>2</x:v>
      </x:c>
      <x:c r="F311" s="7" t="n">
        <x:v>75106.31</x:v>
      </x:c>
      <x:c r="G311" s="8"/>
    </x:row>
    <x:row r="312">
      <x:c r="A312" s="6" t="n">
        <x:v>45870</x:v>
      </x:c>
      <x:c r="B312" s="5" t="str">
        <x:v>Cloud Operations</x:v>
      </x:c>
      <x:c r="C312" s="5" t="str">
        <x:v>Cost of Revenue</x:v>
      </x:c>
      <x:c r="D312" s="5" t="str">
        <x:v>US West</x:v>
      </x:c>
      <x:c r="E312" s="10" t="n">
        <x:v>12</x:v>
      </x:c>
      <x:c r="F312" s="7" t="n">
        <x:v>230803.4</x:v>
      </x:c>
      <x:c r="G312" s="8"/>
    </x:row>
    <x:row r="313">
      <x:c r="A313" s="6" t="n">
        <x:v>45870</x:v>
      </x:c>
      <x:c r="B313" s="5" t="str">
        <x:v>Customer Support</x:v>
      </x:c>
      <x:c r="C313" s="5" t="str">
        <x:v>Cost of Revenue</x:v>
      </x:c>
      <x:c r="D313" s="5" t="str">
        <x:v>US West</x:v>
      </x:c>
      <x:c r="E313" s="10" t="n">
        <x:v>13</x:v>
      </x:c>
      <x:c r="F313" s="7" t="n">
        <x:v>183186.78</x:v>
      </x:c>
      <x:c r="G313" s="8"/>
    </x:row>
    <x:row r="314">
      <x:c r="A314" s="6" t="n">
        <x:v>45870</x:v>
      </x:c>
      <x:c r="B314" s="5" t="str">
        <x:v>Professional Services</x:v>
      </x:c>
      <x:c r="C314" s="5" t="str">
        <x:v>Cost of Revenue</x:v>
      </x:c>
      <x:c r="D314" s="5" t="str">
        <x:v>US West</x:v>
      </x:c>
      <x:c r="E314" s="10" t="n">
        <x:v>18</x:v>
      </x:c>
      <x:c r="F314" s="7" t="n">
        <x:v>299870.37</x:v>
      </x:c>
      <x:c r="G314" s="8" t="n">
        <x:v>0.7316</x:v>
      </x:c>
    </x:row>
    <x:row r="315">
      <x:c r="A315" s="6" t="n">
        <x:v>45870</x:v>
      </x:c>
      <x:c r="B315" s="5" t="str">
        <x:v>Sales</x:v>
      </x:c>
      <x:c r="C315" s="5" t="str">
        <x:v>Sales &amp; Marketing</x:v>
      </x:c>
      <x:c r="D315" s="5" t="str">
        <x:v>US West</x:v>
      </x:c>
      <x:c r="E315" s="10" t="n">
        <x:v>23</x:v>
      </x:c>
      <x:c r="F315" s="7" t="n">
        <x:v>420372.79</x:v>
      </x:c>
      <x:c r="G315" s="8"/>
    </x:row>
    <x:row r="316">
      <x:c r="A316" s="6" t="n">
        <x:v>45870</x:v>
      </x:c>
      <x:c r="B316" s="5" t="str">
        <x:v>Marketing</x:v>
      </x:c>
      <x:c r="C316" s="5" t="str">
        <x:v>Sales &amp; Marketing</x:v>
      </x:c>
      <x:c r="D316" s="5" t="str">
        <x:v>US West</x:v>
      </x:c>
      <x:c r="E316" s="10" t="n">
        <x:v>5</x:v>
      </x:c>
      <x:c r="F316" s="7" t="n">
        <x:v>66907.81</x:v>
      </x:c>
      <x:c r="G316" s="8"/>
    </x:row>
    <x:row r="317">
      <x:c r="A317" s="6" t="n">
        <x:v>45870</x:v>
      </x:c>
      <x:c r="B317" s="5" t="str">
        <x:v>Product &amp; Engineering</x:v>
      </x:c>
      <x:c r="C317" s="5" t="str">
        <x:v>Research &amp; Development</x:v>
      </x:c>
      <x:c r="D317" s="5" t="str">
        <x:v>US West</x:v>
      </x:c>
      <x:c r="E317" s="10" t="n">
        <x:v>48.6</x:v>
      </x:c>
      <x:c r="F317" s="7" t="n">
        <x:v>1105916.5</x:v>
      </x:c>
      <x:c r="G317" s="8"/>
    </x:row>
    <x:row r="318">
      <x:c r="A318" s="6" t="n">
        <x:v>45870</x:v>
      </x:c>
      <x:c r="B318" s="5" t="str">
        <x:v>Finance</x:v>
      </x:c>
      <x:c r="C318" s="5" t="str">
        <x:v>General &amp; Administrative</x:v>
      </x:c>
      <x:c r="D318" s="5" t="str">
        <x:v>US West</x:v>
      </x:c>
      <x:c r="E318" s="10" t="n">
        <x:v>1</x:v>
      </x:c>
      <x:c r="F318" s="7" t="n">
        <x:v>11928.97</x:v>
      </x:c>
      <x:c r="G318" s="8"/>
    </x:row>
    <x:row r="319">
      <x:c r="A319" s="6" t="n">
        <x:v>45870</x:v>
      </x:c>
      <x:c r="B319" s="5" t="str">
        <x:v>People</x:v>
      </x:c>
      <x:c r="C319" s="5" t="str">
        <x:v>General &amp; Administrative</x:v>
      </x:c>
      <x:c r="D319" s="5" t="str">
        <x:v>US West</x:v>
      </x:c>
      <x:c r="E319" s="10" t="n">
        <x:v>1.6</x:v>
      </x:c>
      <x:c r="F319" s="7" t="n">
        <x:v>18763.74</x:v>
      </x:c>
      <x:c r="G319" s="8"/>
    </x:row>
    <x:row r="320">
      <x:c r="A320" s="6" t="n">
        <x:v>45870</x:v>
      </x:c>
      <x:c r="B320" s="5" t="str">
        <x:v>Information Technology</x:v>
      </x:c>
      <x:c r="C320" s="5" t="str">
        <x:v>General &amp; Administrative</x:v>
      </x:c>
      <x:c r="D320" s="5" t="str">
        <x:v>US West</x:v>
      </x:c>
      <x:c r="E320" s="10" t="n">
        <x:v>1</x:v>
      </x:c>
      <x:c r="F320" s="7" t="n">
        <x:v>17728.54</x:v>
      </x:c>
      <x:c r="G320" s="8"/>
    </x:row>
    <x:row r="321">
      <x:c r="A321" s="6" t="n">
        <x:v>45870</x:v>
      </x:c>
      <x:c r="B321" s="5" t="str">
        <x:v>Executive</x:v>
      </x:c>
      <x:c r="C321" s="5" t="str">
        <x:v>General &amp; Administrative</x:v>
      </x:c>
      <x:c r="D321" s="5" t="str">
        <x:v>US West</x:v>
      </x:c>
      <x:c r="E321" s="10" t="n">
        <x:v>2</x:v>
      </x:c>
      <x:c r="F321" s="7" t="n">
        <x:v>75106.31</x:v>
      </x:c>
      <x:c r="G321" s="8"/>
    </x:row>
    <x:row r="322">
      <x:c r="A322" s="6" t="n">
        <x:v>45901</x:v>
      </x:c>
      <x:c r="B322" s="5" t="str">
        <x:v>Cloud Operations</x:v>
      </x:c>
      <x:c r="C322" s="5" t="str">
        <x:v>Cost of Revenue</x:v>
      </x:c>
      <x:c r="D322" s="5" t="str">
        <x:v>US West</x:v>
      </x:c>
      <x:c r="E322" s="10" t="n">
        <x:v>12</x:v>
      </x:c>
      <x:c r="F322" s="7" t="n">
        <x:v>230803.4</x:v>
      </x:c>
      <x:c r="G322" s="8"/>
    </x:row>
    <x:row r="323">
      <x:c r="A323" s="6" t="n">
        <x:v>45901</x:v>
      </x:c>
      <x:c r="B323" s="5" t="str">
        <x:v>Customer Support</x:v>
      </x:c>
      <x:c r="C323" s="5" t="str">
        <x:v>Cost of Revenue</x:v>
      </x:c>
      <x:c r="D323" s="5" t="str">
        <x:v>US West</x:v>
      </x:c>
      <x:c r="E323" s="10" t="n">
        <x:v>13</x:v>
      </x:c>
      <x:c r="F323" s="7" t="n">
        <x:v>183186.78</x:v>
      </x:c>
      <x:c r="G323" s="8"/>
    </x:row>
    <x:row r="324">
      <x:c r="A324" s="6" t="n">
        <x:v>45901</x:v>
      </x:c>
      <x:c r="B324" s="5" t="str">
        <x:v>Professional Services</x:v>
      </x:c>
      <x:c r="C324" s="5" t="str">
        <x:v>Cost of Revenue</x:v>
      </x:c>
      <x:c r="D324" s="5" t="str">
        <x:v>US West</x:v>
      </x:c>
      <x:c r="E324" s="10" t="n">
        <x:v>18</x:v>
      </x:c>
      <x:c r="F324" s="7" t="n">
        <x:v>299870.37</x:v>
      </x:c>
      <x:c r="G324" s="8" t="n">
        <x:v>0.7505</x:v>
      </x:c>
    </x:row>
    <x:row r="325">
      <x:c r="A325" s="6" t="n">
        <x:v>45901</x:v>
      </x:c>
      <x:c r="B325" s="5" t="str">
        <x:v>Sales</x:v>
      </x:c>
      <x:c r="C325" s="5" t="str">
        <x:v>Sales &amp; Marketing</x:v>
      </x:c>
      <x:c r="D325" s="5" t="str">
        <x:v>US West</x:v>
      </x:c>
      <x:c r="E325" s="10" t="n">
        <x:v>23</x:v>
      </x:c>
      <x:c r="F325" s="7" t="n">
        <x:v>420372.79</x:v>
      </x:c>
      <x:c r="G325" s="8"/>
    </x:row>
    <x:row r="326">
      <x:c r="A326" s="6" t="n">
        <x:v>45901</x:v>
      </x:c>
      <x:c r="B326" s="5" t="str">
        <x:v>Marketing</x:v>
      </x:c>
      <x:c r="C326" s="5" t="str">
        <x:v>Sales &amp; Marketing</x:v>
      </x:c>
      <x:c r="D326" s="5" t="str">
        <x:v>US West</x:v>
      </x:c>
      <x:c r="E326" s="10" t="n">
        <x:v>4</x:v>
      </x:c>
      <x:c r="F326" s="7" t="n">
        <x:v>48482.96</x:v>
      </x:c>
      <x:c r="G326" s="8"/>
    </x:row>
    <x:row r="327">
      <x:c r="A327" s="6" t="n">
        <x:v>45901</x:v>
      </x:c>
      <x:c r="B327" s="5" t="str">
        <x:v>Product &amp; Engineering</x:v>
      </x:c>
      <x:c r="C327" s="5" t="str">
        <x:v>Research &amp; Development</x:v>
      </x:c>
      <x:c r="D327" s="5" t="str">
        <x:v>US West</x:v>
      </x:c>
      <x:c r="E327" s="10" t="n">
        <x:v>48.6</x:v>
      </x:c>
      <x:c r="F327" s="7" t="n">
        <x:v>1105916.5</x:v>
      </x:c>
      <x:c r="G327" s="8"/>
    </x:row>
    <x:row r="328">
      <x:c r="A328" s="6" t="n">
        <x:v>45901</x:v>
      </x:c>
      <x:c r="B328" s="5" t="str">
        <x:v>Finance</x:v>
      </x:c>
      <x:c r="C328" s="5" t="str">
        <x:v>General &amp; Administrative</x:v>
      </x:c>
      <x:c r="D328" s="5" t="str">
        <x:v>US West</x:v>
      </x:c>
      <x:c r="E328" s="10" t="n">
        <x:v>1</x:v>
      </x:c>
      <x:c r="F328" s="7" t="n">
        <x:v>11928.97</x:v>
      </x:c>
      <x:c r="G328" s="8"/>
    </x:row>
    <x:row r="329">
      <x:c r="A329" s="6" t="n">
        <x:v>45901</x:v>
      </x:c>
      <x:c r="B329" s="5" t="str">
        <x:v>People</x:v>
      </x:c>
      <x:c r="C329" s="5" t="str">
        <x:v>General &amp; Administrative</x:v>
      </x:c>
      <x:c r="D329" s="5" t="str">
        <x:v>US West</x:v>
      </x:c>
      <x:c r="E329" s="10" t="n">
        <x:v>1.6</x:v>
      </x:c>
      <x:c r="F329" s="7" t="n">
        <x:v>18763.74</x:v>
      </x:c>
      <x:c r="G329" s="8"/>
    </x:row>
    <x:row r="330">
      <x:c r="A330" s="6" t="n">
        <x:v>45901</x:v>
      </x:c>
      <x:c r="B330" s="5" t="str">
        <x:v>Information Technology</x:v>
      </x:c>
      <x:c r="C330" s="5" t="str">
        <x:v>General &amp; Administrative</x:v>
      </x:c>
      <x:c r="D330" s="5" t="str">
        <x:v>US West</x:v>
      </x:c>
      <x:c r="E330" s="10" t="n">
        <x:v>1</x:v>
      </x:c>
      <x:c r="F330" s="7" t="n">
        <x:v>17728.54</x:v>
      </x:c>
      <x:c r="G330" s="8"/>
    </x:row>
    <x:row r="331">
      <x:c r="A331" s="6" t="n">
        <x:v>45901</x:v>
      </x:c>
      <x:c r="B331" s="5" t="str">
        <x:v>Executive</x:v>
      </x:c>
      <x:c r="C331" s="5" t="str">
        <x:v>General &amp; Administrative</x:v>
      </x:c>
      <x:c r="D331" s="5" t="str">
        <x:v>US West</x:v>
      </x:c>
      <x:c r="E331" s="10" t="n">
        <x:v>2</x:v>
      </x:c>
      <x:c r="F331" s="7" t="n">
        <x:v>75106.31</x:v>
      </x:c>
      <x:c r="G331" s="8"/>
    </x:row>
    <x:row r="332">
      <x:c r="A332" s="6" t="n">
        <x:v>45931</x:v>
      </x:c>
      <x:c r="B332" s="5" t="str">
        <x:v>Cloud Operations</x:v>
      </x:c>
      <x:c r="C332" s="5" t="str">
        <x:v>Cost of Revenue</x:v>
      </x:c>
      <x:c r="D332" s="5" t="str">
        <x:v>US West</x:v>
      </x:c>
      <x:c r="E332" s="10" t="n">
        <x:v>13</x:v>
      </x:c>
      <x:c r="F332" s="7" t="n">
        <x:v>241808.17</x:v>
      </x:c>
      <x:c r="G332" s="8"/>
    </x:row>
    <x:row r="333">
      <x:c r="A333" s="6" t="n">
        <x:v>45931</x:v>
      </x:c>
      <x:c r="B333" s="5" t="str">
        <x:v>Customer Support</x:v>
      </x:c>
      <x:c r="C333" s="5" t="str">
        <x:v>Cost of Revenue</x:v>
      </x:c>
      <x:c r="D333" s="5" t="str">
        <x:v>US West</x:v>
      </x:c>
      <x:c r="E333" s="10" t="n">
        <x:v>13</x:v>
      </x:c>
      <x:c r="F333" s="7" t="n">
        <x:v>183186.78</x:v>
      </x:c>
      <x:c r="G333" s="8"/>
    </x:row>
    <x:row r="334">
      <x:c r="A334" s="6" t="n">
        <x:v>45931</x:v>
      </x:c>
      <x:c r="B334" s="5" t="str">
        <x:v>Professional Services</x:v>
      </x:c>
      <x:c r="C334" s="5" t="str">
        <x:v>Cost of Revenue</x:v>
      </x:c>
      <x:c r="D334" s="5" t="str">
        <x:v>US West</x:v>
      </x:c>
      <x:c r="E334" s="10" t="n">
        <x:v>18</x:v>
      </x:c>
      <x:c r="F334" s="7" t="n">
        <x:v>299870.37</x:v>
      </x:c>
      <x:c r="G334" s="8" t="n">
        <x:v>0.7619</x:v>
      </x:c>
    </x:row>
    <x:row r="335">
      <x:c r="A335" s="6" t="n">
        <x:v>45931</x:v>
      </x:c>
      <x:c r="B335" s="5" t="str">
        <x:v>Sales</x:v>
      </x:c>
      <x:c r="C335" s="5" t="str">
        <x:v>Sales &amp; Marketing</x:v>
      </x:c>
      <x:c r="D335" s="5" t="str">
        <x:v>US West</x:v>
      </x:c>
      <x:c r="E335" s="10" t="n">
        <x:v>23</x:v>
      </x:c>
      <x:c r="F335" s="7" t="n">
        <x:v>420372.79</x:v>
      </x:c>
      <x:c r="G335" s="8"/>
    </x:row>
    <x:row r="336">
      <x:c r="A336" s="6" t="n">
        <x:v>45931</x:v>
      </x:c>
      <x:c r="B336" s="5" t="str">
        <x:v>Marketing</x:v>
      </x:c>
      <x:c r="C336" s="5" t="str">
        <x:v>Sales &amp; Marketing</x:v>
      </x:c>
      <x:c r="D336" s="5" t="str">
        <x:v>US West</x:v>
      </x:c>
      <x:c r="E336" s="10" t="n">
        <x:v>4</x:v>
      </x:c>
      <x:c r="F336" s="7" t="n">
        <x:v>48482.96</x:v>
      </x:c>
      <x:c r="G336" s="8"/>
    </x:row>
    <x:row r="337">
      <x:c r="A337" s="6" t="n">
        <x:v>45931</x:v>
      </x:c>
      <x:c r="B337" s="5" t="str">
        <x:v>Product &amp; Engineering</x:v>
      </x:c>
      <x:c r="C337" s="5" t="str">
        <x:v>Research &amp; Development</x:v>
      </x:c>
      <x:c r="D337" s="5" t="str">
        <x:v>US West</x:v>
      </x:c>
      <x:c r="E337" s="10" t="n">
        <x:v>47.6</x:v>
      </x:c>
      <x:c r="F337" s="7" t="n">
        <x:v>1090705.56</x:v>
      </x:c>
      <x:c r="G337" s="8"/>
    </x:row>
    <x:row r="338">
      <x:c r="A338" s="6" t="n">
        <x:v>45931</x:v>
      </x:c>
      <x:c r="B338" s="5" t="str">
        <x:v>Finance</x:v>
      </x:c>
      <x:c r="C338" s="5" t="str">
        <x:v>General &amp; Administrative</x:v>
      </x:c>
      <x:c r="D338" s="5" t="str">
        <x:v>US West</x:v>
      </x:c>
      <x:c r="E338" s="10" t="n">
        <x:v>1</x:v>
      </x:c>
      <x:c r="F338" s="7" t="n">
        <x:v>11928.97</x:v>
      </x:c>
      <x:c r="G338" s="8"/>
    </x:row>
    <x:row r="339">
      <x:c r="A339" s="6" t="n">
        <x:v>45931</x:v>
      </x:c>
      <x:c r="B339" s="5" t="str">
        <x:v>People</x:v>
      </x:c>
      <x:c r="C339" s="5" t="str">
        <x:v>General &amp; Administrative</x:v>
      </x:c>
      <x:c r="D339" s="5" t="str">
        <x:v>US West</x:v>
      </x:c>
      <x:c r="E339" s="10" t="n">
        <x:v>1.6</x:v>
      </x:c>
      <x:c r="F339" s="7" t="n">
        <x:v>18763.74</x:v>
      </x:c>
      <x:c r="G339" s="8"/>
    </x:row>
    <x:row r="340">
      <x:c r="A340" s="6" t="n">
        <x:v>45931</x:v>
      </x:c>
      <x:c r="B340" s="5" t="str">
        <x:v>Information Technology</x:v>
      </x:c>
      <x:c r="C340" s="5" t="str">
        <x:v>General &amp; Administrative</x:v>
      </x:c>
      <x:c r="D340" s="5" t="str">
        <x:v>US West</x:v>
      </x:c>
      <x:c r="E340" s="10" t="n">
        <x:v>1</x:v>
      </x:c>
      <x:c r="F340" s="7" t="n">
        <x:v>17728.54</x:v>
      </x:c>
      <x:c r="G340" s="8"/>
    </x:row>
    <x:row r="341">
      <x:c r="A341" s="6" t="n">
        <x:v>45931</x:v>
      </x:c>
      <x:c r="B341" s="5" t="str">
        <x:v>Executive</x:v>
      </x:c>
      <x:c r="C341" s="5" t="str">
        <x:v>General &amp; Administrative</x:v>
      </x:c>
      <x:c r="D341" s="5" t="str">
        <x:v>US West</x:v>
      </x:c>
      <x:c r="E341" s="10" t="n">
        <x:v>2</x:v>
      </x:c>
      <x:c r="F341" s="7" t="n">
        <x:v>75106.31</x:v>
      </x:c>
      <x:c r="G341" s="8"/>
    </x:row>
    <x:row r="342">
      <x:c r="A342" s="6" t="n">
        <x:v>45962</x:v>
      </x:c>
      <x:c r="B342" s="5" t="str">
        <x:v>Cloud Operations</x:v>
      </x:c>
      <x:c r="C342" s="5" t="str">
        <x:v>Cost of Revenue</x:v>
      </x:c>
      <x:c r="D342" s="5" t="str">
        <x:v>US West</x:v>
      </x:c>
      <x:c r="E342" s="10" t="n">
        <x:v>13</x:v>
      </x:c>
      <x:c r="F342" s="7" t="n">
        <x:v>241808.17</x:v>
      </x:c>
      <x:c r="G342" s="8"/>
    </x:row>
    <x:row r="343">
      <x:c r="A343" s="6" t="n">
        <x:v>45962</x:v>
      </x:c>
      <x:c r="B343" s="5" t="str">
        <x:v>Customer Support</x:v>
      </x:c>
      <x:c r="C343" s="5" t="str">
        <x:v>Cost of Revenue</x:v>
      </x:c>
      <x:c r="D343" s="5" t="str">
        <x:v>US West</x:v>
      </x:c>
      <x:c r="E343" s="10" t="n">
        <x:v>13</x:v>
      </x:c>
      <x:c r="F343" s="7" t="n">
        <x:v>183186.78</x:v>
      </x:c>
      <x:c r="G343" s="8"/>
    </x:row>
    <x:row r="344">
      <x:c r="A344" s="6" t="n">
        <x:v>45962</x:v>
      </x:c>
      <x:c r="B344" s="5" t="str">
        <x:v>Professional Services</x:v>
      </x:c>
      <x:c r="C344" s="5" t="str">
        <x:v>Cost of Revenue</x:v>
      </x:c>
      <x:c r="D344" s="5" t="str">
        <x:v>US West</x:v>
      </x:c>
      <x:c r="E344" s="10" t="n">
        <x:v>18</x:v>
      </x:c>
      <x:c r="F344" s="7" t="n">
        <x:v>299870.37</x:v>
      </x:c>
      <x:c r="G344" s="8" t="n">
        <x:v>0.7601</x:v>
      </x:c>
    </x:row>
    <x:row r="345">
      <x:c r="A345" s="6" t="n">
        <x:v>45962</x:v>
      </x:c>
      <x:c r="B345" s="5" t="str">
        <x:v>Sales</x:v>
      </x:c>
      <x:c r="C345" s="5" t="str">
        <x:v>Sales &amp; Marketing</x:v>
      </x:c>
      <x:c r="D345" s="5" t="str">
        <x:v>US West</x:v>
      </x:c>
      <x:c r="E345" s="10" t="n">
        <x:v>23</x:v>
      </x:c>
      <x:c r="F345" s="7" t="n">
        <x:v>420372.79</x:v>
      </x:c>
      <x:c r="G345" s="8"/>
    </x:row>
    <x:row r="346">
      <x:c r="A346" s="6" t="n">
        <x:v>45962</x:v>
      </x:c>
      <x:c r="B346" s="5" t="str">
        <x:v>Marketing</x:v>
      </x:c>
      <x:c r="C346" s="5" t="str">
        <x:v>Sales &amp; Marketing</x:v>
      </x:c>
      <x:c r="D346" s="5" t="str">
        <x:v>US West</x:v>
      </x:c>
      <x:c r="E346" s="10" t="n">
        <x:v>4</x:v>
      </x:c>
      <x:c r="F346" s="7" t="n">
        <x:v>48482.96</x:v>
      </x:c>
      <x:c r="G346" s="8"/>
    </x:row>
    <x:row r="347">
      <x:c r="A347" s="6" t="n">
        <x:v>45962</x:v>
      </x:c>
      <x:c r="B347" s="5" t="str">
        <x:v>Product &amp; Engineering</x:v>
      </x:c>
      <x:c r="C347" s="5" t="str">
        <x:v>Research &amp; Development</x:v>
      </x:c>
      <x:c r="D347" s="5" t="str">
        <x:v>US West</x:v>
      </x:c>
      <x:c r="E347" s="10" t="n">
        <x:v>48.6</x:v>
      </x:c>
      <x:c r="F347" s="7" t="n">
        <x:v>1102499.24</x:v>
      </x:c>
      <x:c r="G347" s="8"/>
    </x:row>
    <x:row r="348">
      <x:c r="A348" s="6" t="n">
        <x:v>45962</x:v>
      </x:c>
      <x:c r="B348" s="5" t="str">
        <x:v>Finance</x:v>
      </x:c>
      <x:c r="C348" s="5" t="str">
        <x:v>General &amp; Administrative</x:v>
      </x:c>
      <x:c r="D348" s="5" t="str">
        <x:v>US West</x:v>
      </x:c>
      <x:c r="E348" s="10" t="n">
        <x:v>1</x:v>
      </x:c>
      <x:c r="F348" s="7" t="n">
        <x:v>11928.97</x:v>
      </x:c>
      <x:c r="G348" s="8"/>
    </x:row>
    <x:row r="349">
      <x:c r="A349" s="6" t="n">
        <x:v>45962</x:v>
      </x:c>
      <x:c r="B349" s="5" t="str">
        <x:v>People</x:v>
      </x:c>
      <x:c r="C349" s="5" t="str">
        <x:v>General &amp; Administrative</x:v>
      </x:c>
      <x:c r="D349" s="5" t="str">
        <x:v>US West</x:v>
      </x:c>
      <x:c r="E349" s="10" t="n">
        <x:v>1.6</x:v>
      </x:c>
      <x:c r="F349" s="7" t="n">
        <x:v>18763.74</x:v>
      </x:c>
      <x:c r="G349" s="8"/>
    </x:row>
    <x:row r="350">
      <x:c r="A350" s="6" t="n">
        <x:v>45962</x:v>
      </x:c>
      <x:c r="B350" s="5" t="str">
        <x:v>Information Technology</x:v>
      </x:c>
      <x:c r="C350" s="5" t="str">
        <x:v>General &amp; Administrative</x:v>
      </x:c>
      <x:c r="D350" s="5" t="str">
        <x:v>US West</x:v>
      </x:c>
      <x:c r="E350" s="10" t="n">
        <x:v>1</x:v>
      </x:c>
      <x:c r="F350" s="7" t="n">
        <x:v>17728.54</x:v>
      </x:c>
      <x:c r="G350" s="8"/>
    </x:row>
    <x:row r="351">
      <x:c r="A351" s="6" t="n">
        <x:v>45962</x:v>
      </x:c>
      <x:c r="B351" s="5" t="str">
        <x:v>Executive</x:v>
      </x:c>
      <x:c r="C351" s="5" t="str">
        <x:v>General &amp; Administrative</x:v>
      </x:c>
      <x:c r="D351" s="5" t="str">
        <x:v>US West</x:v>
      </x:c>
      <x:c r="E351" s="10" t="n">
        <x:v>2</x:v>
      </x:c>
      <x:c r="F351" s="7" t="n">
        <x:v>75106.31</x:v>
      </x:c>
      <x:c r="G351" s="8"/>
    </x:row>
    <x:row r="352">
      <x:c r="A352" s="6" t="n">
        <x:v>45992</x:v>
      </x:c>
      <x:c r="B352" s="5" t="str">
        <x:v>Cloud Operations</x:v>
      </x:c>
      <x:c r="C352" s="5" t="str">
        <x:v>Cost of Revenue</x:v>
      </x:c>
      <x:c r="D352" s="5" t="str">
        <x:v>US West</x:v>
      </x:c>
      <x:c r="E352" s="10" t="n">
        <x:v>13</x:v>
      </x:c>
      <x:c r="F352" s="7" t="n">
        <x:v>241808.17</x:v>
      </x:c>
      <x:c r="G352" s="8"/>
    </x:row>
    <x:row r="353">
      <x:c r="A353" s="6" t="n">
        <x:v>45992</x:v>
      </x:c>
      <x:c r="B353" s="5" t="str">
        <x:v>Customer Support</x:v>
      </x:c>
      <x:c r="C353" s="5" t="str">
        <x:v>Cost of Revenue</x:v>
      </x:c>
      <x:c r="D353" s="5" t="str">
        <x:v>US West</x:v>
      </x:c>
      <x:c r="E353" s="10" t="n">
        <x:v>13</x:v>
      </x:c>
      <x:c r="F353" s="7" t="n">
        <x:v>183186.78</x:v>
      </x:c>
      <x:c r="G353" s="8"/>
    </x:row>
    <x:row r="354">
      <x:c r="A354" s="6" t="n">
        <x:v>45992</x:v>
      </x:c>
      <x:c r="B354" s="5" t="str">
        <x:v>Professional Services</x:v>
      </x:c>
      <x:c r="C354" s="5" t="str">
        <x:v>Cost of Revenue</x:v>
      </x:c>
      <x:c r="D354" s="5" t="str">
        <x:v>US West</x:v>
      </x:c>
      <x:c r="E354" s="10" t="n">
        <x:v>18</x:v>
      </x:c>
      <x:c r="F354" s="7" t="n">
        <x:v>299870.37</x:v>
      </x:c>
      <x:c r="G354" s="8" t="n">
        <x:v>0.7072</x:v>
      </x:c>
    </x:row>
    <x:row r="355">
      <x:c r="A355" s="6" t="n">
        <x:v>45992</x:v>
      </x:c>
      <x:c r="B355" s="5" t="str">
        <x:v>Sales</x:v>
      </x:c>
      <x:c r="C355" s="5" t="str">
        <x:v>Sales &amp; Marketing</x:v>
      </x:c>
      <x:c r="D355" s="5" t="str">
        <x:v>US West</x:v>
      </x:c>
      <x:c r="E355" s="10" t="n">
        <x:v>23</x:v>
      </x:c>
      <x:c r="F355" s="7" t="n">
        <x:v>420372.79</x:v>
      </x:c>
      <x:c r="G355" s="8"/>
    </x:row>
    <x:row r="356">
      <x:c r="A356" s="6" t="n">
        <x:v>45992</x:v>
      </x:c>
      <x:c r="B356" s="5" t="str">
        <x:v>Marketing</x:v>
      </x:c>
      <x:c r="C356" s="5" t="str">
        <x:v>Sales &amp; Marketing</x:v>
      </x:c>
      <x:c r="D356" s="5" t="str">
        <x:v>US West</x:v>
      </x:c>
      <x:c r="E356" s="10" t="n">
        <x:v>4</x:v>
      </x:c>
      <x:c r="F356" s="7" t="n">
        <x:v>48482.96</x:v>
      </x:c>
      <x:c r="G356" s="8"/>
    </x:row>
    <x:row r="357">
      <x:c r="A357" s="6" t="n">
        <x:v>45992</x:v>
      </x:c>
      <x:c r="B357" s="5" t="str">
        <x:v>Product &amp; Engineering</x:v>
      </x:c>
      <x:c r="C357" s="5" t="str">
        <x:v>Research &amp; Development</x:v>
      </x:c>
      <x:c r="D357" s="5" t="str">
        <x:v>US West</x:v>
      </x:c>
      <x:c r="E357" s="10" t="n">
        <x:v>48.6</x:v>
      </x:c>
      <x:c r="F357" s="7" t="n">
        <x:v>1102499.24</x:v>
      </x:c>
      <x:c r="G357" s="8"/>
    </x:row>
    <x:row r="358">
      <x:c r="A358" s="6" t="n">
        <x:v>45992</x:v>
      </x:c>
      <x:c r="B358" s="5" t="str">
        <x:v>Finance</x:v>
      </x:c>
      <x:c r="C358" s="5" t="str">
        <x:v>General &amp; Administrative</x:v>
      </x:c>
      <x:c r="D358" s="5" t="str">
        <x:v>US West</x:v>
      </x:c>
      <x:c r="E358" s="10" t="n">
        <x:v>1</x:v>
      </x:c>
      <x:c r="F358" s="7" t="n">
        <x:v>11928.97</x:v>
      </x:c>
      <x:c r="G358" s="8"/>
    </x:row>
    <x:row r="359">
      <x:c r="A359" s="6" t="n">
        <x:v>45992</x:v>
      </x:c>
      <x:c r="B359" s="5" t="str">
        <x:v>People</x:v>
      </x:c>
      <x:c r="C359" s="5" t="str">
        <x:v>General &amp; Administrative</x:v>
      </x:c>
      <x:c r="D359" s="5" t="str">
        <x:v>US West</x:v>
      </x:c>
      <x:c r="E359" s="10" t="n">
        <x:v>1.6</x:v>
      </x:c>
      <x:c r="F359" s="7" t="n">
        <x:v>18763.74</x:v>
      </x:c>
      <x:c r="G359" s="8"/>
    </x:row>
    <x:row r="360">
      <x:c r="A360" s="6" t="n">
        <x:v>45992</x:v>
      </x:c>
      <x:c r="B360" s="5" t="str">
        <x:v>Legal &amp; Compliance</x:v>
      </x:c>
      <x:c r="C360" s="5" t="str">
        <x:v>General &amp; Administrative</x:v>
      </x:c>
      <x:c r="D360" s="5" t="str">
        <x:v>US West</x:v>
      </x:c>
      <x:c r="E360" s="10" t="n">
        <x:v>1</x:v>
      </x:c>
      <x:c r="F360" s="7" t="n">
        <x:v>17508.97</x:v>
      </x:c>
      <x:c r="G360" s="8"/>
    </x:row>
    <x:row r="361">
      <x:c r="A361" s="6" t="n">
        <x:v>45992</x:v>
      </x:c>
      <x:c r="B361" s="5" t="str">
        <x:v>Information Technology</x:v>
      </x:c>
      <x:c r="C361" s="5" t="str">
        <x:v>General &amp; Administrative</x:v>
      </x:c>
      <x:c r="D361" s="5" t="str">
        <x:v>US West</x:v>
      </x:c>
      <x:c r="E361" s="10" t="n">
        <x:v>1</x:v>
      </x:c>
      <x:c r="F361" s="7" t="n">
        <x:v>17728.54</x:v>
      </x:c>
      <x:c r="G361" s="8"/>
    </x:row>
    <x:row r="362">
      <x:c r="A362" s="6" t="n">
        <x:v>45992</x:v>
      </x:c>
      <x:c r="B362" s="5" t="str">
        <x:v>Executive</x:v>
      </x:c>
      <x:c r="C362" s="5" t="str">
        <x:v>General &amp; Administrative</x:v>
      </x:c>
      <x:c r="D362" s="5" t="str">
        <x:v>US West</x:v>
      </x:c>
      <x:c r="E362" s="10" t="n">
        <x:v>2</x:v>
      </x:c>
      <x:c r="F362" s="7" t="n">
        <x:v>75106.31</x:v>
      </x:c>
      <x:c r="G362" s="8"/>
    </x:row>
    <x:row r="363">
      <x:c r="A363" s="6" t="n">
        <x:v>46023</x:v>
      </x:c>
      <x:c r="B363" s="5" t="str">
        <x:v>Cloud Operations</x:v>
      </x:c>
      <x:c r="C363" s="5" t="str">
        <x:v>Cost of Revenue</x:v>
      </x:c>
      <x:c r="D363" s="5" t="str">
        <x:v>US West</x:v>
      </x:c>
      <x:c r="E363" s="10" t="n">
        <x:v>13</x:v>
      </x:c>
      <x:c r="F363" s="7" t="n">
        <x:v>250271.45</x:v>
      </x:c>
      <x:c r="G363" s="8"/>
    </x:row>
    <x:row r="364">
      <x:c r="A364" s="6" t="n">
        <x:v>46023</x:v>
      </x:c>
      <x:c r="B364" s="5" t="str">
        <x:v>Customer Support</x:v>
      </x:c>
      <x:c r="C364" s="5" t="str">
        <x:v>Cost of Revenue</x:v>
      </x:c>
      <x:c r="D364" s="5" t="str">
        <x:v>US West</x:v>
      </x:c>
      <x:c r="E364" s="10" t="n">
        <x:v>13</x:v>
      </x:c>
      <x:c r="F364" s="7" t="n">
        <x:v>189598.33</x:v>
      </x:c>
      <x:c r="G364" s="8"/>
    </x:row>
    <x:row r="365">
      <x:c r="A365" s="6" t="n">
        <x:v>46023</x:v>
      </x:c>
      <x:c r="B365" s="5" t="str">
        <x:v>Professional Services</x:v>
      </x:c>
      <x:c r="C365" s="5" t="str">
        <x:v>Cost of Revenue</x:v>
      </x:c>
      <x:c r="D365" s="5" t="str">
        <x:v>US West</x:v>
      </x:c>
      <x:c r="E365" s="10" t="n">
        <x:v>18</x:v>
      </x:c>
      <x:c r="F365" s="7" t="n">
        <x:v>310365.85</x:v>
      </x:c>
      <x:c r="G365" s="8" t="n">
        <x:v>0.696</x:v>
      </x:c>
    </x:row>
    <x:row r="366">
      <x:c r="A366" s="6" t="n">
        <x:v>46023</x:v>
      </x:c>
      <x:c r="B366" s="5" t="str">
        <x:v>Sales</x:v>
      </x:c>
      <x:c r="C366" s="5" t="str">
        <x:v>Sales &amp; Marketing</x:v>
      </x:c>
      <x:c r="D366" s="5" t="str">
        <x:v>US West</x:v>
      </x:c>
      <x:c r="E366" s="10" t="n">
        <x:v>23</x:v>
      </x:c>
      <x:c r="F366" s="7" t="n">
        <x:v>435085.83</x:v>
      </x:c>
      <x:c r="G366" s="8"/>
    </x:row>
    <x:row r="367">
      <x:c r="A367" s="6" t="n">
        <x:v>46023</x:v>
      </x:c>
      <x:c r="B367" s="5" t="str">
        <x:v>Marketing</x:v>
      </x:c>
      <x:c r="C367" s="5" t="str">
        <x:v>Sales &amp; Marketing</x:v>
      </x:c>
      <x:c r="D367" s="5" t="str">
        <x:v>US West</x:v>
      </x:c>
      <x:c r="E367" s="10" t="n">
        <x:v>4</x:v>
      </x:c>
      <x:c r="F367" s="7" t="n">
        <x:v>50179.86</x:v>
      </x:c>
      <x:c r="G367" s="8"/>
    </x:row>
    <x:row r="368">
      <x:c r="A368" s="6" t="n">
        <x:v>46023</x:v>
      </x:c>
      <x:c r="B368" s="5" t="str">
        <x:v>Product &amp; Engineering</x:v>
      </x:c>
      <x:c r="C368" s="5" t="str">
        <x:v>Research &amp; Development</x:v>
      </x:c>
      <x:c r="D368" s="5" t="str">
        <x:v>US West</x:v>
      </x:c>
      <x:c r="E368" s="10" t="n">
        <x:v>49.6</x:v>
      </x:c>
      <x:c r="F368" s="7" t="n">
        <x:v>1154534.42</x:v>
      </x:c>
      <x:c r="G368" s="8"/>
    </x:row>
    <x:row r="369">
      <x:c r="A369" s="6" t="n">
        <x:v>46023</x:v>
      </x:c>
      <x:c r="B369" s="5" t="str">
        <x:v>Finance</x:v>
      </x:c>
      <x:c r="C369" s="5" t="str">
        <x:v>General &amp; Administrative</x:v>
      </x:c>
      <x:c r="D369" s="5" t="str">
        <x:v>US West</x:v>
      </x:c>
      <x:c r="E369" s="10" t="n">
        <x:v>1</x:v>
      </x:c>
      <x:c r="F369" s="7" t="n">
        <x:v>12346.49</x:v>
      </x:c>
      <x:c r="G369" s="8"/>
    </x:row>
    <x:row r="370">
      <x:c r="A370" s="6" t="n">
        <x:v>46023</x:v>
      </x:c>
      <x:c r="B370" s="5" t="str">
        <x:v>People</x:v>
      </x:c>
      <x:c r="C370" s="5" t="str">
        <x:v>General &amp; Administrative</x:v>
      </x:c>
      <x:c r="D370" s="5" t="str">
        <x:v>US West</x:v>
      </x:c>
      <x:c r="E370" s="10" t="n">
        <x:v>1.6</x:v>
      </x:c>
      <x:c r="F370" s="7" t="n">
        <x:v>19420.47</x:v>
      </x:c>
      <x:c r="G370" s="8"/>
    </x:row>
    <x:row r="371">
      <x:c r="A371" s="6" t="n">
        <x:v>46023</x:v>
      </x:c>
      <x:c r="B371" s="5" t="str">
        <x:v>Legal &amp; Compliance</x:v>
      </x:c>
      <x:c r="C371" s="5" t="str">
        <x:v>General &amp; Administrative</x:v>
      </x:c>
      <x:c r="D371" s="5" t="str">
        <x:v>US West</x:v>
      </x:c>
      <x:c r="E371" s="10" t="n">
        <x:v>1</x:v>
      </x:c>
      <x:c r="F371" s="7" t="n">
        <x:v>18121.79</x:v>
      </x:c>
      <x:c r="G371" s="8"/>
    </x:row>
    <x:row r="372">
      <x:c r="A372" s="6" t="n">
        <x:v>46023</x:v>
      </x:c>
      <x:c r="B372" s="5" t="str">
        <x:v>Information Technology</x:v>
      </x:c>
      <x:c r="C372" s="5" t="str">
        <x:v>General &amp; Administrative</x:v>
      </x:c>
      <x:c r="D372" s="5" t="str">
        <x:v>US West</x:v>
      </x:c>
      <x:c r="E372" s="10" t="n">
        <x:v>1</x:v>
      </x:c>
      <x:c r="F372" s="7" t="n">
        <x:v>18349.04</x:v>
      </x:c>
      <x:c r="G372" s="8"/>
    </x:row>
    <x:row r="373">
      <x:c r="A373" s="6" t="n">
        <x:v>46023</x:v>
      </x:c>
      <x:c r="B373" s="5" t="str">
        <x:v>Executive</x:v>
      </x:c>
      <x:c r="C373" s="5" t="str">
        <x:v>General &amp; Administrative</x:v>
      </x:c>
      <x:c r="D373" s="5" t="str">
        <x:v>US West</x:v>
      </x:c>
      <x:c r="E373" s="10" t="n">
        <x:v>2</x:v>
      </x:c>
      <x:c r="F373" s="7" t="n">
        <x:v>77735.02</x:v>
      </x:c>
      <x:c r="G373" s="8"/>
    </x:row>
    <x:row r="374">
      <x:c r="A374" s="6" t="n">
        <x:v>46054</x:v>
      </x:c>
      <x:c r="B374" s="5" t="str">
        <x:v>Cloud Operations</x:v>
      </x:c>
      <x:c r="C374" s="5" t="str">
        <x:v>Cost of Revenue</x:v>
      </x:c>
      <x:c r="D374" s="5" t="str">
        <x:v>US West</x:v>
      </x:c>
      <x:c r="E374" s="10" t="n">
        <x:v>13</x:v>
      </x:c>
      <x:c r="F374" s="7" t="n">
        <x:v>250271.45</x:v>
      </x:c>
      <x:c r="G374" s="8"/>
    </x:row>
    <x:row r="375">
      <x:c r="A375" s="6" t="n">
        <x:v>46054</x:v>
      </x:c>
      <x:c r="B375" s="5" t="str">
        <x:v>Customer Support</x:v>
      </x:c>
      <x:c r="C375" s="5" t="str">
        <x:v>Cost of Revenue</x:v>
      </x:c>
      <x:c r="D375" s="5" t="str">
        <x:v>US West</x:v>
      </x:c>
      <x:c r="E375" s="10" t="n">
        <x:v>13</x:v>
      </x:c>
      <x:c r="F375" s="7" t="n">
        <x:v>189598.33</x:v>
      </x:c>
      <x:c r="G375" s="8"/>
    </x:row>
    <x:row r="376">
      <x:c r="A376" s="6" t="n">
        <x:v>46054</x:v>
      </x:c>
      <x:c r="B376" s="5" t="str">
        <x:v>Professional Services</x:v>
      </x:c>
      <x:c r="C376" s="5" t="str">
        <x:v>Cost of Revenue</x:v>
      </x:c>
      <x:c r="D376" s="5" t="str">
        <x:v>US West</x:v>
      </x:c>
      <x:c r="E376" s="10" t="n">
        <x:v>18</x:v>
      </x:c>
      <x:c r="F376" s="7" t="n">
        <x:v>310365.85</x:v>
      </x:c>
      <x:c r="G376" s="8" t="n">
        <x:v>0.6845</x:v>
      </x:c>
    </x:row>
    <x:row r="377">
      <x:c r="A377" s="6" t="n">
        <x:v>46054</x:v>
      </x:c>
      <x:c r="B377" s="5" t="str">
        <x:v>Sales</x:v>
      </x:c>
      <x:c r="C377" s="5" t="str">
        <x:v>Sales &amp; Marketing</x:v>
      </x:c>
      <x:c r="D377" s="5" t="str">
        <x:v>US West</x:v>
      </x:c>
      <x:c r="E377" s="10" t="n">
        <x:v>23</x:v>
      </x:c>
      <x:c r="F377" s="7" t="n">
        <x:v>435085.83</x:v>
      </x:c>
      <x:c r="G377" s="8"/>
    </x:row>
    <x:row r="378">
      <x:c r="A378" s="6" t="n">
        <x:v>46054</x:v>
      </x:c>
      <x:c r="B378" s="5" t="str">
        <x:v>Marketing</x:v>
      </x:c>
      <x:c r="C378" s="5" t="str">
        <x:v>Sales &amp; Marketing</x:v>
      </x:c>
      <x:c r="D378" s="5" t="str">
        <x:v>US West</x:v>
      </x:c>
      <x:c r="E378" s="10" t="n">
        <x:v>4</x:v>
      </x:c>
      <x:c r="F378" s="7" t="n">
        <x:v>50179.86</x:v>
      </x:c>
      <x:c r="G378" s="8"/>
    </x:row>
    <x:row r="379">
      <x:c r="A379" s="6" t="n">
        <x:v>46054</x:v>
      </x:c>
      <x:c r="B379" s="5" t="str">
        <x:v>Product &amp; Engineering</x:v>
      </x:c>
      <x:c r="C379" s="5" t="str">
        <x:v>Research &amp; Development</x:v>
      </x:c>
      <x:c r="D379" s="5" t="str">
        <x:v>US West</x:v>
      </x:c>
      <x:c r="E379" s="10" t="n">
        <x:v>49.6</x:v>
      </x:c>
      <x:c r="F379" s="7" t="n">
        <x:v>1154534.42</x:v>
      </x:c>
      <x:c r="G379" s="8"/>
    </x:row>
    <x:row r="380">
      <x:c r="A380" s="6" t="n">
        <x:v>46054</x:v>
      </x:c>
      <x:c r="B380" s="5" t="str">
        <x:v>Finance</x:v>
      </x:c>
      <x:c r="C380" s="5" t="str">
        <x:v>General &amp; Administrative</x:v>
      </x:c>
      <x:c r="D380" s="5" t="str">
        <x:v>US West</x:v>
      </x:c>
      <x:c r="E380" s="10" t="n">
        <x:v>1</x:v>
      </x:c>
      <x:c r="F380" s="7" t="n">
        <x:v>12346.49</x:v>
      </x:c>
      <x:c r="G380" s="8"/>
    </x:row>
    <x:row r="381">
      <x:c r="A381" s="6" t="n">
        <x:v>46054</x:v>
      </x:c>
      <x:c r="B381" s="5" t="str">
        <x:v>People</x:v>
      </x:c>
      <x:c r="C381" s="5" t="str">
        <x:v>General &amp; Administrative</x:v>
      </x:c>
      <x:c r="D381" s="5" t="str">
        <x:v>US West</x:v>
      </x:c>
      <x:c r="E381" s="10" t="n">
        <x:v>1.6</x:v>
      </x:c>
      <x:c r="F381" s="7" t="n">
        <x:v>19420.47</x:v>
      </x:c>
      <x:c r="G381" s="8"/>
    </x:row>
    <x:row r="382">
      <x:c r="A382" s="6" t="n">
        <x:v>46054</x:v>
      </x:c>
      <x:c r="B382" s="5" t="str">
        <x:v>Legal &amp; Compliance</x:v>
      </x:c>
      <x:c r="C382" s="5" t="str">
        <x:v>General &amp; Administrative</x:v>
      </x:c>
      <x:c r="D382" s="5" t="str">
        <x:v>US West</x:v>
      </x:c>
      <x:c r="E382" s="10" t="n">
        <x:v>1</x:v>
      </x:c>
      <x:c r="F382" s="7" t="n">
        <x:v>18121.79</x:v>
      </x:c>
      <x:c r="G382" s="8"/>
    </x:row>
    <x:row r="383">
      <x:c r="A383" s="6" t="n">
        <x:v>46054</x:v>
      </x:c>
      <x:c r="B383" s="5" t="str">
        <x:v>Information Technology</x:v>
      </x:c>
      <x:c r="C383" s="5" t="str">
        <x:v>General &amp; Administrative</x:v>
      </x:c>
      <x:c r="D383" s="5" t="str">
        <x:v>US West</x:v>
      </x:c>
      <x:c r="E383" s="10" t="n">
        <x:v>1</x:v>
      </x:c>
      <x:c r="F383" s="7" t="n">
        <x:v>18349.04</x:v>
      </x:c>
      <x:c r="G383" s="8"/>
    </x:row>
    <x:row r="384">
      <x:c r="A384" s="6" t="n">
        <x:v>46054</x:v>
      </x:c>
      <x:c r="B384" s="5" t="str">
        <x:v>Executive</x:v>
      </x:c>
      <x:c r="C384" s="5" t="str">
        <x:v>General &amp; Administrative</x:v>
      </x:c>
      <x:c r="D384" s="5" t="str">
        <x:v>US West</x:v>
      </x:c>
      <x:c r="E384" s="10" t="n">
        <x:v>2</x:v>
      </x:c>
      <x:c r="F384" s="7" t="n">
        <x:v>77735.02</x:v>
      </x:c>
      <x:c r="G384" s="8"/>
    </x:row>
    <x:row r="385">
      <x:c r="A385" s="6" t="n">
        <x:v>46082</x:v>
      </x:c>
      <x:c r="B385" s="5" t="str">
        <x:v>Cloud Operations</x:v>
      </x:c>
      <x:c r="C385" s="5" t="str">
        <x:v>Cost of Revenue</x:v>
      </x:c>
      <x:c r="D385" s="5" t="str">
        <x:v>US West</x:v>
      </x:c>
      <x:c r="E385" s="10" t="n">
        <x:v>14</x:v>
      </x:c>
      <x:c r="F385" s="7" t="n">
        <x:v>268856.38</x:v>
      </x:c>
      <x:c r="G385" s="8"/>
    </x:row>
    <x:row r="386">
      <x:c r="A386" s="6" t="n">
        <x:v>46082</x:v>
      </x:c>
      <x:c r="B386" s="5" t="str">
        <x:v>Customer Support</x:v>
      </x:c>
      <x:c r="C386" s="5" t="str">
        <x:v>Cost of Revenue</x:v>
      </x:c>
      <x:c r="D386" s="5" t="str">
        <x:v>US West</x:v>
      </x:c>
      <x:c r="E386" s="10" t="n">
        <x:v>13</x:v>
      </x:c>
      <x:c r="F386" s="7" t="n">
        <x:v>189598.33</x:v>
      </x:c>
      <x:c r="G386" s="8"/>
    </x:row>
    <x:row r="387">
      <x:c r="A387" s="6" t="n">
        <x:v>46082</x:v>
      </x:c>
      <x:c r="B387" s="5" t="str">
        <x:v>Professional Services</x:v>
      </x:c>
      <x:c r="C387" s="5" t="str">
        <x:v>Cost of Revenue</x:v>
      </x:c>
      <x:c r="D387" s="5" t="str">
        <x:v>US West</x:v>
      </x:c>
      <x:c r="E387" s="10" t="n">
        <x:v>18</x:v>
      </x:c>
      <x:c r="F387" s="7" t="n">
        <x:v>310365.85</x:v>
      </x:c>
      <x:c r="G387" s="8" t="n">
        <x:v>0.6999</x:v>
      </x:c>
    </x:row>
    <x:row r="388">
      <x:c r="A388" s="6" t="n">
        <x:v>46082</x:v>
      </x:c>
      <x:c r="B388" s="5" t="str">
        <x:v>Sales</x:v>
      </x:c>
      <x:c r="C388" s="5" t="str">
        <x:v>Sales &amp; Marketing</x:v>
      </x:c>
      <x:c r="D388" s="5" t="str">
        <x:v>US West</x:v>
      </x:c>
      <x:c r="E388" s="10" t="n">
        <x:v>23</x:v>
      </x:c>
      <x:c r="F388" s="7" t="n">
        <x:v>435085.83</x:v>
      </x:c>
      <x:c r="G388" s="8"/>
    </x:row>
    <x:row r="389">
      <x:c r="A389" s="6" t="n">
        <x:v>46082</x:v>
      </x:c>
      <x:c r="B389" s="5" t="str">
        <x:v>Marketing</x:v>
      </x:c>
      <x:c r="C389" s="5" t="str">
        <x:v>Sales &amp; Marketing</x:v>
      </x:c>
      <x:c r="D389" s="5" t="str">
        <x:v>US West</x:v>
      </x:c>
      <x:c r="E389" s="10" t="n">
        <x:v>4</x:v>
      </x:c>
      <x:c r="F389" s="7" t="n">
        <x:v>50179.86</x:v>
      </x:c>
      <x:c r="G389" s="8"/>
    </x:row>
    <x:row r="390">
      <x:c r="A390" s="6" t="n">
        <x:v>46082</x:v>
      </x:c>
      <x:c r="B390" s="5" t="str">
        <x:v>Product &amp; Engineering</x:v>
      </x:c>
      <x:c r="C390" s="5" t="str">
        <x:v>Research &amp; Development</x:v>
      </x:c>
      <x:c r="D390" s="5" t="str">
        <x:v>US West</x:v>
      </x:c>
      <x:c r="E390" s="10" t="n">
        <x:v>50.6</x:v>
      </x:c>
      <x:c r="F390" s="7" t="n">
        <x:v>1174153.19</x:v>
      </x:c>
      <x:c r="G390" s="8"/>
    </x:row>
    <x:row r="391">
      <x:c r="A391" s="6" t="n">
        <x:v>46082</x:v>
      </x:c>
      <x:c r="B391" s="5" t="str">
        <x:v>Finance</x:v>
      </x:c>
      <x:c r="C391" s="5" t="str">
        <x:v>General &amp; Administrative</x:v>
      </x:c>
      <x:c r="D391" s="5" t="str">
        <x:v>US West</x:v>
      </x:c>
      <x:c r="E391" s="10" t="n">
        <x:v>1</x:v>
      </x:c>
      <x:c r="F391" s="7" t="n">
        <x:v>12346.49</x:v>
      </x:c>
      <x:c r="G391" s="8"/>
    </x:row>
    <x:row r="392">
      <x:c r="A392" s="6" t="n">
        <x:v>46082</x:v>
      </x:c>
      <x:c r="B392" s="5" t="str">
        <x:v>People</x:v>
      </x:c>
      <x:c r="C392" s="5" t="str">
        <x:v>General &amp; Administrative</x:v>
      </x:c>
      <x:c r="D392" s="5" t="str">
        <x:v>US West</x:v>
      </x:c>
      <x:c r="E392" s="10" t="n">
        <x:v>1.6</x:v>
      </x:c>
      <x:c r="F392" s="7" t="n">
        <x:v>19420.47</x:v>
      </x:c>
      <x:c r="G392" s="8"/>
    </x:row>
    <x:row r="393">
      <x:c r="A393" s="6" t="n">
        <x:v>46082</x:v>
      </x:c>
      <x:c r="B393" s="5" t="str">
        <x:v>Legal &amp; Compliance</x:v>
      </x:c>
      <x:c r="C393" s="5" t="str">
        <x:v>General &amp; Administrative</x:v>
      </x:c>
      <x:c r="D393" s="5" t="str">
        <x:v>US West</x:v>
      </x:c>
      <x:c r="E393" s="10" t="n">
        <x:v>1</x:v>
      </x:c>
      <x:c r="F393" s="7" t="n">
        <x:v>18121.79</x:v>
      </x:c>
      <x:c r="G393" s="8"/>
    </x:row>
    <x:row r="394">
      <x:c r="A394" s="6" t="n">
        <x:v>46082</x:v>
      </x:c>
      <x:c r="B394" s="5" t="str">
        <x:v>Information Technology</x:v>
      </x:c>
      <x:c r="C394" s="5" t="str">
        <x:v>General &amp; Administrative</x:v>
      </x:c>
      <x:c r="D394" s="5" t="str">
        <x:v>US West</x:v>
      </x:c>
      <x:c r="E394" s="10" t="n">
        <x:v>1</x:v>
      </x:c>
      <x:c r="F394" s="7" t="n">
        <x:v>18349.04</x:v>
      </x:c>
      <x:c r="G394" s="8"/>
    </x:row>
    <x:row r="395">
      <x:c r="A395" s="6" t="n">
        <x:v>46082</x:v>
      </x:c>
      <x:c r="B395" s="5" t="str">
        <x:v>Executive</x:v>
      </x:c>
      <x:c r="C395" s="5" t="str">
        <x:v>General &amp; Administrative</x:v>
      </x:c>
      <x:c r="D395" s="5" t="str">
        <x:v>US West</x:v>
      </x:c>
      <x:c r="E395" s="10" t="n">
        <x:v>2</x:v>
      </x:c>
      <x:c r="F395" s="7" t="n">
        <x:v>77735.02</x:v>
      </x:c>
      <x:c r="G395" s="8"/>
    </x:row>
    <x:row r="396">
      <x:c r="A396" s="6" t="n">
        <x:v>46113</x:v>
      </x:c>
      <x:c r="B396" s="5" t="str">
        <x:v>Cloud Operations</x:v>
      </x:c>
      <x:c r="C396" s="5" t="str">
        <x:v>Cost of Revenue</x:v>
      </x:c>
      <x:c r="D396" s="5" t="str">
        <x:v>US West</x:v>
      </x:c>
      <x:c r="E396" s="10" t="n">
        <x:v>14</x:v>
      </x:c>
      <x:c r="F396" s="7" t="n">
        <x:v>268856.38</x:v>
      </x:c>
      <x:c r="G396" s="8"/>
    </x:row>
    <x:row r="397">
      <x:c r="A397" s="6" t="n">
        <x:v>46113</x:v>
      </x:c>
      <x:c r="B397" s="5" t="str">
        <x:v>Customer Support</x:v>
      </x:c>
      <x:c r="C397" s="5" t="str">
        <x:v>Cost of Revenue</x:v>
      </x:c>
      <x:c r="D397" s="5" t="str">
        <x:v>US West</x:v>
      </x:c>
      <x:c r="E397" s="10" t="n">
        <x:v>13</x:v>
      </x:c>
      <x:c r="F397" s="7" t="n">
        <x:v>189598.33</x:v>
      </x:c>
      <x:c r="G397" s="8"/>
    </x:row>
    <x:row r="398">
      <x:c r="A398" s="6" t="n">
        <x:v>46113</x:v>
      </x:c>
      <x:c r="B398" s="5" t="str">
        <x:v>Professional Services</x:v>
      </x:c>
      <x:c r="C398" s="5" t="str">
        <x:v>Cost of Revenue</x:v>
      </x:c>
      <x:c r="D398" s="5" t="str">
        <x:v>US West</x:v>
      </x:c>
      <x:c r="E398" s="10" t="n">
        <x:v>18</x:v>
      </x:c>
      <x:c r="F398" s="7" t="n">
        <x:v>310365.85</x:v>
      </x:c>
      <x:c r="G398" s="8" t="n">
        <x:v>0.7375</x:v>
      </x:c>
    </x:row>
    <x:row r="399">
      <x:c r="A399" s="6" t="n">
        <x:v>46113</x:v>
      </x:c>
      <x:c r="B399" s="5" t="str">
        <x:v>Sales</x:v>
      </x:c>
      <x:c r="C399" s="5" t="str">
        <x:v>Sales &amp; Marketing</x:v>
      </x:c>
      <x:c r="D399" s="5" t="str">
        <x:v>US West</x:v>
      </x:c>
      <x:c r="E399" s="10" t="n">
        <x:v>23</x:v>
      </x:c>
      <x:c r="F399" s="7" t="n">
        <x:v>435085.83</x:v>
      </x:c>
      <x:c r="G399" s="8"/>
    </x:row>
    <x:row r="400">
      <x:c r="A400" s="6" t="n">
        <x:v>46113</x:v>
      </x:c>
      <x:c r="B400" s="5" t="str">
        <x:v>Marketing</x:v>
      </x:c>
      <x:c r="C400" s="5" t="str">
        <x:v>Sales &amp; Marketing</x:v>
      </x:c>
      <x:c r="D400" s="5" t="str">
        <x:v>US West</x:v>
      </x:c>
      <x:c r="E400" s="10" t="n">
        <x:v>4</x:v>
      </x:c>
      <x:c r="F400" s="7" t="n">
        <x:v>50179.86</x:v>
      </x:c>
      <x:c r="G400" s="8"/>
    </x:row>
    <x:row r="401">
      <x:c r="A401" s="6" t="n">
        <x:v>46113</x:v>
      </x:c>
      <x:c r="B401" s="5" t="str">
        <x:v>Product &amp; Engineering</x:v>
      </x:c>
      <x:c r="C401" s="5" t="str">
        <x:v>Research &amp; Development</x:v>
      </x:c>
      <x:c r="D401" s="5" t="str">
        <x:v>US West</x:v>
      </x:c>
      <x:c r="E401" s="10" t="n">
        <x:v>51.6</x:v>
      </x:c>
      <x:c r="F401" s="7" t="n">
        <x:v>1189504.26</x:v>
      </x:c>
      <x:c r="G401" s="8"/>
    </x:row>
    <x:row r="402">
      <x:c r="A402" s="6" t="n">
        <x:v>46113</x:v>
      </x:c>
      <x:c r="B402" s="5" t="str">
        <x:v>Finance</x:v>
      </x:c>
      <x:c r="C402" s="5" t="str">
        <x:v>General &amp; Administrative</x:v>
      </x:c>
      <x:c r="D402" s="5" t="str">
        <x:v>US West</x:v>
      </x:c>
      <x:c r="E402" s="10" t="n">
        <x:v>1</x:v>
      </x:c>
      <x:c r="F402" s="7" t="n">
        <x:v>12346.49</x:v>
      </x:c>
      <x:c r="G402" s="8"/>
    </x:row>
    <x:row r="403">
      <x:c r="A403" s="6" t="n">
        <x:v>46113</x:v>
      </x:c>
      <x:c r="B403" s="5" t="str">
        <x:v>People</x:v>
      </x:c>
      <x:c r="C403" s="5" t="str">
        <x:v>General &amp; Administrative</x:v>
      </x:c>
      <x:c r="D403" s="5" t="str">
        <x:v>US West</x:v>
      </x:c>
      <x:c r="E403" s="10" t="n">
        <x:v>1.6</x:v>
      </x:c>
      <x:c r="F403" s="7" t="n">
        <x:v>19420.47</x:v>
      </x:c>
      <x:c r="G403" s="8"/>
    </x:row>
    <x:row r="404">
      <x:c r="A404" s="6" t="n">
        <x:v>46113</x:v>
      </x:c>
      <x:c r="B404" s="5" t="str">
        <x:v>Legal &amp; Compliance</x:v>
      </x:c>
      <x:c r="C404" s="5" t="str">
        <x:v>General &amp; Administrative</x:v>
      </x:c>
      <x:c r="D404" s="5" t="str">
        <x:v>US West</x:v>
      </x:c>
      <x:c r="E404" s="10" t="n">
        <x:v>1</x:v>
      </x:c>
      <x:c r="F404" s="7" t="n">
        <x:v>18121.79</x:v>
      </x:c>
      <x:c r="G404" s="8"/>
    </x:row>
    <x:row r="405">
      <x:c r="A405" s="6" t="n">
        <x:v>46113</x:v>
      </x:c>
      <x:c r="B405" s="5" t="str">
        <x:v>Information Technology</x:v>
      </x:c>
      <x:c r="C405" s="5" t="str">
        <x:v>General &amp; Administrative</x:v>
      </x:c>
      <x:c r="D405" s="5" t="str">
        <x:v>US West</x:v>
      </x:c>
      <x:c r="E405" s="10" t="n">
        <x:v>1</x:v>
      </x:c>
      <x:c r="F405" s="7" t="n">
        <x:v>18349.04</x:v>
      </x:c>
      <x:c r="G405" s="8"/>
    </x:row>
    <x:row r="406">
      <x:c r="A406" s="6" t="n">
        <x:v>46113</x:v>
      </x:c>
      <x:c r="B406" s="5" t="str">
        <x:v>Executive</x:v>
      </x:c>
      <x:c r="C406" s="5" t="str">
        <x:v>General &amp; Administrative</x:v>
      </x:c>
      <x:c r="D406" s="5" t="str">
        <x:v>US West</x:v>
      </x:c>
      <x:c r="E406" s="10" t="n">
        <x:v>2</x:v>
      </x:c>
      <x:c r="F406" s="7" t="n">
        <x:v>77735.02</x:v>
      </x:c>
      <x:c r="G406" s="8"/>
    </x:row>
    <x:row r="407">
      <x:c r="A407" s="6" t="n">
        <x:v>46143</x:v>
      </x:c>
      <x:c r="B407" s="5" t="str">
        <x:v>Cloud Operations</x:v>
      </x:c>
      <x:c r="C407" s="5" t="str">
        <x:v>Cost of Revenue</x:v>
      </x:c>
      <x:c r="D407" s="5" t="str">
        <x:v>US West</x:v>
      </x:c>
      <x:c r="E407" s="10" t="n">
        <x:v>14</x:v>
      </x:c>
      <x:c r="F407" s="7" t="n">
        <x:v>268856.38</x:v>
      </x:c>
      <x:c r="G407" s="8"/>
    </x:row>
    <x:row r="408">
      <x:c r="A408" s="6" t="n">
        <x:v>46143</x:v>
      </x:c>
      <x:c r="B408" s="5" t="str">
        <x:v>Customer Support</x:v>
      </x:c>
      <x:c r="C408" s="5" t="str">
        <x:v>Cost of Revenue</x:v>
      </x:c>
      <x:c r="D408" s="5" t="str">
        <x:v>US West</x:v>
      </x:c>
      <x:c r="E408" s="10" t="n">
        <x:v>13</x:v>
      </x:c>
      <x:c r="F408" s="7" t="n">
        <x:v>189598.33</x:v>
      </x:c>
      <x:c r="G408" s="8"/>
    </x:row>
    <x:row r="409">
      <x:c r="A409" s="6" t="n">
        <x:v>46143</x:v>
      </x:c>
      <x:c r="B409" s="5" t="str">
        <x:v>Professional Services</x:v>
      </x:c>
      <x:c r="C409" s="5" t="str">
        <x:v>Cost of Revenue</x:v>
      </x:c>
      <x:c r="D409" s="5" t="str">
        <x:v>US West</x:v>
      </x:c>
      <x:c r="E409" s="10" t="n">
        <x:v>19</x:v>
      </x:c>
      <x:c r="F409" s="7" t="n">
        <x:v>325904.54</x:v>
      </x:c>
      <x:c r="G409" s="8" t="n">
        <x:v>0.7754</x:v>
      </x:c>
    </x:row>
    <x:row r="410">
      <x:c r="A410" s="6" t="n">
        <x:v>46143</x:v>
      </x:c>
      <x:c r="B410" s="5" t="str">
        <x:v>Sales</x:v>
      </x:c>
      <x:c r="C410" s="5" t="str">
        <x:v>Sales &amp; Marketing</x:v>
      </x:c>
      <x:c r="D410" s="5" t="str">
        <x:v>US West</x:v>
      </x:c>
      <x:c r="E410" s="10" t="n">
        <x:v>23</x:v>
      </x:c>
      <x:c r="F410" s="7" t="n">
        <x:v>435085.83</x:v>
      </x:c>
      <x:c r="G410" s="8"/>
    </x:row>
    <x:row r="411">
      <x:c r="A411" s="6" t="n">
        <x:v>46143</x:v>
      </x:c>
      <x:c r="B411" s="5" t="str">
        <x:v>Marketing</x:v>
      </x:c>
      <x:c r="C411" s="5" t="str">
        <x:v>Sales &amp; Marketing</x:v>
      </x:c>
      <x:c r="D411" s="5" t="str">
        <x:v>US West</x:v>
      </x:c>
      <x:c r="E411" s="10" t="n">
        <x:v>4</x:v>
      </x:c>
      <x:c r="F411" s="7" t="n">
        <x:v>50179.86</x:v>
      </x:c>
      <x:c r="G411" s="8"/>
    </x:row>
    <x:row r="412">
      <x:c r="A412" s="6" t="n">
        <x:v>46143</x:v>
      </x:c>
      <x:c r="B412" s="5" t="str">
        <x:v>Product &amp; Engineering</x:v>
      </x:c>
      <x:c r="C412" s="5" t="str">
        <x:v>Research &amp; Development</x:v>
      </x:c>
      <x:c r="D412" s="5" t="str">
        <x:v>US West</x:v>
      </x:c>
      <x:c r="E412" s="10" t="n">
        <x:v>51.6</x:v>
      </x:c>
      <x:c r="F412" s="7" t="n">
        <x:v>1189504.26</x:v>
      </x:c>
      <x:c r="G412" s="8"/>
    </x:row>
    <x:row r="413">
      <x:c r="A413" s="6" t="n">
        <x:v>46143</x:v>
      </x:c>
      <x:c r="B413" s="5" t="str">
        <x:v>Finance</x:v>
      </x:c>
      <x:c r="C413" s="5" t="str">
        <x:v>General &amp; Administrative</x:v>
      </x:c>
      <x:c r="D413" s="5" t="str">
        <x:v>US West</x:v>
      </x:c>
      <x:c r="E413" s="10" t="n">
        <x:v>1</x:v>
      </x:c>
      <x:c r="F413" s="7" t="n">
        <x:v>12346.49</x:v>
      </x:c>
      <x:c r="G413" s="8"/>
    </x:row>
    <x:row r="414">
      <x:c r="A414" s="6" t="n">
        <x:v>46143</x:v>
      </x:c>
      <x:c r="B414" s="5" t="str">
        <x:v>People</x:v>
      </x:c>
      <x:c r="C414" s="5" t="str">
        <x:v>General &amp; Administrative</x:v>
      </x:c>
      <x:c r="D414" s="5" t="str">
        <x:v>US West</x:v>
      </x:c>
      <x:c r="E414" s="10" t="n">
        <x:v>1.6</x:v>
      </x:c>
      <x:c r="F414" s="7" t="n">
        <x:v>19420.47</x:v>
      </x:c>
      <x:c r="G414" s="8"/>
    </x:row>
    <x:row r="415">
      <x:c r="A415" s="6" t="n">
        <x:v>46143</x:v>
      </x:c>
      <x:c r="B415" s="5" t="str">
        <x:v>Legal &amp; Compliance</x:v>
      </x:c>
      <x:c r="C415" s="5" t="str">
        <x:v>General &amp; Administrative</x:v>
      </x:c>
      <x:c r="D415" s="5" t="str">
        <x:v>US West</x:v>
      </x:c>
      <x:c r="E415" s="10" t="n">
        <x:v>2</x:v>
      </x:c>
      <x:c r="F415" s="7" t="n">
        <x:v>38925.51</x:v>
      </x:c>
      <x:c r="G415" s="8"/>
    </x:row>
    <x:row r="416">
      <x:c r="A416" s="6" t="n">
        <x:v>46143</x:v>
      </x:c>
      <x:c r="B416" s="5" t="str">
        <x:v>Information Technology</x:v>
      </x:c>
      <x:c r="C416" s="5" t="str">
        <x:v>General &amp; Administrative</x:v>
      </x:c>
      <x:c r="D416" s="5" t="str">
        <x:v>US West</x:v>
      </x:c>
      <x:c r="E416" s="10" t="n">
        <x:v>1</x:v>
      </x:c>
      <x:c r="F416" s="7" t="n">
        <x:v>18349.04</x:v>
      </x:c>
      <x:c r="G416" s="8"/>
    </x:row>
    <x:row r="417">
      <x:c r="A417" s="6" t="n">
        <x:v>46143</x:v>
      </x:c>
      <x:c r="B417" s="5" t="str">
        <x:v>Executive</x:v>
      </x:c>
      <x:c r="C417" s="5" t="str">
        <x:v>General &amp; Administrative</x:v>
      </x:c>
      <x:c r="D417" s="5" t="str">
        <x:v>US West</x:v>
      </x:c>
      <x:c r="E417" s="10" t="n">
        <x:v>2</x:v>
      </x:c>
      <x:c r="F417" s="7" t="n">
        <x:v>77735.02</x:v>
      </x:c>
      <x:c r="G417" s="8"/>
    </x:row>
    <x:row r="418">
      <x:c r="A418" s="6" t="n">
        <x:v>46174</x:v>
      </x:c>
      <x:c r="B418" s="5" t="str">
        <x:v>Cloud Operations</x:v>
      </x:c>
      <x:c r="C418" s="5" t="str">
        <x:v>Cost of Revenue</x:v>
      </x:c>
      <x:c r="D418" s="5" t="str">
        <x:v>US West</x:v>
      </x:c>
      <x:c r="E418" s="10" t="n">
        <x:v>14</x:v>
      </x:c>
      <x:c r="F418" s="7" t="n">
        <x:v>268856.38</x:v>
      </x:c>
      <x:c r="G418" s="8"/>
    </x:row>
    <x:row r="419">
      <x:c r="A419" s="6" t="n">
        <x:v>46174</x:v>
      </x:c>
      <x:c r="B419" s="5" t="str">
        <x:v>Customer Support</x:v>
      </x:c>
      <x:c r="C419" s="5" t="str">
        <x:v>Cost of Revenue</x:v>
      </x:c>
      <x:c r="D419" s="5" t="str">
        <x:v>US West</x:v>
      </x:c>
      <x:c r="E419" s="10" t="n">
        <x:v>13</x:v>
      </x:c>
      <x:c r="F419" s="7" t="n">
        <x:v>189598.33</x:v>
      </x:c>
      <x:c r="G419" s="8"/>
    </x:row>
    <x:row r="420">
      <x:c r="A420" s="6" t="n">
        <x:v>46174</x:v>
      </x:c>
      <x:c r="B420" s="5" t="str">
        <x:v>Professional Services</x:v>
      </x:c>
      <x:c r="C420" s="5" t="str">
        <x:v>Cost of Revenue</x:v>
      </x:c>
      <x:c r="D420" s="5" t="str">
        <x:v>US West</x:v>
      </x:c>
      <x:c r="E420" s="10" t="n">
        <x:v>19</x:v>
      </x:c>
      <x:c r="F420" s="7" t="n">
        <x:v>325904.54</x:v>
      </x:c>
      <x:c r="G420" s="8" t="n">
        <x:v>0.7879</x:v>
      </x:c>
    </x:row>
    <x:row r="421">
      <x:c r="A421" s="6" t="n">
        <x:v>46174</x:v>
      </x:c>
      <x:c r="B421" s="5" t="str">
        <x:v>Sales</x:v>
      </x:c>
      <x:c r="C421" s="5" t="str">
        <x:v>Sales &amp; Marketing</x:v>
      </x:c>
      <x:c r="D421" s="5" t="str">
        <x:v>US West</x:v>
      </x:c>
      <x:c r="E421" s="10" t="n">
        <x:v>24</x:v>
      </x:c>
      <x:c r="F421" s="7" t="n">
        <x:v>448696.71</x:v>
      </x:c>
      <x:c r="G421" s="8"/>
    </x:row>
    <x:row r="422">
      <x:c r="A422" s="6" t="n">
        <x:v>46174</x:v>
      </x:c>
      <x:c r="B422" s="5" t="str">
        <x:v>Marketing</x:v>
      </x:c>
      <x:c r="C422" s="5" t="str">
        <x:v>Sales &amp; Marketing</x:v>
      </x:c>
      <x:c r="D422" s="5" t="str">
        <x:v>US West</x:v>
      </x:c>
      <x:c r="E422" s="10" t="n">
        <x:v>4</x:v>
      </x:c>
      <x:c r="F422" s="7" t="n">
        <x:v>50179.86</x:v>
      </x:c>
      <x:c r="G422" s="8"/>
    </x:row>
    <x:row r="423">
      <x:c r="A423" s="6" t="n">
        <x:v>46174</x:v>
      </x:c>
      <x:c r="B423" s="5" t="str">
        <x:v>Product &amp; Engineering</x:v>
      </x:c>
      <x:c r="C423" s="5" t="str">
        <x:v>Research &amp; Development</x:v>
      </x:c>
      <x:c r="D423" s="5" t="str">
        <x:v>US West</x:v>
      </x:c>
      <x:c r="E423" s="10" t="n">
        <x:v>50.6</x:v>
      </x:c>
      <x:c r="F423" s="7" t="n">
        <x:v>1165181</x:v>
      </x:c>
      <x:c r="G423" s="8"/>
    </x:row>
    <x:row r="424">
      <x:c r="A424" s="6" t="n">
        <x:v>46174</x:v>
      </x:c>
      <x:c r="B424" s="5" t="str">
        <x:v>Finance</x:v>
      </x:c>
      <x:c r="C424" s="5" t="str">
        <x:v>General &amp; Administrative</x:v>
      </x:c>
      <x:c r="D424" s="5" t="str">
        <x:v>US West</x:v>
      </x:c>
      <x:c r="E424" s="10" t="n">
        <x:v>1</x:v>
      </x:c>
      <x:c r="F424" s="7" t="n">
        <x:v>12346.49</x:v>
      </x:c>
      <x:c r="G424" s="8"/>
    </x:row>
    <x:row r="425">
      <x:c r="A425" s="6" t="n">
        <x:v>46174</x:v>
      </x:c>
      <x:c r="B425" s="5" t="str">
        <x:v>People</x:v>
      </x:c>
      <x:c r="C425" s="5" t="str">
        <x:v>General &amp; Administrative</x:v>
      </x:c>
      <x:c r="D425" s="5" t="str">
        <x:v>US West</x:v>
      </x:c>
      <x:c r="E425" s="10" t="n">
        <x:v>1.6</x:v>
      </x:c>
      <x:c r="F425" s="7" t="n">
        <x:v>19420.47</x:v>
      </x:c>
      <x:c r="G425" s="8"/>
    </x:row>
    <x:row r="426">
      <x:c r="A426" s="6" t="n">
        <x:v>46174</x:v>
      </x:c>
      <x:c r="B426" s="5" t="str">
        <x:v>Legal &amp; Compliance</x:v>
      </x:c>
      <x:c r="C426" s="5" t="str">
        <x:v>General &amp; Administrative</x:v>
      </x:c>
      <x:c r="D426" s="5" t="str">
        <x:v>US West</x:v>
      </x:c>
      <x:c r="E426" s="10" t="n">
        <x:v>2</x:v>
      </x:c>
      <x:c r="F426" s="7" t="n">
        <x:v>38925.51</x:v>
      </x:c>
      <x:c r="G426" s="8"/>
    </x:row>
    <x:row r="427">
      <x:c r="A427" s="6" t="n">
        <x:v>46174</x:v>
      </x:c>
      <x:c r="B427" s="5" t="str">
        <x:v>Information Technology</x:v>
      </x:c>
      <x:c r="C427" s="5" t="str">
        <x:v>General &amp; Administrative</x:v>
      </x:c>
      <x:c r="D427" s="5" t="str">
        <x:v>US West</x:v>
      </x:c>
      <x:c r="E427" s="10" t="n">
        <x:v>1</x:v>
      </x:c>
      <x:c r="F427" s="7" t="n">
        <x:v>18349.04</x:v>
      </x:c>
      <x:c r="G427" s="8"/>
    </x:row>
    <x:row r="428">
      <x:c r="A428" s="6" t="n">
        <x:v>46174</x:v>
      </x:c>
      <x:c r="B428" s="5" t="str">
        <x:v>Executive</x:v>
      </x:c>
      <x:c r="C428" s="5" t="str">
        <x:v>General &amp; Administrative</x:v>
      </x:c>
      <x:c r="D428" s="5" t="str">
        <x:v>US West</x:v>
      </x:c>
      <x:c r="E428" s="10" t="n">
        <x:v>2</x:v>
      </x:c>
      <x:c r="F428" s="7" t="n">
        <x:v>77735.02</x:v>
      </x:c>
      <x:c r="G428" s="8"/>
    </x:row>
    <x:row r="429">
      <x:c r="A429" s="6" t="n">
        <x:v>44927</x:v>
      </x:c>
      <x:c r="B429" s="5" t="str">
        <x:v>Cloud Operations</x:v>
      </x:c>
      <x:c r="C429" s="5" t="str">
        <x:v>Cost of Revenue</x:v>
      </x:c>
      <x:c r="D429" s="5" t="str">
        <x:v>US Central</x:v>
      </x:c>
      <x:c r="E429" s="10" t="n">
        <x:v>10</x:v>
      </x:c>
      <x:c r="F429" s="7" t="n">
        <x:v>182414.4</x:v>
      </x:c>
      <x:c r="G429" s="8"/>
    </x:row>
    <x:row r="430">
      <x:c r="A430" s="6" t="n">
        <x:v>44927</x:v>
      </x:c>
      <x:c r="B430" s="5" t="str">
        <x:v>Customer Support</x:v>
      </x:c>
      <x:c r="C430" s="5" t="str">
        <x:v>Cost of Revenue</x:v>
      </x:c>
      <x:c r="D430" s="5" t="str">
        <x:v>US Central</x:v>
      </x:c>
      <x:c r="E430" s="10" t="n">
        <x:v>8</x:v>
      </x:c>
      <x:c r="F430" s="7" t="n">
        <x:v>79240.89</x:v>
      </x:c>
      <x:c r="G430" s="8"/>
    </x:row>
    <x:row r="431">
      <x:c r="A431" s="6" t="n">
        <x:v>44927</x:v>
      </x:c>
      <x:c r="B431" s="5" t="str">
        <x:v>Professional Services</x:v>
      </x:c>
      <x:c r="C431" s="5" t="str">
        <x:v>Cost of Revenue</x:v>
      </x:c>
      <x:c r="D431" s="5" t="str">
        <x:v>US Central</x:v>
      </x:c>
      <x:c r="E431" s="10" t="n">
        <x:v>24</x:v>
      </x:c>
      <x:c r="F431" s="7" t="n">
        <x:v>316861.84</x:v>
      </x:c>
      <x:c r="G431" s="8" t="n">
        <x:v>0.7101</x:v>
      </x:c>
    </x:row>
    <x:row r="432">
      <x:c r="A432" s="6" t="n">
        <x:v>44927</x:v>
      </x:c>
      <x:c r="B432" s="5" t="str">
        <x:v>Sales</x:v>
      </x:c>
      <x:c r="C432" s="5" t="str">
        <x:v>Sales &amp; Marketing</x:v>
      </x:c>
      <x:c r="D432" s="5" t="str">
        <x:v>US Central</x:v>
      </x:c>
      <x:c r="E432" s="10" t="n">
        <x:v>16.6</x:v>
      </x:c>
      <x:c r="F432" s="7" t="n">
        <x:v>231189.21</x:v>
      </x:c>
      <x:c r="G432" s="8"/>
    </x:row>
    <x:row r="433">
      <x:c r="A433" s="6" t="n">
        <x:v>44927</x:v>
      </x:c>
      <x:c r="B433" s="5" t="str">
        <x:v>Marketing</x:v>
      </x:c>
      <x:c r="C433" s="5" t="str">
        <x:v>Sales &amp; Marketing</x:v>
      </x:c>
      <x:c r="D433" s="5" t="str">
        <x:v>US Central</x:v>
      </x:c>
      <x:c r="E433" s="10" t="n">
        <x:v>5</x:v>
      </x:c>
      <x:c r="F433" s="7" t="n">
        <x:v>56964.67</x:v>
      </x:c>
      <x:c r="G433" s="8"/>
    </x:row>
    <x:row r="434">
      <x:c r="A434" s="6" t="n">
        <x:v>44927</x:v>
      </x:c>
      <x:c r="B434" s="5" t="str">
        <x:v>Product &amp; Engineering</x:v>
      </x:c>
      <x:c r="C434" s="5" t="str">
        <x:v>Research &amp; Development</x:v>
      </x:c>
      <x:c r="D434" s="5" t="str">
        <x:v>US Central</x:v>
      </x:c>
      <x:c r="E434" s="10" t="n">
        <x:v>26.2</x:v>
      </x:c>
      <x:c r="F434" s="7" t="n">
        <x:v>423462.58</x:v>
      </x:c>
      <x:c r="G434" s="8"/>
    </x:row>
    <x:row r="435">
      <x:c r="A435" s="6" t="n">
        <x:v>44927</x:v>
      </x:c>
      <x:c r="B435" s="5" t="str">
        <x:v>Finance</x:v>
      </x:c>
      <x:c r="C435" s="5" t="str">
        <x:v>General &amp; Administrative</x:v>
      </x:c>
      <x:c r="D435" s="5" t="str">
        <x:v>US Central</x:v>
      </x:c>
      <x:c r="E435" s="10" t="n">
        <x:v>6</x:v>
      </x:c>
      <x:c r="F435" s="7" t="n">
        <x:v>67216.83</x:v>
      </x:c>
      <x:c r="G435" s="8"/>
    </x:row>
    <x:row r="436">
      <x:c r="A436" s="6" t="n">
        <x:v>44927</x:v>
      </x:c>
      <x:c r="B436" s="5" t="str">
        <x:v>People</x:v>
      </x:c>
      <x:c r="C436" s="5" t="str">
        <x:v>General &amp; Administrative</x:v>
      </x:c>
      <x:c r="D436" s="5" t="str">
        <x:v>US Central</x:v>
      </x:c>
      <x:c r="E436" s="10" t="n">
        <x:v>5</x:v>
      </x:c>
      <x:c r="F436" s="7" t="n">
        <x:v>54128.09</x:v>
      </x:c>
      <x:c r="G436" s="8"/>
    </x:row>
    <x:row r="437">
      <x:c r="A437" s="6" t="n">
        <x:v>44927</x:v>
      </x:c>
      <x:c r="B437" s="5" t="str">
        <x:v>Legal &amp; Compliance</x:v>
      </x:c>
      <x:c r="C437" s="5" t="str">
        <x:v>General &amp; Administrative</x:v>
      </x:c>
      <x:c r="D437" s="5" t="str">
        <x:v>US Central</x:v>
      </x:c>
      <x:c r="E437" s="10" t="n">
        <x:v>2</x:v>
      </x:c>
      <x:c r="F437" s="7" t="n">
        <x:v>37264.97</x:v>
      </x:c>
      <x:c r="G437" s="8"/>
    </x:row>
    <x:row r="438">
      <x:c r="A438" s="6" t="n">
        <x:v>44927</x:v>
      </x:c>
      <x:c r="B438" s="5" t="str">
        <x:v>Information Technology</x:v>
      </x:c>
      <x:c r="C438" s="5" t="str">
        <x:v>General &amp; Administrative</x:v>
      </x:c>
      <x:c r="D438" s="5" t="str">
        <x:v>US Central</x:v>
      </x:c>
      <x:c r="E438" s="10" t="n">
        <x:v>6</x:v>
      </x:c>
      <x:c r="F438" s="7" t="n">
        <x:v>68711.41</x:v>
      </x:c>
      <x:c r="G438" s="8"/>
    </x:row>
    <x:row r="439">
      <x:c r="A439" s="6" t="n">
        <x:v>44927</x:v>
      </x:c>
      <x:c r="B439" s="5" t="str">
        <x:v>Executive</x:v>
      </x:c>
      <x:c r="C439" s="5" t="str">
        <x:v>General &amp; Administrative</x:v>
      </x:c>
      <x:c r="D439" s="5" t="str">
        <x:v>US Central</x:v>
      </x:c>
      <x:c r="E439" s="10" t="n">
        <x:v>3</x:v>
      </x:c>
      <x:c r="F439" s="7" t="n">
        <x:v>89915.09</x:v>
      </x:c>
      <x:c r="G439" s="8"/>
    </x:row>
    <x:row r="440">
      <x:c r="A440" s="6" t="n">
        <x:v>44958</x:v>
      </x:c>
      <x:c r="B440" s="5" t="str">
        <x:v>Cloud Operations</x:v>
      </x:c>
      <x:c r="C440" s="5" t="str">
        <x:v>Cost of Revenue</x:v>
      </x:c>
      <x:c r="D440" s="5" t="str">
        <x:v>US Central</x:v>
      </x:c>
      <x:c r="E440" s="10" t="n">
        <x:v>10</x:v>
      </x:c>
      <x:c r="F440" s="7" t="n">
        <x:v>182414.4</x:v>
      </x:c>
      <x:c r="G440" s="8"/>
    </x:row>
    <x:row r="441">
      <x:c r="A441" s="6" t="n">
        <x:v>44958</x:v>
      </x:c>
      <x:c r="B441" s="5" t="str">
        <x:v>Customer Support</x:v>
      </x:c>
      <x:c r="C441" s="5" t="str">
        <x:v>Cost of Revenue</x:v>
      </x:c>
      <x:c r="D441" s="5" t="str">
        <x:v>US Central</x:v>
      </x:c>
      <x:c r="E441" s="10" t="n">
        <x:v>8</x:v>
      </x:c>
      <x:c r="F441" s="7" t="n">
        <x:v>79240.89</x:v>
      </x:c>
      <x:c r="G441" s="8"/>
    </x:row>
    <x:row r="442">
      <x:c r="A442" s="6" t="n">
        <x:v>44958</x:v>
      </x:c>
      <x:c r="B442" s="5" t="str">
        <x:v>Professional Services</x:v>
      </x:c>
      <x:c r="C442" s="5" t="str">
        <x:v>Cost of Revenue</x:v>
      </x:c>
      <x:c r="D442" s="5" t="str">
        <x:v>US Central</x:v>
      </x:c>
      <x:c r="E442" s="10" t="n">
        <x:v>24</x:v>
      </x:c>
      <x:c r="F442" s="7" t="n">
        <x:v>316861.84</x:v>
      </x:c>
      <x:c r="G442" s="8" t="n">
        <x:v>0.7281</x:v>
      </x:c>
    </x:row>
    <x:row r="443">
      <x:c r="A443" s="6" t="n">
        <x:v>44958</x:v>
      </x:c>
      <x:c r="B443" s="5" t="str">
        <x:v>Sales</x:v>
      </x:c>
      <x:c r="C443" s="5" t="str">
        <x:v>Sales &amp; Marketing</x:v>
      </x:c>
      <x:c r="D443" s="5" t="str">
        <x:v>US Central</x:v>
      </x:c>
      <x:c r="E443" s="10" t="n">
        <x:v>17.6</x:v>
      </x:c>
      <x:c r="F443" s="7" t="n">
        <x:v>242922.02</x:v>
      </x:c>
      <x:c r="G443" s="8"/>
    </x:row>
    <x:row r="444">
      <x:c r="A444" s="6" t="n">
        <x:v>44958</x:v>
      </x:c>
      <x:c r="B444" s="5" t="str">
        <x:v>Marketing</x:v>
      </x:c>
      <x:c r="C444" s="5" t="str">
        <x:v>Sales &amp; Marketing</x:v>
      </x:c>
      <x:c r="D444" s="5" t="str">
        <x:v>US Central</x:v>
      </x:c>
      <x:c r="E444" s="10" t="n">
        <x:v>5</x:v>
      </x:c>
      <x:c r="F444" s="7" t="n">
        <x:v>56964.67</x:v>
      </x:c>
      <x:c r="G444" s="8"/>
    </x:row>
    <x:row r="445">
      <x:c r="A445" s="6" t="n">
        <x:v>44958</x:v>
      </x:c>
      <x:c r="B445" s="5" t="str">
        <x:v>Product &amp; Engineering</x:v>
      </x:c>
      <x:c r="C445" s="5" t="str">
        <x:v>Research &amp; Development</x:v>
      </x:c>
      <x:c r="D445" s="5" t="str">
        <x:v>US Central</x:v>
      </x:c>
      <x:c r="E445" s="10" t="n">
        <x:v>27.2</x:v>
      </x:c>
      <x:c r="F445" s="7" t="n">
        <x:v>437684.6</x:v>
      </x:c>
      <x:c r="G445" s="8"/>
    </x:row>
    <x:row r="446">
      <x:c r="A446" s="6" t="n">
        <x:v>44958</x:v>
      </x:c>
      <x:c r="B446" s="5" t="str">
        <x:v>Finance</x:v>
      </x:c>
      <x:c r="C446" s="5" t="str">
        <x:v>General &amp; Administrative</x:v>
      </x:c>
      <x:c r="D446" s="5" t="str">
        <x:v>US Central</x:v>
      </x:c>
      <x:c r="E446" s="10" t="n">
        <x:v>6</x:v>
      </x:c>
      <x:c r="F446" s="7" t="n">
        <x:v>67216.83</x:v>
      </x:c>
      <x:c r="G446" s="8"/>
    </x:row>
    <x:row r="447">
      <x:c r="A447" s="6" t="n">
        <x:v>44958</x:v>
      </x:c>
      <x:c r="B447" s="5" t="str">
        <x:v>People</x:v>
      </x:c>
      <x:c r="C447" s="5" t="str">
        <x:v>General &amp; Administrative</x:v>
      </x:c>
      <x:c r="D447" s="5" t="str">
        <x:v>US Central</x:v>
      </x:c>
      <x:c r="E447" s="10" t="n">
        <x:v>5</x:v>
      </x:c>
      <x:c r="F447" s="7" t="n">
        <x:v>54128.09</x:v>
      </x:c>
      <x:c r="G447" s="8"/>
    </x:row>
    <x:row r="448">
      <x:c r="A448" s="6" t="n">
        <x:v>44958</x:v>
      </x:c>
      <x:c r="B448" s="5" t="str">
        <x:v>Legal &amp; Compliance</x:v>
      </x:c>
      <x:c r="C448" s="5" t="str">
        <x:v>General &amp; Administrative</x:v>
      </x:c>
      <x:c r="D448" s="5" t="str">
        <x:v>US Central</x:v>
      </x:c>
      <x:c r="E448" s="10" t="n">
        <x:v>2</x:v>
      </x:c>
      <x:c r="F448" s="7" t="n">
        <x:v>37264.97</x:v>
      </x:c>
      <x:c r="G448" s="8"/>
    </x:row>
    <x:row r="449">
      <x:c r="A449" s="6" t="n">
        <x:v>44958</x:v>
      </x:c>
      <x:c r="B449" s="5" t="str">
        <x:v>Information Technology</x:v>
      </x:c>
      <x:c r="C449" s="5" t="str">
        <x:v>General &amp; Administrative</x:v>
      </x:c>
      <x:c r="D449" s="5" t="str">
        <x:v>US Central</x:v>
      </x:c>
      <x:c r="E449" s="10" t="n">
        <x:v>6</x:v>
      </x:c>
      <x:c r="F449" s="7" t="n">
        <x:v>68711.41</x:v>
      </x:c>
      <x:c r="G449" s="8"/>
    </x:row>
    <x:row r="450">
      <x:c r="A450" s="6" t="n">
        <x:v>44958</x:v>
      </x:c>
      <x:c r="B450" s="5" t="str">
        <x:v>Executive</x:v>
      </x:c>
      <x:c r="C450" s="5" t="str">
        <x:v>General &amp; Administrative</x:v>
      </x:c>
      <x:c r="D450" s="5" t="str">
        <x:v>US Central</x:v>
      </x:c>
      <x:c r="E450" s="10" t="n">
        <x:v>3</x:v>
      </x:c>
      <x:c r="F450" s="7" t="n">
        <x:v>89915.09</x:v>
      </x:c>
      <x:c r="G450" s="8"/>
    </x:row>
    <x:row r="451">
      <x:c r="A451" s="6" t="n">
        <x:v>44986</x:v>
      </x:c>
      <x:c r="B451" s="5" t="str">
        <x:v>Cloud Operations</x:v>
      </x:c>
      <x:c r="C451" s="5" t="str">
        <x:v>Cost of Revenue</x:v>
      </x:c>
      <x:c r="D451" s="5" t="str">
        <x:v>US Central</x:v>
      </x:c>
      <x:c r="E451" s="10" t="n">
        <x:v>12</x:v>
      </x:c>
      <x:c r="F451" s="7" t="n">
        <x:v>214857.79</x:v>
      </x:c>
      <x:c r="G451" s="8"/>
    </x:row>
    <x:row r="452">
      <x:c r="A452" s="6" t="n">
        <x:v>44986</x:v>
      </x:c>
      <x:c r="B452" s="5" t="str">
        <x:v>Customer Support</x:v>
      </x:c>
      <x:c r="C452" s="5" t="str">
        <x:v>Cost of Revenue</x:v>
      </x:c>
      <x:c r="D452" s="5" t="str">
        <x:v>US Central</x:v>
      </x:c>
      <x:c r="E452" s="10" t="n">
        <x:v>8</x:v>
      </x:c>
      <x:c r="F452" s="7" t="n">
        <x:v>79240.89</x:v>
      </x:c>
      <x:c r="G452" s="8"/>
    </x:row>
    <x:row r="453">
      <x:c r="A453" s="6" t="n">
        <x:v>44986</x:v>
      </x:c>
      <x:c r="B453" s="5" t="str">
        <x:v>Professional Services</x:v>
      </x:c>
      <x:c r="C453" s="5" t="str">
        <x:v>Cost of Revenue</x:v>
      </x:c>
      <x:c r="D453" s="5" t="str">
        <x:v>US Central</x:v>
      </x:c>
      <x:c r="E453" s="10" t="n">
        <x:v>24</x:v>
      </x:c>
      <x:c r="F453" s="7" t="n">
        <x:v>316861.84</x:v>
      </x:c>
      <x:c r="G453" s="8" t="n">
        <x:v>0.7563</x:v>
      </x:c>
    </x:row>
    <x:row r="454">
      <x:c r="A454" s="6" t="n">
        <x:v>44986</x:v>
      </x:c>
      <x:c r="B454" s="5" t="str">
        <x:v>Sales</x:v>
      </x:c>
      <x:c r="C454" s="5" t="str">
        <x:v>Sales &amp; Marketing</x:v>
      </x:c>
      <x:c r="D454" s="5" t="str">
        <x:v>US Central</x:v>
      </x:c>
      <x:c r="E454" s="10" t="n">
        <x:v>17.6</x:v>
      </x:c>
      <x:c r="F454" s="7" t="n">
        <x:v>242922.02</x:v>
      </x:c>
      <x:c r="G454" s="8"/>
    </x:row>
    <x:row r="455">
      <x:c r="A455" s="6" t="n">
        <x:v>44986</x:v>
      </x:c>
      <x:c r="B455" s="5" t="str">
        <x:v>Marketing</x:v>
      </x:c>
      <x:c r="C455" s="5" t="str">
        <x:v>Sales &amp; Marketing</x:v>
      </x:c>
      <x:c r="D455" s="5" t="str">
        <x:v>US Central</x:v>
      </x:c>
      <x:c r="E455" s="10" t="n">
        <x:v>5</x:v>
      </x:c>
      <x:c r="F455" s="7" t="n">
        <x:v>56964.67</x:v>
      </x:c>
      <x:c r="G455" s="8"/>
    </x:row>
    <x:row r="456">
      <x:c r="A456" s="6" t="n">
        <x:v>44986</x:v>
      </x:c>
      <x:c r="B456" s="5" t="str">
        <x:v>Product &amp; Engineering</x:v>
      </x:c>
      <x:c r="C456" s="5" t="str">
        <x:v>Research &amp; Development</x:v>
      </x:c>
      <x:c r="D456" s="5" t="str">
        <x:v>US Central</x:v>
      </x:c>
      <x:c r="E456" s="10" t="n">
        <x:v>27.2</x:v>
      </x:c>
      <x:c r="F456" s="7" t="n">
        <x:v>437684.6</x:v>
      </x:c>
      <x:c r="G456" s="8"/>
    </x:row>
    <x:row r="457">
      <x:c r="A457" s="6" t="n">
        <x:v>44986</x:v>
      </x:c>
      <x:c r="B457" s="5" t="str">
        <x:v>Finance</x:v>
      </x:c>
      <x:c r="C457" s="5" t="str">
        <x:v>General &amp; Administrative</x:v>
      </x:c>
      <x:c r="D457" s="5" t="str">
        <x:v>US Central</x:v>
      </x:c>
      <x:c r="E457" s="10" t="n">
        <x:v>6</x:v>
      </x:c>
      <x:c r="F457" s="7" t="n">
        <x:v>67216.83</x:v>
      </x:c>
      <x:c r="G457" s="8"/>
    </x:row>
    <x:row r="458">
      <x:c r="A458" s="6" t="n">
        <x:v>44986</x:v>
      </x:c>
      <x:c r="B458" s="5" t="str">
        <x:v>People</x:v>
      </x:c>
      <x:c r="C458" s="5" t="str">
        <x:v>General &amp; Administrative</x:v>
      </x:c>
      <x:c r="D458" s="5" t="str">
        <x:v>US Central</x:v>
      </x:c>
      <x:c r="E458" s="10" t="n">
        <x:v>5</x:v>
      </x:c>
      <x:c r="F458" s="7" t="n">
        <x:v>54128.09</x:v>
      </x:c>
      <x:c r="G458" s="8"/>
    </x:row>
    <x:row r="459">
      <x:c r="A459" s="6" t="n">
        <x:v>44986</x:v>
      </x:c>
      <x:c r="B459" s="5" t="str">
        <x:v>Legal &amp; Compliance</x:v>
      </x:c>
      <x:c r="C459" s="5" t="str">
        <x:v>General &amp; Administrative</x:v>
      </x:c>
      <x:c r="D459" s="5" t="str">
        <x:v>US Central</x:v>
      </x:c>
      <x:c r="E459" s="10" t="n">
        <x:v>2</x:v>
      </x:c>
      <x:c r="F459" s="7" t="n">
        <x:v>37264.97</x:v>
      </x:c>
      <x:c r="G459" s="8"/>
    </x:row>
    <x:row r="460">
      <x:c r="A460" s="6" t="n">
        <x:v>44986</x:v>
      </x:c>
      <x:c r="B460" s="5" t="str">
        <x:v>Information Technology</x:v>
      </x:c>
      <x:c r="C460" s="5" t="str">
        <x:v>General &amp; Administrative</x:v>
      </x:c>
      <x:c r="D460" s="5" t="str">
        <x:v>US Central</x:v>
      </x:c>
      <x:c r="E460" s="10" t="n">
        <x:v>6</x:v>
      </x:c>
      <x:c r="F460" s="7" t="n">
        <x:v>68711.41</x:v>
      </x:c>
      <x:c r="G460" s="8"/>
    </x:row>
    <x:row r="461">
      <x:c r="A461" s="6" t="n">
        <x:v>44986</x:v>
      </x:c>
      <x:c r="B461" s="5" t="str">
        <x:v>Executive</x:v>
      </x:c>
      <x:c r="C461" s="5" t="str">
        <x:v>General &amp; Administrative</x:v>
      </x:c>
      <x:c r="D461" s="5" t="str">
        <x:v>US Central</x:v>
      </x:c>
      <x:c r="E461" s="10" t="n">
        <x:v>3</x:v>
      </x:c>
      <x:c r="F461" s="7" t="n">
        <x:v>89915.09</x:v>
      </x:c>
      <x:c r="G461" s="8"/>
    </x:row>
    <x:row r="462">
      <x:c r="A462" s="6" t="n">
        <x:v>45017</x:v>
      </x:c>
      <x:c r="B462" s="5" t="str">
        <x:v>Cloud Operations</x:v>
      </x:c>
      <x:c r="C462" s="5" t="str">
        <x:v>Cost of Revenue</x:v>
      </x:c>
      <x:c r="D462" s="5" t="str">
        <x:v>US Central</x:v>
      </x:c>
      <x:c r="E462" s="10" t="n">
        <x:v>12</x:v>
      </x:c>
      <x:c r="F462" s="7" t="n">
        <x:v>214857.79</x:v>
      </x:c>
      <x:c r="G462" s="8"/>
    </x:row>
    <x:row r="463">
      <x:c r="A463" s="6" t="n">
        <x:v>45017</x:v>
      </x:c>
      <x:c r="B463" s="5" t="str">
        <x:v>Customer Support</x:v>
      </x:c>
      <x:c r="C463" s="5" t="str">
        <x:v>Cost of Revenue</x:v>
      </x:c>
      <x:c r="D463" s="5" t="str">
        <x:v>US Central</x:v>
      </x:c>
      <x:c r="E463" s="10" t="n">
        <x:v>8</x:v>
      </x:c>
      <x:c r="F463" s="7" t="n">
        <x:v>79240.89</x:v>
      </x:c>
      <x:c r="G463" s="8"/>
    </x:row>
    <x:row r="464">
      <x:c r="A464" s="6" t="n">
        <x:v>45017</x:v>
      </x:c>
      <x:c r="B464" s="5" t="str">
        <x:v>Professional Services</x:v>
      </x:c>
      <x:c r="C464" s="5" t="str">
        <x:v>Cost of Revenue</x:v>
      </x:c>
      <x:c r="D464" s="5" t="str">
        <x:v>US Central</x:v>
      </x:c>
      <x:c r="E464" s="10" t="n">
        <x:v>25</x:v>
      </x:c>
      <x:c r="F464" s="7" t="n">
        <x:v>335033.08</x:v>
      </x:c>
      <x:c r="G464" s="8" t="n">
        <x:v>0.7438</x:v>
      </x:c>
    </x:row>
    <x:row r="465">
      <x:c r="A465" s="6" t="n">
        <x:v>45017</x:v>
      </x:c>
      <x:c r="B465" s="5" t="str">
        <x:v>Sales</x:v>
      </x:c>
      <x:c r="C465" s="5" t="str">
        <x:v>Sales &amp; Marketing</x:v>
      </x:c>
      <x:c r="D465" s="5" t="str">
        <x:v>US Central</x:v>
      </x:c>
      <x:c r="E465" s="10" t="n">
        <x:v>17</x:v>
      </x:c>
      <x:c r="F465" s="7" t="n">
        <x:v>230936.86</x:v>
      </x:c>
      <x:c r="G465" s="8"/>
    </x:row>
    <x:row r="466">
      <x:c r="A466" s="6" t="n">
        <x:v>45017</x:v>
      </x:c>
      <x:c r="B466" s="5" t="str">
        <x:v>Marketing</x:v>
      </x:c>
      <x:c r="C466" s="5" t="str">
        <x:v>Sales &amp; Marketing</x:v>
      </x:c>
      <x:c r="D466" s="5" t="str">
        <x:v>US Central</x:v>
      </x:c>
      <x:c r="E466" s="10" t="n">
        <x:v>5</x:v>
      </x:c>
      <x:c r="F466" s="7" t="n">
        <x:v>51877.01</x:v>
      </x:c>
      <x:c r="G466" s="8"/>
    </x:row>
    <x:row r="467">
      <x:c r="A467" s="6" t="n">
        <x:v>45017</x:v>
      </x:c>
      <x:c r="B467" s="5" t="str">
        <x:v>Product &amp; Engineering</x:v>
      </x:c>
      <x:c r="C467" s="5" t="str">
        <x:v>Research &amp; Development</x:v>
      </x:c>
      <x:c r="D467" s="5" t="str">
        <x:v>US Central</x:v>
      </x:c>
      <x:c r="E467" s="10" t="n">
        <x:v>28.2</x:v>
      </x:c>
      <x:c r="F467" s="7" t="n">
        <x:v>447279.43</x:v>
      </x:c>
      <x:c r="G467" s="8"/>
    </x:row>
    <x:row r="468">
      <x:c r="A468" s="6" t="n">
        <x:v>45017</x:v>
      </x:c>
      <x:c r="B468" s="5" t="str">
        <x:v>Finance</x:v>
      </x:c>
      <x:c r="C468" s="5" t="str">
        <x:v>General &amp; Administrative</x:v>
      </x:c>
      <x:c r="D468" s="5" t="str">
        <x:v>US Central</x:v>
      </x:c>
      <x:c r="E468" s="10" t="n">
        <x:v>5</x:v>
      </x:c>
      <x:c r="F468" s="7" t="n">
        <x:v>56071.32</x:v>
      </x:c>
      <x:c r="G468" s="8"/>
    </x:row>
    <x:row r="469">
      <x:c r="A469" s="6" t="n">
        <x:v>45017</x:v>
      </x:c>
      <x:c r="B469" s="5" t="str">
        <x:v>People</x:v>
      </x:c>
      <x:c r="C469" s="5" t="str">
        <x:v>General &amp; Administrative</x:v>
      </x:c>
      <x:c r="D469" s="5" t="str">
        <x:v>US Central</x:v>
      </x:c>
      <x:c r="E469" s="10" t="n">
        <x:v>5</x:v>
      </x:c>
      <x:c r="F469" s="7" t="n">
        <x:v>54128.09</x:v>
      </x:c>
      <x:c r="G469" s="8"/>
    </x:row>
    <x:row r="470">
      <x:c r="A470" s="6" t="n">
        <x:v>45017</x:v>
      </x:c>
      <x:c r="B470" s="5" t="str">
        <x:v>Legal &amp; Compliance</x:v>
      </x:c>
      <x:c r="C470" s="5" t="str">
        <x:v>General &amp; Administrative</x:v>
      </x:c>
      <x:c r="D470" s="5" t="str">
        <x:v>US Central</x:v>
      </x:c>
      <x:c r="E470" s="10" t="n">
        <x:v>2</x:v>
      </x:c>
      <x:c r="F470" s="7" t="n">
        <x:v>37264.97</x:v>
      </x:c>
      <x:c r="G470" s="8"/>
    </x:row>
    <x:row r="471">
      <x:c r="A471" s="6" t="n">
        <x:v>45017</x:v>
      </x:c>
      <x:c r="B471" s="5" t="str">
        <x:v>Information Technology</x:v>
      </x:c>
      <x:c r="C471" s="5" t="str">
        <x:v>General &amp; Administrative</x:v>
      </x:c>
      <x:c r="D471" s="5" t="str">
        <x:v>US Central</x:v>
      </x:c>
      <x:c r="E471" s="10" t="n">
        <x:v>6</x:v>
      </x:c>
      <x:c r="F471" s="7" t="n">
        <x:v>68711.41</x:v>
      </x:c>
      <x:c r="G471" s="8"/>
    </x:row>
    <x:row r="472">
      <x:c r="A472" s="6" t="n">
        <x:v>45017</x:v>
      </x:c>
      <x:c r="B472" s="5" t="str">
        <x:v>Executive</x:v>
      </x:c>
      <x:c r="C472" s="5" t="str">
        <x:v>General &amp; Administrative</x:v>
      </x:c>
      <x:c r="D472" s="5" t="str">
        <x:v>US Central</x:v>
      </x:c>
      <x:c r="E472" s="10" t="n">
        <x:v>3</x:v>
      </x:c>
      <x:c r="F472" s="7" t="n">
        <x:v>89915.09</x:v>
      </x:c>
      <x:c r="G472" s="8"/>
    </x:row>
    <x:row r="473">
      <x:c r="A473" s="6" t="n">
        <x:v>45047</x:v>
      </x:c>
      <x:c r="B473" s="5" t="str">
        <x:v>Cloud Operations</x:v>
      </x:c>
      <x:c r="C473" s="5" t="str">
        <x:v>Cost of Revenue</x:v>
      </x:c>
      <x:c r="D473" s="5" t="str">
        <x:v>US Central</x:v>
      </x:c>
      <x:c r="E473" s="10" t="n">
        <x:v>11</x:v>
      </x:c>
      <x:c r="F473" s="7" t="n">
        <x:v>202891.51</x:v>
      </x:c>
      <x:c r="G473" s="8"/>
    </x:row>
    <x:row r="474">
      <x:c r="A474" s="6" t="n">
        <x:v>45047</x:v>
      </x:c>
      <x:c r="B474" s="5" t="str">
        <x:v>Customer Support</x:v>
      </x:c>
      <x:c r="C474" s="5" t="str">
        <x:v>Cost of Revenue</x:v>
      </x:c>
      <x:c r="D474" s="5" t="str">
        <x:v>US Central</x:v>
      </x:c>
      <x:c r="E474" s="10" t="n">
        <x:v>8</x:v>
      </x:c>
      <x:c r="F474" s="7" t="n">
        <x:v>79240.89</x:v>
      </x:c>
      <x:c r="G474" s="8"/>
    </x:row>
    <x:row r="475">
      <x:c r="A475" s="6" t="n">
        <x:v>45047</x:v>
      </x:c>
      <x:c r="B475" s="5" t="str">
        <x:v>Professional Services</x:v>
      </x:c>
      <x:c r="C475" s="5" t="str">
        <x:v>Cost of Revenue</x:v>
      </x:c>
      <x:c r="D475" s="5" t="str">
        <x:v>US Central</x:v>
      </x:c>
      <x:c r="E475" s="10" t="n">
        <x:v>25</x:v>
      </x:c>
      <x:c r="F475" s="7" t="n">
        <x:v>335033.08</x:v>
      </x:c>
      <x:c r="G475" s="8" t="n">
        <x:v>0.7638</x:v>
      </x:c>
    </x:row>
    <x:row r="476">
      <x:c r="A476" s="6" t="n">
        <x:v>45047</x:v>
      </x:c>
      <x:c r="B476" s="5" t="str">
        <x:v>Sales</x:v>
      </x:c>
      <x:c r="C476" s="5" t="str">
        <x:v>Sales &amp; Marketing</x:v>
      </x:c>
      <x:c r="D476" s="5" t="str">
        <x:v>US Central</x:v>
      </x:c>
      <x:c r="E476" s="10" t="n">
        <x:v>17</x:v>
      </x:c>
      <x:c r="F476" s="7" t="n">
        <x:v>230936.86</x:v>
      </x:c>
      <x:c r="G476" s="8"/>
    </x:row>
    <x:row r="477">
      <x:c r="A477" s="6" t="n">
        <x:v>45047</x:v>
      </x:c>
      <x:c r="B477" s="5" t="str">
        <x:v>Marketing</x:v>
      </x:c>
      <x:c r="C477" s="5" t="str">
        <x:v>Sales &amp; Marketing</x:v>
      </x:c>
      <x:c r="D477" s="5" t="str">
        <x:v>US Central</x:v>
      </x:c>
      <x:c r="E477" s="10" t="n">
        <x:v>5</x:v>
      </x:c>
      <x:c r="F477" s="7" t="n">
        <x:v>51877.01</x:v>
      </x:c>
      <x:c r="G477" s="8"/>
    </x:row>
    <x:row r="478">
      <x:c r="A478" s="6" t="n">
        <x:v>45047</x:v>
      </x:c>
      <x:c r="B478" s="5" t="str">
        <x:v>Product &amp; Engineering</x:v>
      </x:c>
      <x:c r="C478" s="5" t="str">
        <x:v>Research &amp; Development</x:v>
      </x:c>
      <x:c r="D478" s="5" t="str">
        <x:v>US Central</x:v>
      </x:c>
      <x:c r="E478" s="10" t="n">
        <x:v>28.2</x:v>
      </x:c>
      <x:c r="F478" s="7" t="n">
        <x:v>447279.43</x:v>
      </x:c>
      <x:c r="G478" s="8"/>
    </x:row>
    <x:row r="479">
      <x:c r="A479" s="6" t="n">
        <x:v>45047</x:v>
      </x:c>
      <x:c r="B479" s="5" t="str">
        <x:v>Finance</x:v>
      </x:c>
      <x:c r="C479" s="5" t="str">
        <x:v>General &amp; Administrative</x:v>
      </x:c>
      <x:c r="D479" s="5" t="str">
        <x:v>US Central</x:v>
      </x:c>
      <x:c r="E479" s="10" t="n">
        <x:v>5</x:v>
      </x:c>
      <x:c r="F479" s="7" t="n">
        <x:v>56071.32</x:v>
      </x:c>
      <x:c r="G479" s="8"/>
    </x:row>
    <x:row r="480">
      <x:c r="A480" s="6" t="n">
        <x:v>45047</x:v>
      </x:c>
      <x:c r="B480" s="5" t="str">
        <x:v>People</x:v>
      </x:c>
      <x:c r="C480" s="5" t="str">
        <x:v>General &amp; Administrative</x:v>
      </x:c>
      <x:c r="D480" s="5" t="str">
        <x:v>US Central</x:v>
      </x:c>
      <x:c r="E480" s="10" t="n">
        <x:v>5</x:v>
      </x:c>
      <x:c r="F480" s="7" t="n">
        <x:v>54128.09</x:v>
      </x:c>
      <x:c r="G480" s="8"/>
    </x:row>
    <x:row r="481">
      <x:c r="A481" s="6" t="n">
        <x:v>45047</x:v>
      </x:c>
      <x:c r="B481" s="5" t="str">
        <x:v>Legal &amp; Compliance</x:v>
      </x:c>
      <x:c r="C481" s="5" t="str">
        <x:v>General &amp; Administrative</x:v>
      </x:c>
      <x:c r="D481" s="5" t="str">
        <x:v>US Central</x:v>
      </x:c>
      <x:c r="E481" s="10" t="n">
        <x:v>2</x:v>
      </x:c>
      <x:c r="F481" s="7" t="n">
        <x:v>37264.97</x:v>
      </x:c>
      <x:c r="G481" s="8"/>
    </x:row>
    <x:row r="482">
      <x:c r="A482" s="6" t="n">
        <x:v>45047</x:v>
      </x:c>
      <x:c r="B482" s="5" t="str">
        <x:v>Information Technology</x:v>
      </x:c>
      <x:c r="C482" s="5" t="str">
        <x:v>General &amp; Administrative</x:v>
      </x:c>
      <x:c r="D482" s="5" t="str">
        <x:v>US Central</x:v>
      </x:c>
      <x:c r="E482" s="10" t="n">
        <x:v>6</x:v>
      </x:c>
      <x:c r="F482" s="7" t="n">
        <x:v>68711.41</x:v>
      </x:c>
      <x:c r="G482" s="8"/>
    </x:row>
    <x:row r="483">
      <x:c r="A483" s="6" t="n">
        <x:v>45047</x:v>
      </x:c>
      <x:c r="B483" s="5" t="str">
        <x:v>Executive</x:v>
      </x:c>
      <x:c r="C483" s="5" t="str">
        <x:v>General &amp; Administrative</x:v>
      </x:c>
      <x:c r="D483" s="5" t="str">
        <x:v>US Central</x:v>
      </x:c>
      <x:c r="E483" s="10" t="n">
        <x:v>3</x:v>
      </x:c>
      <x:c r="F483" s="7" t="n">
        <x:v>89915.09</x:v>
      </x:c>
      <x:c r="G483" s="8"/>
    </x:row>
    <x:row r="484">
      <x:c r="A484" s="6" t="n">
        <x:v>45078</x:v>
      </x:c>
      <x:c r="B484" s="5" t="str">
        <x:v>Cloud Operations</x:v>
      </x:c>
      <x:c r="C484" s="5" t="str">
        <x:v>Cost of Revenue</x:v>
      </x:c>
      <x:c r="D484" s="5" t="str">
        <x:v>US Central</x:v>
      </x:c>
      <x:c r="E484" s="10" t="n">
        <x:v>11</x:v>
      </x:c>
      <x:c r="F484" s="7" t="n">
        <x:v>202891.51</x:v>
      </x:c>
      <x:c r="G484" s="8"/>
    </x:row>
    <x:row r="485">
      <x:c r="A485" s="6" t="n">
        <x:v>45078</x:v>
      </x:c>
      <x:c r="B485" s="5" t="str">
        <x:v>Customer Support</x:v>
      </x:c>
      <x:c r="C485" s="5" t="str">
        <x:v>Cost of Revenue</x:v>
      </x:c>
      <x:c r="D485" s="5" t="str">
        <x:v>US Central</x:v>
      </x:c>
      <x:c r="E485" s="10" t="n">
        <x:v>8</x:v>
      </x:c>
      <x:c r="F485" s="7" t="n">
        <x:v>79240.89</x:v>
      </x:c>
      <x:c r="G485" s="8"/>
    </x:row>
    <x:row r="486">
      <x:c r="A486" s="6" t="n">
        <x:v>45078</x:v>
      </x:c>
      <x:c r="B486" s="5" t="str">
        <x:v>Professional Services</x:v>
      </x:c>
      <x:c r="C486" s="5" t="str">
        <x:v>Cost of Revenue</x:v>
      </x:c>
      <x:c r="D486" s="5" t="str">
        <x:v>US Central</x:v>
      </x:c>
      <x:c r="E486" s="10" t="n">
        <x:v>25</x:v>
      </x:c>
      <x:c r="F486" s="7" t="n">
        <x:v>335033.08</x:v>
      </x:c>
      <x:c r="G486" s="8" t="n">
        <x:v>0.7474</x:v>
      </x:c>
    </x:row>
    <x:row r="487">
      <x:c r="A487" s="6" t="n">
        <x:v>45078</x:v>
      </x:c>
      <x:c r="B487" s="5" t="str">
        <x:v>Sales</x:v>
      </x:c>
      <x:c r="C487" s="5" t="str">
        <x:v>Sales &amp; Marketing</x:v>
      </x:c>
      <x:c r="D487" s="5" t="str">
        <x:v>US Central</x:v>
      </x:c>
      <x:c r="E487" s="10" t="n">
        <x:v>17</x:v>
      </x:c>
      <x:c r="F487" s="7" t="n">
        <x:v>230936.86</x:v>
      </x:c>
      <x:c r="G487" s="8"/>
    </x:row>
    <x:row r="488">
      <x:c r="A488" s="6" t="n">
        <x:v>45078</x:v>
      </x:c>
      <x:c r="B488" s="5" t="str">
        <x:v>Marketing</x:v>
      </x:c>
      <x:c r="C488" s="5" t="str">
        <x:v>Sales &amp; Marketing</x:v>
      </x:c>
      <x:c r="D488" s="5" t="str">
        <x:v>US Central</x:v>
      </x:c>
      <x:c r="E488" s="10" t="n">
        <x:v>5</x:v>
      </x:c>
      <x:c r="F488" s="7" t="n">
        <x:v>51877.01</x:v>
      </x:c>
      <x:c r="G488" s="8"/>
    </x:row>
    <x:row r="489">
      <x:c r="A489" s="6" t="n">
        <x:v>45078</x:v>
      </x:c>
      <x:c r="B489" s="5" t="str">
        <x:v>Product &amp; Engineering</x:v>
      </x:c>
      <x:c r="C489" s="5" t="str">
        <x:v>Research &amp; Development</x:v>
      </x:c>
      <x:c r="D489" s="5" t="str">
        <x:v>US Central</x:v>
      </x:c>
      <x:c r="E489" s="10" t="n">
        <x:v>28.2</x:v>
      </x:c>
      <x:c r="F489" s="7" t="n">
        <x:v>446661.46</x:v>
      </x:c>
      <x:c r="G489" s="8"/>
    </x:row>
    <x:row r="490">
      <x:c r="A490" s="6" t="n">
        <x:v>45078</x:v>
      </x:c>
      <x:c r="B490" s="5" t="str">
        <x:v>Finance</x:v>
      </x:c>
      <x:c r="C490" s="5" t="str">
        <x:v>General &amp; Administrative</x:v>
      </x:c>
      <x:c r="D490" s="5" t="str">
        <x:v>US Central</x:v>
      </x:c>
      <x:c r="E490" s="10" t="n">
        <x:v>6</x:v>
      </x:c>
      <x:c r="F490" s="7" t="n">
        <x:v>71780.95</x:v>
      </x:c>
      <x:c r="G490" s="8"/>
    </x:row>
    <x:row r="491">
      <x:c r="A491" s="6" t="n">
        <x:v>45078</x:v>
      </x:c>
      <x:c r="B491" s="5" t="str">
        <x:v>People</x:v>
      </x:c>
      <x:c r="C491" s="5" t="str">
        <x:v>General &amp; Administrative</x:v>
      </x:c>
      <x:c r="D491" s="5" t="str">
        <x:v>US Central</x:v>
      </x:c>
      <x:c r="E491" s="10" t="n">
        <x:v>5</x:v>
      </x:c>
      <x:c r="F491" s="7" t="n">
        <x:v>54128.09</x:v>
      </x:c>
      <x:c r="G491" s="8"/>
    </x:row>
    <x:row r="492">
      <x:c r="A492" s="6" t="n">
        <x:v>45078</x:v>
      </x:c>
      <x:c r="B492" s="5" t="str">
        <x:v>Legal &amp; Compliance</x:v>
      </x:c>
      <x:c r="C492" s="5" t="str">
        <x:v>General &amp; Administrative</x:v>
      </x:c>
      <x:c r="D492" s="5" t="str">
        <x:v>US Central</x:v>
      </x:c>
      <x:c r="E492" s="10" t="n">
        <x:v>2</x:v>
      </x:c>
      <x:c r="F492" s="7" t="n">
        <x:v>37264.97</x:v>
      </x:c>
      <x:c r="G492" s="8"/>
    </x:row>
    <x:row r="493">
      <x:c r="A493" s="6" t="n">
        <x:v>45078</x:v>
      </x:c>
      <x:c r="B493" s="5" t="str">
        <x:v>Information Technology</x:v>
      </x:c>
      <x:c r="C493" s="5" t="str">
        <x:v>General &amp; Administrative</x:v>
      </x:c>
      <x:c r="D493" s="5" t="str">
        <x:v>US Central</x:v>
      </x:c>
      <x:c r="E493" s="10" t="n">
        <x:v>6</x:v>
      </x:c>
      <x:c r="F493" s="7" t="n">
        <x:v>68711.41</x:v>
      </x:c>
      <x:c r="G493" s="8"/>
    </x:row>
    <x:row r="494">
      <x:c r="A494" s="6" t="n">
        <x:v>45078</x:v>
      </x:c>
      <x:c r="B494" s="5" t="str">
        <x:v>Executive</x:v>
      </x:c>
      <x:c r="C494" s="5" t="str">
        <x:v>General &amp; Administrative</x:v>
      </x:c>
      <x:c r="D494" s="5" t="str">
        <x:v>US Central</x:v>
      </x:c>
      <x:c r="E494" s="10" t="n">
        <x:v>3</x:v>
      </x:c>
      <x:c r="F494" s="7" t="n">
        <x:v>89915.09</x:v>
      </x:c>
      <x:c r="G494" s="8"/>
    </x:row>
    <x:row r="495">
      <x:c r="A495" s="6" t="n">
        <x:v>45108</x:v>
      </x:c>
      <x:c r="B495" s="5" t="str">
        <x:v>Cloud Operations</x:v>
      </x:c>
      <x:c r="C495" s="5" t="str">
        <x:v>Cost of Revenue</x:v>
      </x:c>
      <x:c r="D495" s="5" t="str">
        <x:v>US Central</x:v>
      </x:c>
      <x:c r="E495" s="10" t="n">
        <x:v>11</x:v>
      </x:c>
      <x:c r="F495" s="7" t="n">
        <x:v>202891.51</x:v>
      </x:c>
      <x:c r="G495" s="8"/>
    </x:row>
    <x:row r="496">
      <x:c r="A496" s="6" t="n">
        <x:v>45108</x:v>
      </x:c>
      <x:c r="B496" s="5" t="str">
        <x:v>Customer Support</x:v>
      </x:c>
      <x:c r="C496" s="5" t="str">
        <x:v>Cost of Revenue</x:v>
      </x:c>
      <x:c r="D496" s="5" t="str">
        <x:v>US Central</x:v>
      </x:c>
      <x:c r="E496" s="10" t="n">
        <x:v>8</x:v>
      </x:c>
      <x:c r="F496" s="7" t="n">
        <x:v>79240.89</x:v>
      </x:c>
      <x:c r="G496" s="8"/>
    </x:row>
    <x:row r="497">
      <x:c r="A497" s="6" t="n">
        <x:v>45108</x:v>
      </x:c>
      <x:c r="B497" s="5" t="str">
        <x:v>Professional Services</x:v>
      </x:c>
      <x:c r="C497" s="5" t="str">
        <x:v>Cost of Revenue</x:v>
      </x:c>
      <x:c r="D497" s="5" t="str">
        <x:v>US Central</x:v>
      </x:c>
      <x:c r="E497" s="10" t="n">
        <x:v>25</x:v>
      </x:c>
      <x:c r="F497" s="7" t="n">
        <x:v>335033.08</x:v>
      </x:c>
      <x:c r="G497" s="8" t="n">
        <x:v>0.7492</x:v>
      </x:c>
    </x:row>
    <x:row r="498">
      <x:c r="A498" s="6" t="n">
        <x:v>45108</x:v>
      </x:c>
      <x:c r="B498" s="5" t="str">
        <x:v>Sales</x:v>
      </x:c>
      <x:c r="C498" s="5" t="str">
        <x:v>Sales &amp; Marketing</x:v>
      </x:c>
      <x:c r="D498" s="5" t="str">
        <x:v>US Central</x:v>
      </x:c>
      <x:c r="E498" s="10" t="n">
        <x:v>17</x:v>
      </x:c>
      <x:c r="F498" s="7" t="n">
        <x:v>230936.86</x:v>
      </x:c>
      <x:c r="G498" s="8"/>
    </x:row>
    <x:row r="499">
      <x:c r="A499" s="6" t="n">
        <x:v>45108</x:v>
      </x:c>
      <x:c r="B499" s="5" t="str">
        <x:v>Marketing</x:v>
      </x:c>
      <x:c r="C499" s="5" t="str">
        <x:v>Sales &amp; Marketing</x:v>
      </x:c>
      <x:c r="D499" s="5" t="str">
        <x:v>US Central</x:v>
      </x:c>
      <x:c r="E499" s="10" t="n">
        <x:v>5</x:v>
      </x:c>
      <x:c r="F499" s="7" t="n">
        <x:v>51877.01</x:v>
      </x:c>
      <x:c r="G499" s="8"/>
    </x:row>
    <x:row r="500">
      <x:c r="A500" s="6" t="n">
        <x:v>45108</x:v>
      </x:c>
      <x:c r="B500" s="5" t="str">
        <x:v>Product &amp; Engineering</x:v>
      </x:c>
      <x:c r="C500" s="5" t="str">
        <x:v>Research &amp; Development</x:v>
      </x:c>
      <x:c r="D500" s="5" t="str">
        <x:v>US Central</x:v>
      </x:c>
      <x:c r="E500" s="10" t="n">
        <x:v>28.2</x:v>
      </x:c>
      <x:c r="F500" s="7" t="n">
        <x:v>446661.46</x:v>
      </x:c>
      <x:c r="G500" s="8"/>
    </x:row>
    <x:row r="501">
      <x:c r="A501" s="6" t="n">
        <x:v>45108</x:v>
      </x:c>
      <x:c r="B501" s="5" t="str">
        <x:v>Finance</x:v>
      </x:c>
      <x:c r="C501" s="5" t="str">
        <x:v>General &amp; Administrative</x:v>
      </x:c>
      <x:c r="D501" s="5" t="str">
        <x:v>US Central</x:v>
      </x:c>
      <x:c r="E501" s="10" t="n">
        <x:v>6</x:v>
      </x:c>
      <x:c r="F501" s="7" t="n">
        <x:v>71780.95</x:v>
      </x:c>
      <x:c r="G501" s="8"/>
    </x:row>
    <x:row r="502">
      <x:c r="A502" s="6" t="n">
        <x:v>45108</x:v>
      </x:c>
      <x:c r="B502" s="5" t="str">
        <x:v>People</x:v>
      </x:c>
      <x:c r="C502" s="5" t="str">
        <x:v>General &amp; Administrative</x:v>
      </x:c>
      <x:c r="D502" s="5" t="str">
        <x:v>US Central</x:v>
      </x:c>
      <x:c r="E502" s="10" t="n">
        <x:v>5</x:v>
      </x:c>
      <x:c r="F502" s="7" t="n">
        <x:v>54128.09</x:v>
      </x:c>
      <x:c r="G502" s="8"/>
    </x:row>
    <x:row r="503">
      <x:c r="A503" s="6" t="n">
        <x:v>45108</x:v>
      </x:c>
      <x:c r="B503" s="5" t="str">
        <x:v>Legal &amp; Compliance</x:v>
      </x:c>
      <x:c r="C503" s="5" t="str">
        <x:v>General &amp; Administrative</x:v>
      </x:c>
      <x:c r="D503" s="5" t="str">
        <x:v>US Central</x:v>
      </x:c>
      <x:c r="E503" s="10" t="n">
        <x:v>2</x:v>
      </x:c>
      <x:c r="F503" s="7" t="n">
        <x:v>37264.97</x:v>
      </x:c>
      <x:c r="G503" s="8"/>
    </x:row>
    <x:row r="504">
      <x:c r="A504" s="6" t="n">
        <x:v>45108</x:v>
      </x:c>
      <x:c r="B504" s="5" t="str">
        <x:v>Information Technology</x:v>
      </x:c>
      <x:c r="C504" s="5" t="str">
        <x:v>General &amp; Administrative</x:v>
      </x:c>
      <x:c r="D504" s="5" t="str">
        <x:v>US Central</x:v>
      </x:c>
      <x:c r="E504" s="10" t="n">
        <x:v>6</x:v>
      </x:c>
      <x:c r="F504" s="7" t="n">
        <x:v>68711.41</x:v>
      </x:c>
      <x:c r="G504" s="8"/>
    </x:row>
    <x:row r="505">
      <x:c r="A505" s="6" t="n">
        <x:v>45108</x:v>
      </x:c>
      <x:c r="B505" s="5" t="str">
        <x:v>Executive</x:v>
      </x:c>
      <x:c r="C505" s="5" t="str">
        <x:v>General &amp; Administrative</x:v>
      </x:c>
      <x:c r="D505" s="5" t="str">
        <x:v>US Central</x:v>
      </x:c>
      <x:c r="E505" s="10" t="n">
        <x:v>3</x:v>
      </x:c>
      <x:c r="F505" s="7" t="n">
        <x:v>89915.09</x:v>
      </x:c>
      <x:c r="G505" s="8"/>
    </x:row>
    <x:row r="506">
      <x:c r="A506" s="6" t="n">
        <x:v>45139</x:v>
      </x:c>
      <x:c r="B506" s="5" t="str">
        <x:v>Cloud Operations</x:v>
      </x:c>
      <x:c r="C506" s="5" t="str">
        <x:v>Cost of Revenue</x:v>
      </x:c>
      <x:c r="D506" s="5" t="str">
        <x:v>US Central</x:v>
      </x:c>
      <x:c r="E506" s="10" t="n">
        <x:v>11</x:v>
      </x:c>
      <x:c r="F506" s="7" t="n">
        <x:v>202891.51</x:v>
      </x:c>
      <x:c r="G506" s="8"/>
    </x:row>
    <x:row r="507">
      <x:c r="A507" s="6" t="n">
        <x:v>45139</x:v>
      </x:c>
      <x:c r="B507" s="5" t="str">
        <x:v>Customer Support</x:v>
      </x:c>
      <x:c r="C507" s="5" t="str">
        <x:v>Cost of Revenue</x:v>
      </x:c>
      <x:c r="D507" s="5" t="str">
        <x:v>US Central</x:v>
      </x:c>
      <x:c r="E507" s="10" t="n">
        <x:v>9</x:v>
      </x:c>
      <x:c r="F507" s="7" t="n">
        <x:v>85473.21</x:v>
      </x:c>
      <x:c r="G507" s="8"/>
    </x:row>
    <x:row r="508">
      <x:c r="A508" s="6" t="n">
        <x:v>45139</x:v>
      </x:c>
      <x:c r="B508" s="5" t="str">
        <x:v>Professional Services</x:v>
      </x:c>
      <x:c r="C508" s="5" t="str">
        <x:v>Cost of Revenue</x:v>
      </x:c>
      <x:c r="D508" s="5" t="str">
        <x:v>US Central</x:v>
      </x:c>
      <x:c r="E508" s="10" t="n">
        <x:v>26</x:v>
      </x:c>
      <x:c r="F508" s="7" t="n">
        <x:v>348508</x:v>
      </x:c>
      <x:c r="G508" s="8" t="n">
        <x:v>0.7507</x:v>
      </x:c>
    </x:row>
    <x:row r="509">
      <x:c r="A509" s="6" t="n">
        <x:v>45139</x:v>
      </x:c>
      <x:c r="B509" s="5" t="str">
        <x:v>Sales</x:v>
      </x:c>
      <x:c r="C509" s="5" t="str">
        <x:v>Sales &amp; Marketing</x:v>
      </x:c>
      <x:c r="D509" s="5" t="str">
        <x:v>US Central</x:v>
      </x:c>
      <x:c r="E509" s="10" t="n">
        <x:v>18</x:v>
      </x:c>
      <x:c r="F509" s="7" t="n">
        <x:v>241845.38</x:v>
      </x:c>
      <x:c r="G509" s="8"/>
    </x:row>
    <x:row r="510">
      <x:c r="A510" s="6" t="n">
        <x:v>45139</x:v>
      </x:c>
      <x:c r="B510" s="5" t="str">
        <x:v>Marketing</x:v>
      </x:c>
      <x:c r="C510" s="5" t="str">
        <x:v>Sales &amp; Marketing</x:v>
      </x:c>
      <x:c r="D510" s="5" t="str">
        <x:v>US Central</x:v>
      </x:c>
      <x:c r="E510" s="10" t="n">
        <x:v>6</x:v>
      </x:c>
      <x:c r="F510" s="7" t="n">
        <x:v>64047</x:v>
      </x:c>
      <x:c r="G510" s="8"/>
    </x:row>
    <x:row r="511">
      <x:c r="A511" s="6" t="n">
        <x:v>45139</x:v>
      </x:c>
      <x:c r="B511" s="5" t="str">
        <x:v>Product &amp; Engineering</x:v>
      </x:c>
      <x:c r="C511" s="5" t="str">
        <x:v>Research &amp; Development</x:v>
      </x:c>
      <x:c r="D511" s="5" t="str">
        <x:v>US Central</x:v>
      </x:c>
      <x:c r="E511" s="10" t="n">
        <x:v>28.2</x:v>
      </x:c>
      <x:c r="F511" s="7" t="n">
        <x:v>446661.46</x:v>
      </x:c>
      <x:c r="G511" s="8"/>
    </x:row>
    <x:row r="512">
      <x:c r="A512" s="6" t="n">
        <x:v>45139</x:v>
      </x:c>
      <x:c r="B512" s="5" t="str">
        <x:v>Finance</x:v>
      </x:c>
      <x:c r="C512" s="5" t="str">
        <x:v>General &amp; Administrative</x:v>
      </x:c>
      <x:c r="D512" s="5" t="str">
        <x:v>US Central</x:v>
      </x:c>
      <x:c r="E512" s="10" t="n">
        <x:v>6</x:v>
      </x:c>
      <x:c r="F512" s="7" t="n">
        <x:v>71780.95</x:v>
      </x:c>
      <x:c r="G512" s="8"/>
    </x:row>
    <x:row r="513">
      <x:c r="A513" s="6" t="n">
        <x:v>45139</x:v>
      </x:c>
      <x:c r="B513" s="5" t="str">
        <x:v>People</x:v>
      </x:c>
      <x:c r="C513" s="5" t="str">
        <x:v>General &amp; Administrative</x:v>
      </x:c>
      <x:c r="D513" s="5" t="str">
        <x:v>US Central</x:v>
      </x:c>
      <x:c r="E513" s="10" t="n">
        <x:v>5</x:v>
      </x:c>
      <x:c r="F513" s="7" t="n">
        <x:v>54128.09</x:v>
      </x:c>
      <x:c r="G513" s="8"/>
    </x:row>
    <x:row r="514">
      <x:c r="A514" s="6" t="n">
        <x:v>45139</x:v>
      </x:c>
      <x:c r="B514" s="5" t="str">
        <x:v>Legal &amp; Compliance</x:v>
      </x:c>
      <x:c r="C514" s="5" t="str">
        <x:v>General &amp; Administrative</x:v>
      </x:c>
      <x:c r="D514" s="5" t="str">
        <x:v>US Central</x:v>
      </x:c>
      <x:c r="E514" s="10" t="n">
        <x:v>2</x:v>
      </x:c>
      <x:c r="F514" s="7" t="n">
        <x:v>37264.97</x:v>
      </x:c>
      <x:c r="G514" s="8"/>
    </x:row>
    <x:row r="515">
      <x:c r="A515" s="6" t="n">
        <x:v>45139</x:v>
      </x:c>
      <x:c r="B515" s="5" t="str">
        <x:v>Information Technology</x:v>
      </x:c>
      <x:c r="C515" s="5" t="str">
        <x:v>General &amp; Administrative</x:v>
      </x:c>
      <x:c r="D515" s="5" t="str">
        <x:v>US Central</x:v>
      </x:c>
      <x:c r="E515" s="10" t="n">
        <x:v>6</x:v>
      </x:c>
      <x:c r="F515" s="7" t="n">
        <x:v>68711.41</x:v>
      </x:c>
      <x:c r="G515" s="8"/>
    </x:row>
    <x:row r="516">
      <x:c r="A516" s="6" t="n">
        <x:v>45139</x:v>
      </x:c>
      <x:c r="B516" s="5" t="str">
        <x:v>Executive</x:v>
      </x:c>
      <x:c r="C516" s="5" t="str">
        <x:v>General &amp; Administrative</x:v>
      </x:c>
      <x:c r="D516" s="5" t="str">
        <x:v>US Central</x:v>
      </x:c>
      <x:c r="E516" s="10" t="n">
        <x:v>3</x:v>
      </x:c>
      <x:c r="F516" s="7" t="n">
        <x:v>89915.09</x:v>
      </x:c>
      <x:c r="G516" s="8"/>
    </x:row>
    <x:row r="517">
      <x:c r="A517" s="6" t="n">
        <x:v>45170</x:v>
      </x:c>
      <x:c r="B517" s="5" t="str">
        <x:v>Cloud Operations</x:v>
      </x:c>
      <x:c r="C517" s="5" t="str">
        <x:v>Cost of Revenue</x:v>
      </x:c>
      <x:c r="D517" s="5" t="str">
        <x:v>US Central</x:v>
      </x:c>
      <x:c r="E517" s="10" t="n">
        <x:v>11</x:v>
      </x:c>
      <x:c r="F517" s="7" t="n">
        <x:v>202891.51</x:v>
      </x:c>
      <x:c r="G517" s="8"/>
    </x:row>
    <x:row r="518">
      <x:c r="A518" s="6" t="n">
        <x:v>45170</x:v>
      </x:c>
      <x:c r="B518" s="5" t="str">
        <x:v>Customer Support</x:v>
      </x:c>
      <x:c r="C518" s="5" t="str">
        <x:v>Cost of Revenue</x:v>
      </x:c>
      <x:c r="D518" s="5" t="str">
        <x:v>US Central</x:v>
      </x:c>
      <x:c r="E518" s="10" t="n">
        <x:v>11</x:v>
      </x:c>
      <x:c r="F518" s="7" t="n">
        <x:v>100067.7</x:v>
      </x:c>
      <x:c r="G518" s="8"/>
    </x:row>
    <x:row r="519">
      <x:c r="A519" s="6" t="n">
        <x:v>45170</x:v>
      </x:c>
      <x:c r="B519" s="5" t="str">
        <x:v>Professional Services</x:v>
      </x:c>
      <x:c r="C519" s="5" t="str">
        <x:v>Cost of Revenue</x:v>
      </x:c>
      <x:c r="D519" s="5" t="str">
        <x:v>US Central</x:v>
      </x:c>
      <x:c r="E519" s="10" t="n">
        <x:v>27</x:v>
      </x:c>
      <x:c r="F519" s="7" t="n">
        <x:v>357261.62</x:v>
      </x:c>
      <x:c r="G519" s="8" t="n">
        <x:v>0.7528</x:v>
      </x:c>
    </x:row>
    <x:row r="520">
      <x:c r="A520" s="6" t="n">
        <x:v>45170</x:v>
      </x:c>
      <x:c r="B520" s="5" t="str">
        <x:v>Sales</x:v>
      </x:c>
      <x:c r="C520" s="5" t="str">
        <x:v>Sales &amp; Marketing</x:v>
      </x:c>
      <x:c r="D520" s="5" t="str">
        <x:v>US Central</x:v>
      </x:c>
      <x:c r="E520" s="10" t="n">
        <x:v>18</x:v>
      </x:c>
      <x:c r="F520" s="7" t="n">
        <x:v>241845.38</x:v>
      </x:c>
      <x:c r="G520" s="8"/>
    </x:row>
    <x:row r="521">
      <x:c r="A521" s="6" t="n">
        <x:v>45170</x:v>
      </x:c>
      <x:c r="B521" s="5" t="str">
        <x:v>Marketing</x:v>
      </x:c>
      <x:c r="C521" s="5" t="str">
        <x:v>Sales &amp; Marketing</x:v>
      </x:c>
      <x:c r="D521" s="5" t="str">
        <x:v>US Central</x:v>
      </x:c>
      <x:c r="E521" s="10" t="n">
        <x:v>6</x:v>
      </x:c>
      <x:c r="F521" s="7" t="n">
        <x:v>64047</x:v>
      </x:c>
      <x:c r="G521" s="8"/>
    </x:row>
    <x:row r="522">
      <x:c r="A522" s="6" t="n">
        <x:v>45170</x:v>
      </x:c>
      <x:c r="B522" s="5" t="str">
        <x:v>Product &amp; Engineering</x:v>
      </x:c>
      <x:c r="C522" s="5" t="str">
        <x:v>Research &amp; Development</x:v>
      </x:c>
      <x:c r="D522" s="5" t="str">
        <x:v>US Central</x:v>
      </x:c>
      <x:c r="E522" s="10" t="n">
        <x:v>28.2</x:v>
      </x:c>
      <x:c r="F522" s="7" t="n">
        <x:v>446661.46</x:v>
      </x:c>
      <x:c r="G522" s="8"/>
    </x:row>
    <x:row r="523">
      <x:c r="A523" s="6" t="n">
        <x:v>45170</x:v>
      </x:c>
      <x:c r="B523" s="5" t="str">
        <x:v>Finance</x:v>
      </x:c>
      <x:c r="C523" s="5" t="str">
        <x:v>General &amp; Administrative</x:v>
      </x:c>
      <x:c r="D523" s="5" t="str">
        <x:v>US Central</x:v>
      </x:c>
      <x:c r="E523" s="10" t="n">
        <x:v>6</x:v>
      </x:c>
      <x:c r="F523" s="7" t="n">
        <x:v>71780.95</x:v>
      </x:c>
      <x:c r="G523" s="8"/>
    </x:row>
    <x:row r="524">
      <x:c r="A524" s="6" t="n">
        <x:v>45170</x:v>
      </x:c>
      <x:c r="B524" s="5" t="str">
        <x:v>People</x:v>
      </x:c>
      <x:c r="C524" s="5" t="str">
        <x:v>General &amp; Administrative</x:v>
      </x:c>
      <x:c r="D524" s="5" t="str">
        <x:v>US Central</x:v>
      </x:c>
      <x:c r="E524" s="10" t="n">
        <x:v>5</x:v>
      </x:c>
      <x:c r="F524" s="7" t="n">
        <x:v>54128.09</x:v>
      </x:c>
      <x:c r="G524" s="8"/>
    </x:row>
    <x:row r="525">
      <x:c r="A525" s="6" t="n">
        <x:v>45170</x:v>
      </x:c>
      <x:c r="B525" s="5" t="str">
        <x:v>Legal &amp; Compliance</x:v>
      </x:c>
      <x:c r="C525" s="5" t="str">
        <x:v>General &amp; Administrative</x:v>
      </x:c>
      <x:c r="D525" s="5" t="str">
        <x:v>US Central</x:v>
      </x:c>
      <x:c r="E525" s="10" t="n">
        <x:v>3</x:v>
      </x:c>
      <x:c r="F525" s="7" t="n">
        <x:v>51068.62</x:v>
      </x:c>
      <x:c r="G525" s="8"/>
    </x:row>
    <x:row r="526">
      <x:c r="A526" s="6" t="n">
        <x:v>45170</x:v>
      </x:c>
      <x:c r="B526" s="5" t="str">
        <x:v>Information Technology</x:v>
      </x:c>
      <x:c r="C526" s="5" t="str">
        <x:v>General &amp; Administrative</x:v>
      </x:c>
      <x:c r="D526" s="5" t="str">
        <x:v>US Central</x:v>
      </x:c>
      <x:c r="E526" s="10" t="n">
        <x:v>6</x:v>
      </x:c>
      <x:c r="F526" s="7" t="n">
        <x:v>68711.41</x:v>
      </x:c>
      <x:c r="G526" s="8"/>
    </x:row>
    <x:row r="527">
      <x:c r="A527" s="6" t="n">
        <x:v>45170</x:v>
      </x:c>
      <x:c r="B527" s="5" t="str">
        <x:v>Executive</x:v>
      </x:c>
      <x:c r="C527" s="5" t="str">
        <x:v>General &amp; Administrative</x:v>
      </x:c>
      <x:c r="D527" s="5" t="str">
        <x:v>US Central</x:v>
      </x:c>
      <x:c r="E527" s="10" t="n">
        <x:v>3</x:v>
      </x:c>
      <x:c r="F527" s="7" t="n">
        <x:v>89915.09</x:v>
      </x:c>
      <x:c r="G527" s="8"/>
    </x:row>
    <x:row r="528">
      <x:c r="A528" s="6" t="n">
        <x:v>45200</x:v>
      </x:c>
      <x:c r="B528" s="5" t="str">
        <x:v>Cloud Operations</x:v>
      </x:c>
      <x:c r="C528" s="5" t="str">
        <x:v>Cost of Revenue</x:v>
      </x:c>
      <x:c r="D528" s="5" t="str">
        <x:v>US Central</x:v>
      </x:c>
      <x:c r="E528" s="10" t="n">
        <x:v>11</x:v>
      </x:c>
      <x:c r="F528" s="7" t="n">
        <x:v>202891.51</x:v>
      </x:c>
      <x:c r="G528" s="8"/>
    </x:row>
    <x:row r="529">
      <x:c r="A529" s="6" t="n">
        <x:v>45200</x:v>
      </x:c>
      <x:c r="B529" s="5" t="str">
        <x:v>Customer Support</x:v>
      </x:c>
      <x:c r="C529" s="5" t="str">
        <x:v>Cost of Revenue</x:v>
      </x:c>
      <x:c r="D529" s="5" t="str">
        <x:v>US Central</x:v>
      </x:c>
      <x:c r="E529" s="10" t="n">
        <x:v>11</x:v>
      </x:c>
      <x:c r="F529" s="7" t="n">
        <x:v>100067.7</x:v>
      </x:c>
      <x:c r="G529" s="8"/>
    </x:row>
    <x:row r="530">
      <x:c r="A530" s="6" t="n">
        <x:v>45200</x:v>
      </x:c>
      <x:c r="B530" s="5" t="str">
        <x:v>Professional Services</x:v>
      </x:c>
      <x:c r="C530" s="5" t="str">
        <x:v>Cost of Revenue</x:v>
      </x:c>
      <x:c r="D530" s="5" t="str">
        <x:v>US Central</x:v>
      </x:c>
      <x:c r="E530" s="10" t="n">
        <x:v>27</x:v>
      </x:c>
      <x:c r="F530" s="7" t="n">
        <x:v>357261.62</x:v>
      </x:c>
      <x:c r="G530" s="8" t="n">
        <x:v>0.7438</x:v>
      </x:c>
    </x:row>
    <x:row r="531">
      <x:c r="A531" s="6" t="n">
        <x:v>45200</x:v>
      </x:c>
      <x:c r="B531" s="5" t="str">
        <x:v>Sales</x:v>
      </x:c>
      <x:c r="C531" s="5" t="str">
        <x:v>Sales &amp; Marketing</x:v>
      </x:c>
      <x:c r="D531" s="5" t="str">
        <x:v>US Central</x:v>
      </x:c>
      <x:c r="E531" s="10" t="n">
        <x:v>18</x:v>
      </x:c>
      <x:c r="F531" s="7" t="n">
        <x:v>241845.38</x:v>
      </x:c>
      <x:c r="G531" s="8"/>
    </x:row>
    <x:row r="532">
      <x:c r="A532" s="6" t="n">
        <x:v>45200</x:v>
      </x:c>
      <x:c r="B532" s="5" t="str">
        <x:v>Marketing</x:v>
      </x:c>
      <x:c r="C532" s="5" t="str">
        <x:v>Sales &amp; Marketing</x:v>
      </x:c>
      <x:c r="D532" s="5" t="str">
        <x:v>US Central</x:v>
      </x:c>
      <x:c r="E532" s="10" t="n">
        <x:v>6</x:v>
      </x:c>
      <x:c r="F532" s="7" t="n">
        <x:v>64047</x:v>
      </x:c>
      <x:c r="G532" s="8"/>
    </x:row>
    <x:row r="533">
      <x:c r="A533" s="6" t="n">
        <x:v>45200</x:v>
      </x:c>
      <x:c r="B533" s="5" t="str">
        <x:v>Product &amp; Engineering</x:v>
      </x:c>
      <x:c r="C533" s="5" t="str">
        <x:v>Research &amp; Development</x:v>
      </x:c>
      <x:c r="D533" s="5" t="str">
        <x:v>US Central</x:v>
      </x:c>
      <x:c r="E533" s="10" t="n">
        <x:v>29.2</x:v>
      </x:c>
      <x:c r="F533" s="7" t="n">
        <x:v>464630.79</x:v>
      </x:c>
      <x:c r="G533" s="8"/>
    </x:row>
    <x:row r="534">
      <x:c r="A534" s="6" t="n">
        <x:v>45200</x:v>
      </x:c>
      <x:c r="B534" s="5" t="str">
        <x:v>Finance</x:v>
      </x:c>
      <x:c r="C534" s="5" t="str">
        <x:v>General &amp; Administrative</x:v>
      </x:c>
      <x:c r="D534" s="5" t="str">
        <x:v>US Central</x:v>
      </x:c>
      <x:c r="E534" s="10" t="n">
        <x:v>6</x:v>
      </x:c>
      <x:c r="F534" s="7" t="n">
        <x:v>71780.95</x:v>
      </x:c>
      <x:c r="G534" s="8"/>
    </x:row>
    <x:row r="535">
      <x:c r="A535" s="6" t="n">
        <x:v>45200</x:v>
      </x:c>
      <x:c r="B535" s="5" t="str">
        <x:v>People</x:v>
      </x:c>
      <x:c r="C535" s="5" t="str">
        <x:v>General &amp; Administrative</x:v>
      </x:c>
      <x:c r="D535" s="5" t="str">
        <x:v>US Central</x:v>
      </x:c>
      <x:c r="E535" s="10" t="n">
        <x:v>5</x:v>
      </x:c>
      <x:c r="F535" s="7" t="n">
        <x:v>54128.09</x:v>
      </x:c>
      <x:c r="G535" s="8"/>
    </x:row>
    <x:row r="536">
      <x:c r="A536" s="6" t="n">
        <x:v>45200</x:v>
      </x:c>
      <x:c r="B536" s="5" t="str">
        <x:v>Legal &amp; Compliance</x:v>
      </x:c>
      <x:c r="C536" s="5" t="str">
        <x:v>General &amp; Administrative</x:v>
      </x:c>
      <x:c r="D536" s="5" t="str">
        <x:v>US Central</x:v>
      </x:c>
      <x:c r="E536" s="10" t="n">
        <x:v>3</x:v>
      </x:c>
      <x:c r="F536" s="7" t="n">
        <x:v>51068.62</x:v>
      </x:c>
      <x:c r="G536" s="8"/>
    </x:row>
    <x:row r="537">
      <x:c r="A537" s="6" t="n">
        <x:v>45200</x:v>
      </x:c>
      <x:c r="B537" s="5" t="str">
        <x:v>Information Technology</x:v>
      </x:c>
      <x:c r="C537" s="5" t="str">
        <x:v>General &amp; Administrative</x:v>
      </x:c>
      <x:c r="D537" s="5" t="str">
        <x:v>US Central</x:v>
      </x:c>
      <x:c r="E537" s="10" t="n">
        <x:v>6</x:v>
      </x:c>
      <x:c r="F537" s="7" t="n">
        <x:v>68711.41</x:v>
      </x:c>
      <x:c r="G537" s="8"/>
    </x:row>
    <x:row r="538">
      <x:c r="A538" s="6" t="n">
        <x:v>45200</x:v>
      </x:c>
      <x:c r="B538" s="5" t="str">
        <x:v>Executive</x:v>
      </x:c>
      <x:c r="C538" s="5" t="str">
        <x:v>General &amp; Administrative</x:v>
      </x:c>
      <x:c r="D538" s="5" t="str">
        <x:v>US Central</x:v>
      </x:c>
      <x:c r="E538" s="10" t="n">
        <x:v>3</x:v>
      </x:c>
      <x:c r="F538" s="7" t="n">
        <x:v>89915.09</x:v>
      </x:c>
      <x:c r="G538" s="8"/>
    </x:row>
    <x:row r="539">
      <x:c r="A539" s="6" t="n">
        <x:v>45231</x:v>
      </x:c>
      <x:c r="B539" s="5" t="str">
        <x:v>Cloud Operations</x:v>
      </x:c>
      <x:c r="C539" s="5" t="str">
        <x:v>Cost of Revenue</x:v>
      </x:c>
      <x:c r="D539" s="5" t="str">
        <x:v>US Central</x:v>
      </x:c>
      <x:c r="E539" s="10" t="n">
        <x:v>11</x:v>
      </x:c>
      <x:c r="F539" s="7" t="n">
        <x:v>202891.51</x:v>
      </x:c>
      <x:c r="G539" s="8"/>
    </x:row>
    <x:row r="540">
      <x:c r="A540" s="6" t="n">
        <x:v>45231</x:v>
      </x:c>
      <x:c r="B540" s="5" t="str">
        <x:v>Customer Support</x:v>
      </x:c>
      <x:c r="C540" s="5" t="str">
        <x:v>Cost of Revenue</x:v>
      </x:c>
      <x:c r="D540" s="5" t="str">
        <x:v>US Central</x:v>
      </x:c>
      <x:c r="E540" s="10" t="n">
        <x:v>11</x:v>
      </x:c>
      <x:c r="F540" s="7" t="n">
        <x:v>100067.7</x:v>
      </x:c>
      <x:c r="G540" s="8"/>
    </x:row>
    <x:row r="541">
      <x:c r="A541" s="6" t="n">
        <x:v>45231</x:v>
      </x:c>
      <x:c r="B541" s="5" t="str">
        <x:v>Professional Services</x:v>
      </x:c>
      <x:c r="C541" s="5" t="str">
        <x:v>Cost of Revenue</x:v>
      </x:c>
      <x:c r="D541" s="5" t="str">
        <x:v>US Central</x:v>
      </x:c>
      <x:c r="E541" s="10" t="n">
        <x:v>28</x:v>
      </x:c>
      <x:c r="F541" s="7" t="n">
        <x:v>366636.92</x:v>
      </x:c>
      <x:c r="G541" s="8" t="n">
        <x:v>0.7512</x:v>
      </x:c>
    </x:row>
    <x:row r="542">
      <x:c r="A542" s="6" t="n">
        <x:v>45231</x:v>
      </x:c>
      <x:c r="B542" s="5" t="str">
        <x:v>Sales</x:v>
      </x:c>
      <x:c r="C542" s="5" t="str">
        <x:v>Sales &amp; Marketing</x:v>
      </x:c>
      <x:c r="D542" s="5" t="str">
        <x:v>US Central</x:v>
      </x:c>
      <x:c r="E542" s="10" t="n">
        <x:v>18</x:v>
      </x:c>
      <x:c r="F542" s="7" t="n">
        <x:v>241845.38</x:v>
      </x:c>
      <x:c r="G542" s="8"/>
    </x:row>
    <x:row r="543">
      <x:c r="A543" s="6" t="n">
        <x:v>45231</x:v>
      </x:c>
      <x:c r="B543" s="5" t="str">
        <x:v>Marketing</x:v>
      </x:c>
      <x:c r="C543" s="5" t="str">
        <x:v>Sales &amp; Marketing</x:v>
      </x:c>
      <x:c r="D543" s="5" t="str">
        <x:v>US Central</x:v>
      </x:c>
      <x:c r="E543" s="10" t="n">
        <x:v>6</x:v>
      </x:c>
      <x:c r="F543" s="7" t="n">
        <x:v>64047</x:v>
      </x:c>
      <x:c r="G543" s="8"/>
    </x:row>
    <x:row r="544">
      <x:c r="A544" s="6" t="n">
        <x:v>45231</x:v>
      </x:c>
      <x:c r="B544" s="5" t="str">
        <x:v>Product &amp; Engineering</x:v>
      </x:c>
      <x:c r="C544" s="5" t="str">
        <x:v>Research &amp; Development</x:v>
      </x:c>
      <x:c r="D544" s="5" t="str">
        <x:v>US Central</x:v>
      </x:c>
      <x:c r="E544" s="10" t="n">
        <x:v>29.2</x:v>
      </x:c>
      <x:c r="F544" s="7" t="n">
        <x:v>464859.87</x:v>
      </x:c>
      <x:c r="G544" s="8"/>
    </x:row>
    <x:row r="545">
      <x:c r="A545" s="6" t="n">
        <x:v>45231</x:v>
      </x:c>
      <x:c r="B545" s="5" t="str">
        <x:v>Finance</x:v>
      </x:c>
      <x:c r="C545" s="5" t="str">
        <x:v>General &amp; Administrative</x:v>
      </x:c>
      <x:c r="D545" s="5" t="str">
        <x:v>US Central</x:v>
      </x:c>
      <x:c r="E545" s="10" t="n">
        <x:v>6</x:v>
      </x:c>
      <x:c r="F545" s="7" t="n">
        <x:v>71780.95</x:v>
      </x:c>
      <x:c r="G545" s="8"/>
    </x:row>
    <x:row r="546">
      <x:c r="A546" s="6" t="n">
        <x:v>45231</x:v>
      </x:c>
      <x:c r="B546" s="5" t="str">
        <x:v>People</x:v>
      </x:c>
      <x:c r="C546" s="5" t="str">
        <x:v>General &amp; Administrative</x:v>
      </x:c>
      <x:c r="D546" s="5" t="str">
        <x:v>US Central</x:v>
      </x:c>
      <x:c r="E546" s="10" t="n">
        <x:v>5</x:v>
      </x:c>
      <x:c r="F546" s="7" t="n">
        <x:v>54128.09</x:v>
      </x:c>
      <x:c r="G546" s="8"/>
    </x:row>
    <x:row r="547">
      <x:c r="A547" s="6" t="n">
        <x:v>45231</x:v>
      </x:c>
      <x:c r="B547" s="5" t="str">
        <x:v>Legal &amp; Compliance</x:v>
      </x:c>
      <x:c r="C547" s="5" t="str">
        <x:v>General &amp; Administrative</x:v>
      </x:c>
      <x:c r="D547" s="5" t="str">
        <x:v>US Central</x:v>
      </x:c>
      <x:c r="E547" s="10" t="n">
        <x:v>3</x:v>
      </x:c>
      <x:c r="F547" s="7" t="n">
        <x:v>51068.62</x:v>
      </x:c>
      <x:c r="G547" s="8"/>
    </x:row>
    <x:row r="548">
      <x:c r="A548" s="6" t="n">
        <x:v>45231</x:v>
      </x:c>
      <x:c r="B548" s="5" t="str">
        <x:v>Information Technology</x:v>
      </x:c>
      <x:c r="C548" s="5" t="str">
        <x:v>General &amp; Administrative</x:v>
      </x:c>
      <x:c r="D548" s="5" t="str">
        <x:v>US Central</x:v>
      </x:c>
      <x:c r="E548" s="10" t="n">
        <x:v>6</x:v>
      </x:c>
      <x:c r="F548" s="7" t="n">
        <x:v>68711.41</x:v>
      </x:c>
      <x:c r="G548" s="8"/>
    </x:row>
    <x:row r="549">
      <x:c r="A549" s="6" t="n">
        <x:v>45231</x:v>
      </x:c>
      <x:c r="B549" s="5" t="str">
        <x:v>Executive</x:v>
      </x:c>
      <x:c r="C549" s="5" t="str">
        <x:v>General &amp; Administrative</x:v>
      </x:c>
      <x:c r="D549" s="5" t="str">
        <x:v>US Central</x:v>
      </x:c>
      <x:c r="E549" s="10" t="n">
        <x:v>3</x:v>
      </x:c>
      <x:c r="F549" s="7" t="n">
        <x:v>89915.09</x:v>
      </x:c>
      <x:c r="G549" s="8"/>
    </x:row>
    <x:row r="550">
      <x:c r="A550" s="6" t="n">
        <x:v>45261</x:v>
      </x:c>
      <x:c r="B550" s="5" t="str">
        <x:v>Cloud Operations</x:v>
      </x:c>
      <x:c r="C550" s="5" t="str">
        <x:v>Cost of Revenue</x:v>
      </x:c>
      <x:c r="D550" s="5" t="str">
        <x:v>US Central</x:v>
      </x:c>
      <x:c r="E550" s="10" t="n">
        <x:v>11</x:v>
      </x:c>
      <x:c r="F550" s="7" t="n">
        <x:v>202891.51</x:v>
      </x:c>
      <x:c r="G550" s="8"/>
    </x:row>
    <x:row r="551">
      <x:c r="A551" s="6" t="n">
        <x:v>45261</x:v>
      </x:c>
      <x:c r="B551" s="5" t="str">
        <x:v>Customer Support</x:v>
      </x:c>
      <x:c r="C551" s="5" t="str">
        <x:v>Cost of Revenue</x:v>
      </x:c>
      <x:c r="D551" s="5" t="str">
        <x:v>US Central</x:v>
      </x:c>
      <x:c r="E551" s="10" t="n">
        <x:v>11</x:v>
      </x:c>
      <x:c r="F551" s="7" t="n">
        <x:v>100067.7</x:v>
      </x:c>
      <x:c r="G551" s="8"/>
    </x:row>
    <x:row r="552">
      <x:c r="A552" s="6" t="n">
        <x:v>45261</x:v>
      </x:c>
      <x:c r="B552" s="5" t="str">
        <x:v>Professional Services</x:v>
      </x:c>
      <x:c r="C552" s="5" t="str">
        <x:v>Cost of Revenue</x:v>
      </x:c>
      <x:c r="D552" s="5" t="str">
        <x:v>US Central</x:v>
      </x:c>
      <x:c r="E552" s="10" t="n">
        <x:v>28</x:v>
      </x:c>
      <x:c r="F552" s="7" t="n">
        <x:v>366636.92</x:v>
      </x:c>
      <x:c r="G552" s="8" t="n">
        <x:v>0.696</x:v>
      </x:c>
    </x:row>
    <x:row r="553">
      <x:c r="A553" s="6" t="n">
        <x:v>45261</x:v>
      </x:c>
      <x:c r="B553" s="5" t="str">
        <x:v>Sales</x:v>
      </x:c>
      <x:c r="C553" s="5" t="str">
        <x:v>Sales &amp; Marketing</x:v>
      </x:c>
      <x:c r="D553" s="5" t="str">
        <x:v>US Central</x:v>
      </x:c>
      <x:c r="E553" s="10" t="n">
        <x:v>18</x:v>
      </x:c>
      <x:c r="F553" s="7" t="n">
        <x:v>241845.38</x:v>
      </x:c>
      <x:c r="G553" s="8"/>
    </x:row>
    <x:row r="554">
      <x:c r="A554" s="6" t="n">
        <x:v>45261</x:v>
      </x:c>
      <x:c r="B554" s="5" t="str">
        <x:v>Marketing</x:v>
      </x:c>
      <x:c r="C554" s="5" t="str">
        <x:v>Sales &amp; Marketing</x:v>
      </x:c>
      <x:c r="D554" s="5" t="str">
        <x:v>US Central</x:v>
      </x:c>
      <x:c r="E554" s="10" t="n">
        <x:v>6</x:v>
      </x:c>
      <x:c r="F554" s="7" t="n">
        <x:v>64047</x:v>
      </x:c>
      <x:c r="G554" s="8"/>
    </x:row>
    <x:row r="555">
      <x:c r="A555" s="6" t="n">
        <x:v>45261</x:v>
      </x:c>
      <x:c r="B555" s="5" t="str">
        <x:v>Product &amp; Engineering</x:v>
      </x:c>
      <x:c r="C555" s="5" t="str">
        <x:v>Research &amp; Development</x:v>
      </x:c>
      <x:c r="D555" s="5" t="str">
        <x:v>US Central</x:v>
      </x:c>
      <x:c r="E555" s="10" t="n">
        <x:v>29.2</x:v>
      </x:c>
      <x:c r="F555" s="7" t="n">
        <x:v>464859.87</x:v>
      </x:c>
      <x:c r="G555" s="8"/>
    </x:row>
    <x:row r="556">
      <x:c r="A556" s="6" t="n">
        <x:v>45261</x:v>
      </x:c>
      <x:c r="B556" s="5" t="str">
        <x:v>Finance</x:v>
      </x:c>
      <x:c r="C556" s="5" t="str">
        <x:v>General &amp; Administrative</x:v>
      </x:c>
      <x:c r="D556" s="5" t="str">
        <x:v>US Central</x:v>
      </x:c>
      <x:c r="E556" s="10" t="n">
        <x:v>6</x:v>
      </x:c>
      <x:c r="F556" s="7" t="n">
        <x:v>71780.95</x:v>
      </x:c>
      <x:c r="G556" s="8"/>
    </x:row>
    <x:row r="557">
      <x:c r="A557" s="6" t="n">
        <x:v>45261</x:v>
      </x:c>
      <x:c r="B557" s="5" t="str">
        <x:v>People</x:v>
      </x:c>
      <x:c r="C557" s="5" t="str">
        <x:v>General &amp; Administrative</x:v>
      </x:c>
      <x:c r="D557" s="5" t="str">
        <x:v>US Central</x:v>
      </x:c>
      <x:c r="E557" s="10" t="n">
        <x:v>5</x:v>
      </x:c>
      <x:c r="F557" s="7" t="n">
        <x:v>54128.09</x:v>
      </x:c>
      <x:c r="G557" s="8"/>
    </x:row>
    <x:row r="558">
      <x:c r="A558" s="6" t="n">
        <x:v>45261</x:v>
      </x:c>
      <x:c r="B558" s="5" t="str">
        <x:v>Legal &amp; Compliance</x:v>
      </x:c>
      <x:c r="C558" s="5" t="str">
        <x:v>General &amp; Administrative</x:v>
      </x:c>
      <x:c r="D558" s="5" t="str">
        <x:v>US Central</x:v>
      </x:c>
      <x:c r="E558" s="10" t="n">
        <x:v>3</x:v>
      </x:c>
      <x:c r="F558" s="7" t="n">
        <x:v>51068.62</x:v>
      </x:c>
      <x:c r="G558" s="8"/>
    </x:row>
    <x:row r="559">
      <x:c r="A559" s="6" t="n">
        <x:v>45261</x:v>
      </x:c>
      <x:c r="B559" s="5" t="str">
        <x:v>Information Technology</x:v>
      </x:c>
      <x:c r="C559" s="5" t="str">
        <x:v>General &amp; Administrative</x:v>
      </x:c>
      <x:c r="D559" s="5" t="str">
        <x:v>US Central</x:v>
      </x:c>
      <x:c r="E559" s="10" t="n">
        <x:v>6</x:v>
      </x:c>
      <x:c r="F559" s="7" t="n">
        <x:v>68711.41</x:v>
      </x:c>
      <x:c r="G559" s="8"/>
    </x:row>
    <x:row r="560">
      <x:c r="A560" s="6" t="n">
        <x:v>45261</x:v>
      </x:c>
      <x:c r="B560" s="5" t="str">
        <x:v>Executive</x:v>
      </x:c>
      <x:c r="C560" s="5" t="str">
        <x:v>General &amp; Administrative</x:v>
      </x:c>
      <x:c r="D560" s="5" t="str">
        <x:v>US Central</x:v>
      </x:c>
      <x:c r="E560" s="10" t="n">
        <x:v>3</x:v>
      </x:c>
      <x:c r="F560" s="7" t="n">
        <x:v>89915.09</x:v>
      </x:c>
      <x:c r="G560" s="8"/>
    </x:row>
    <x:row r="561">
      <x:c r="A561" s="6" t="n">
        <x:v>45292</x:v>
      </x:c>
      <x:c r="B561" s="5" t="str">
        <x:v>Cloud Operations</x:v>
      </x:c>
      <x:c r="C561" s="5" t="str">
        <x:v>Cost of Revenue</x:v>
      </x:c>
      <x:c r="D561" s="5" t="str">
        <x:v>US Central</x:v>
      </x:c>
      <x:c r="E561" s="10" t="n">
        <x:v>11</x:v>
      </x:c>
      <x:c r="F561" s="7" t="n">
        <x:v>209992.72</x:v>
      </x:c>
      <x:c r="G561" s="8"/>
    </x:row>
    <x:row r="562">
      <x:c r="A562" s="6" t="n">
        <x:v>45292</x:v>
      </x:c>
      <x:c r="B562" s="5" t="str">
        <x:v>Customer Support</x:v>
      </x:c>
      <x:c r="C562" s="5" t="str">
        <x:v>Cost of Revenue</x:v>
      </x:c>
      <x:c r="D562" s="5" t="str">
        <x:v>US Central</x:v>
      </x:c>
      <x:c r="E562" s="10" t="n">
        <x:v>11</x:v>
      </x:c>
      <x:c r="F562" s="7" t="n">
        <x:v>103570.08</x:v>
      </x:c>
      <x:c r="G562" s="8"/>
    </x:row>
    <x:row r="563">
      <x:c r="A563" s="6" t="n">
        <x:v>45292</x:v>
      </x:c>
      <x:c r="B563" s="5" t="str">
        <x:v>Professional Services</x:v>
      </x:c>
      <x:c r="C563" s="5" t="str">
        <x:v>Cost of Revenue</x:v>
      </x:c>
      <x:c r="D563" s="5" t="str">
        <x:v>US Central</x:v>
      </x:c>
      <x:c r="E563" s="10" t="n">
        <x:v>28</x:v>
      </x:c>
      <x:c r="F563" s="7" t="n">
        <x:v>379469.18</x:v>
      </x:c>
      <x:c r="G563" s="8" t="n">
        <x:v>0.7131</x:v>
      </x:c>
    </x:row>
    <x:row r="564">
      <x:c r="A564" s="6" t="n">
        <x:v>45292</x:v>
      </x:c>
      <x:c r="B564" s="5" t="str">
        <x:v>Sales</x:v>
      </x:c>
      <x:c r="C564" s="5" t="str">
        <x:v>Sales &amp; Marketing</x:v>
      </x:c>
      <x:c r="D564" s="5" t="str">
        <x:v>US Central</x:v>
      </x:c>
      <x:c r="E564" s="10" t="n">
        <x:v>18</x:v>
      </x:c>
      <x:c r="F564" s="7" t="n">
        <x:v>250309.98</x:v>
      </x:c>
      <x:c r="G564" s="8"/>
    </x:row>
    <x:row r="565">
      <x:c r="A565" s="6" t="n">
        <x:v>45292</x:v>
      </x:c>
      <x:c r="B565" s="5" t="str">
        <x:v>Marketing</x:v>
      </x:c>
      <x:c r="C565" s="5" t="str">
        <x:v>Sales &amp; Marketing</x:v>
      </x:c>
      <x:c r="D565" s="5" t="str">
        <x:v>US Central</x:v>
      </x:c>
      <x:c r="E565" s="10" t="n">
        <x:v>6</x:v>
      </x:c>
      <x:c r="F565" s="7" t="n">
        <x:v>66288.64</x:v>
      </x:c>
      <x:c r="G565" s="8"/>
    </x:row>
    <x:row r="566">
      <x:c r="A566" s="6" t="n">
        <x:v>45292</x:v>
      </x:c>
      <x:c r="B566" s="5" t="str">
        <x:v>Product &amp; Engineering</x:v>
      </x:c>
      <x:c r="C566" s="5" t="str">
        <x:v>Research &amp; Development</x:v>
      </x:c>
      <x:c r="D566" s="5" t="str">
        <x:v>US Central</x:v>
      </x:c>
      <x:c r="E566" s="10" t="n">
        <x:v>29.2</x:v>
      </x:c>
      <x:c r="F566" s="7" t="n">
        <x:v>481129.98</x:v>
      </x:c>
      <x:c r="G566" s="8"/>
    </x:row>
    <x:row r="567">
      <x:c r="A567" s="6" t="n">
        <x:v>45292</x:v>
      </x:c>
      <x:c r="B567" s="5" t="str">
        <x:v>Finance</x:v>
      </x:c>
      <x:c r="C567" s="5" t="str">
        <x:v>General &amp; Administrative</x:v>
      </x:c>
      <x:c r="D567" s="5" t="str">
        <x:v>US Central</x:v>
      </x:c>
      <x:c r="E567" s="10" t="n">
        <x:v>6</x:v>
      </x:c>
      <x:c r="F567" s="7" t="n">
        <x:v>74293.28</x:v>
      </x:c>
      <x:c r="G567" s="8"/>
    </x:row>
    <x:row r="568">
      <x:c r="A568" s="6" t="n">
        <x:v>45292</x:v>
      </x:c>
      <x:c r="B568" s="5" t="str">
        <x:v>People</x:v>
      </x:c>
      <x:c r="C568" s="5" t="str">
        <x:v>General &amp; Administrative</x:v>
      </x:c>
      <x:c r="D568" s="5" t="str">
        <x:v>US Central</x:v>
      </x:c>
      <x:c r="E568" s="10" t="n">
        <x:v>5</x:v>
      </x:c>
      <x:c r="F568" s="7" t="n">
        <x:v>56022.56</x:v>
      </x:c>
      <x:c r="G568" s="8"/>
    </x:row>
    <x:row r="569">
      <x:c r="A569" s="6" t="n">
        <x:v>45292</x:v>
      </x:c>
      <x:c r="B569" s="5" t="str">
        <x:v>Legal &amp; Compliance</x:v>
      </x:c>
      <x:c r="C569" s="5" t="str">
        <x:v>General &amp; Administrative</x:v>
      </x:c>
      <x:c r="D569" s="5" t="str">
        <x:v>US Central</x:v>
      </x:c>
      <x:c r="E569" s="10" t="n">
        <x:v>3</x:v>
      </x:c>
      <x:c r="F569" s="7" t="n">
        <x:v>52856.02</x:v>
      </x:c>
      <x:c r="G569" s="8"/>
    </x:row>
    <x:row r="570">
      <x:c r="A570" s="6" t="n">
        <x:v>45292</x:v>
      </x:c>
      <x:c r="B570" s="5" t="str">
        <x:v>Information Technology</x:v>
      </x:c>
      <x:c r="C570" s="5" t="str">
        <x:v>General &amp; Administrative</x:v>
      </x:c>
      <x:c r="D570" s="5" t="str">
        <x:v>US Central</x:v>
      </x:c>
      <x:c r="E570" s="10" t="n">
        <x:v>6</x:v>
      </x:c>
      <x:c r="F570" s="7" t="n">
        <x:v>71116.31</x:v>
      </x:c>
      <x:c r="G570" s="8"/>
    </x:row>
    <x:row r="571">
      <x:c r="A571" s="6" t="n">
        <x:v>45292</x:v>
      </x:c>
      <x:c r="B571" s="5" t="str">
        <x:v>Executive</x:v>
      </x:c>
      <x:c r="C571" s="5" t="str">
        <x:v>General &amp; Administrative</x:v>
      </x:c>
      <x:c r="D571" s="5" t="str">
        <x:v>US Central</x:v>
      </x:c>
      <x:c r="E571" s="10" t="n">
        <x:v>3</x:v>
      </x:c>
      <x:c r="F571" s="7" t="n">
        <x:v>93062.13</x:v>
      </x:c>
      <x:c r="G571" s="8"/>
    </x:row>
    <x:row r="572">
      <x:c r="A572" s="6" t="n">
        <x:v>45323</x:v>
      </x:c>
      <x:c r="B572" s="5" t="str">
        <x:v>Cloud Operations</x:v>
      </x:c>
      <x:c r="C572" s="5" t="str">
        <x:v>Cost of Revenue</x:v>
      </x:c>
      <x:c r="D572" s="5" t="str">
        <x:v>US Central</x:v>
      </x:c>
      <x:c r="E572" s="10" t="n">
        <x:v>11</x:v>
      </x:c>
      <x:c r="F572" s="7" t="n">
        <x:v>209992.72</x:v>
      </x:c>
      <x:c r="G572" s="8"/>
    </x:row>
    <x:row r="573">
      <x:c r="A573" s="6" t="n">
        <x:v>45323</x:v>
      </x:c>
      <x:c r="B573" s="5" t="str">
        <x:v>Customer Support</x:v>
      </x:c>
      <x:c r="C573" s="5" t="str">
        <x:v>Cost of Revenue</x:v>
      </x:c>
      <x:c r="D573" s="5" t="str">
        <x:v>US Central</x:v>
      </x:c>
      <x:c r="E573" s="10" t="n">
        <x:v>11</x:v>
      </x:c>
      <x:c r="F573" s="7" t="n">
        <x:v>103570.08</x:v>
      </x:c>
      <x:c r="G573" s="8"/>
    </x:row>
    <x:row r="574">
      <x:c r="A574" s="6" t="n">
        <x:v>45323</x:v>
      </x:c>
      <x:c r="B574" s="5" t="str">
        <x:v>Professional Services</x:v>
      </x:c>
      <x:c r="C574" s="5" t="str">
        <x:v>Cost of Revenue</x:v>
      </x:c>
      <x:c r="D574" s="5" t="str">
        <x:v>US Central</x:v>
      </x:c>
      <x:c r="E574" s="10" t="n">
        <x:v>28</x:v>
      </x:c>
      <x:c r="F574" s="7" t="n">
        <x:v>379469.18</x:v>
      </x:c>
      <x:c r="G574" s="8" t="n">
        <x:v>0.7025</x:v>
      </x:c>
    </x:row>
    <x:row r="575">
      <x:c r="A575" s="6" t="n">
        <x:v>45323</x:v>
      </x:c>
      <x:c r="B575" s="5" t="str">
        <x:v>Sales</x:v>
      </x:c>
      <x:c r="C575" s="5" t="str">
        <x:v>Sales &amp; Marketing</x:v>
      </x:c>
      <x:c r="D575" s="5" t="str">
        <x:v>US Central</x:v>
      </x:c>
      <x:c r="E575" s="10" t="n">
        <x:v>19</x:v>
      </x:c>
      <x:c r="F575" s="7" t="n">
        <x:v>273370.27</x:v>
      </x:c>
      <x:c r="G575" s="8"/>
    </x:row>
    <x:row r="576">
      <x:c r="A576" s="6" t="n">
        <x:v>45323</x:v>
      </x:c>
      <x:c r="B576" s="5" t="str">
        <x:v>Marketing</x:v>
      </x:c>
      <x:c r="C576" s="5" t="str">
        <x:v>Sales &amp; Marketing</x:v>
      </x:c>
      <x:c r="D576" s="5" t="str">
        <x:v>US Central</x:v>
      </x:c>
      <x:c r="E576" s="10" t="n">
        <x:v>6</x:v>
      </x:c>
      <x:c r="F576" s="7" t="n">
        <x:v>66288.64</x:v>
      </x:c>
      <x:c r="G576" s="8"/>
    </x:row>
    <x:row r="577">
      <x:c r="A577" s="6" t="n">
        <x:v>45323</x:v>
      </x:c>
      <x:c r="B577" s="5" t="str">
        <x:v>Product &amp; Engineering</x:v>
      </x:c>
      <x:c r="C577" s="5" t="str">
        <x:v>Research &amp; Development</x:v>
      </x:c>
      <x:c r="D577" s="5" t="str">
        <x:v>US Central</x:v>
      </x:c>
      <x:c r="E577" s="10" t="n">
        <x:v>29.2</x:v>
      </x:c>
      <x:c r="F577" s="7" t="n">
        <x:v>481129.98</x:v>
      </x:c>
      <x:c r="G577" s="8"/>
    </x:row>
    <x:row r="578">
      <x:c r="A578" s="6" t="n">
        <x:v>45323</x:v>
      </x:c>
      <x:c r="B578" s="5" t="str">
        <x:v>Finance</x:v>
      </x:c>
      <x:c r="C578" s="5" t="str">
        <x:v>General &amp; Administrative</x:v>
      </x:c>
      <x:c r="D578" s="5" t="str">
        <x:v>US Central</x:v>
      </x:c>
      <x:c r="E578" s="10" t="n">
        <x:v>6</x:v>
      </x:c>
      <x:c r="F578" s="7" t="n">
        <x:v>74293.28</x:v>
      </x:c>
      <x:c r="G578" s="8"/>
    </x:row>
    <x:row r="579">
      <x:c r="A579" s="6" t="n">
        <x:v>45323</x:v>
      </x:c>
      <x:c r="B579" s="5" t="str">
        <x:v>People</x:v>
      </x:c>
      <x:c r="C579" s="5" t="str">
        <x:v>General &amp; Administrative</x:v>
      </x:c>
      <x:c r="D579" s="5" t="str">
        <x:v>US Central</x:v>
      </x:c>
      <x:c r="E579" s="10" t="n">
        <x:v>5</x:v>
      </x:c>
      <x:c r="F579" s="7" t="n">
        <x:v>56022.56</x:v>
      </x:c>
      <x:c r="G579" s="8"/>
    </x:row>
    <x:row r="580">
      <x:c r="A580" s="6" t="n">
        <x:v>45323</x:v>
      </x:c>
      <x:c r="B580" s="5" t="str">
        <x:v>Legal &amp; Compliance</x:v>
      </x:c>
      <x:c r="C580" s="5" t="str">
        <x:v>General &amp; Administrative</x:v>
      </x:c>
      <x:c r="D580" s="5" t="str">
        <x:v>US Central</x:v>
      </x:c>
      <x:c r="E580" s="10" t="n">
        <x:v>3</x:v>
      </x:c>
      <x:c r="F580" s="7" t="n">
        <x:v>52856.02</x:v>
      </x:c>
      <x:c r="G580" s="8"/>
    </x:row>
    <x:row r="581">
      <x:c r="A581" s="6" t="n">
        <x:v>45323</x:v>
      </x:c>
      <x:c r="B581" s="5" t="str">
        <x:v>Information Technology</x:v>
      </x:c>
      <x:c r="C581" s="5" t="str">
        <x:v>General &amp; Administrative</x:v>
      </x:c>
      <x:c r="D581" s="5" t="str">
        <x:v>US Central</x:v>
      </x:c>
      <x:c r="E581" s="10" t="n">
        <x:v>7</x:v>
      </x:c>
      <x:c r="F581" s="7" t="n">
        <x:v>89788.68</x:v>
      </x:c>
      <x:c r="G581" s="8"/>
    </x:row>
    <x:row r="582">
      <x:c r="A582" s="6" t="n">
        <x:v>45323</x:v>
      </x:c>
      <x:c r="B582" s="5" t="str">
        <x:v>Executive</x:v>
      </x:c>
      <x:c r="C582" s="5" t="str">
        <x:v>General &amp; Administrative</x:v>
      </x:c>
      <x:c r="D582" s="5" t="str">
        <x:v>US Central</x:v>
      </x:c>
      <x:c r="E582" s="10" t="n">
        <x:v>3</x:v>
      </x:c>
      <x:c r="F582" s="7" t="n">
        <x:v>93062.13</x:v>
      </x:c>
      <x:c r="G582" s="8"/>
    </x:row>
    <x:row r="583">
      <x:c r="A583" s="6" t="n">
        <x:v>45352</x:v>
      </x:c>
      <x:c r="B583" s="5" t="str">
        <x:v>Cloud Operations</x:v>
      </x:c>
      <x:c r="C583" s="5" t="str">
        <x:v>Cost of Revenue</x:v>
      </x:c>
      <x:c r="D583" s="5" t="str">
        <x:v>US Central</x:v>
      </x:c>
      <x:c r="E583" s="10" t="n">
        <x:v>11</x:v>
      </x:c>
      <x:c r="F583" s="7" t="n">
        <x:v>209992.72</x:v>
      </x:c>
      <x:c r="G583" s="8"/>
    </x:row>
    <x:row r="584">
      <x:c r="A584" s="6" t="n">
        <x:v>45352</x:v>
      </x:c>
      <x:c r="B584" s="5" t="str">
        <x:v>Customer Support</x:v>
      </x:c>
      <x:c r="C584" s="5" t="str">
        <x:v>Cost of Revenue</x:v>
      </x:c>
      <x:c r="D584" s="5" t="str">
        <x:v>US Central</x:v>
      </x:c>
      <x:c r="E584" s="10" t="n">
        <x:v>11</x:v>
      </x:c>
      <x:c r="F584" s="7" t="n">
        <x:v>103570.08</x:v>
      </x:c>
      <x:c r="G584" s="8"/>
    </x:row>
    <x:row r="585">
      <x:c r="A585" s="6" t="n">
        <x:v>45352</x:v>
      </x:c>
      <x:c r="B585" s="5" t="str">
        <x:v>Professional Services</x:v>
      </x:c>
      <x:c r="C585" s="5" t="str">
        <x:v>Cost of Revenue</x:v>
      </x:c>
      <x:c r="D585" s="5" t="str">
        <x:v>US Central</x:v>
      </x:c>
      <x:c r="E585" s="10" t="n">
        <x:v>28</x:v>
      </x:c>
      <x:c r="F585" s="7" t="n">
        <x:v>379469.18</x:v>
      </x:c>
      <x:c r="G585" s="8" t="n">
        <x:v>0.7455</x:v>
      </x:c>
    </x:row>
    <x:row r="586">
      <x:c r="A586" s="6" t="n">
        <x:v>45352</x:v>
      </x:c>
      <x:c r="B586" s="5" t="str">
        <x:v>Sales</x:v>
      </x:c>
      <x:c r="C586" s="5" t="str">
        <x:v>Sales &amp; Marketing</x:v>
      </x:c>
      <x:c r="D586" s="5" t="str">
        <x:v>US Central</x:v>
      </x:c>
      <x:c r="E586" s="10" t="n">
        <x:v>21</x:v>
      </x:c>
      <x:c r="F586" s="7" t="n">
        <x:v>295191.95</x:v>
      </x:c>
      <x:c r="G586" s="8"/>
    </x:row>
    <x:row r="587">
      <x:c r="A587" s="6" t="n">
        <x:v>45352</x:v>
      </x:c>
      <x:c r="B587" s="5" t="str">
        <x:v>Marketing</x:v>
      </x:c>
      <x:c r="C587" s="5" t="str">
        <x:v>Sales &amp; Marketing</x:v>
      </x:c>
      <x:c r="D587" s="5" t="str">
        <x:v>US Central</x:v>
      </x:c>
      <x:c r="E587" s="10" t="n">
        <x:v>7</x:v>
      </x:c>
      <x:c r="F587" s="7" t="n">
        <x:v>75021.02</x:v>
      </x:c>
      <x:c r="G587" s="8"/>
    </x:row>
    <x:row r="588">
      <x:c r="A588" s="6" t="n">
        <x:v>45352</x:v>
      </x:c>
      <x:c r="B588" s="5" t="str">
        <x:v>Product &amp; Engineering</x:v>
      </x:c>
      <x:c r="C588" s="5" t="str">
        <x:v>Research &amp; Development</x:v>
      </x:c>
      <x:c r="D588" s="5" t="str">
        <x:v>US Central</x:v>
      </x:c>
      <x:c r="E588" s="10" t="n">
        <x:v>29.2</x:v>
      </x:c>
      <x:c r="F588" s="7" t="n">
        <x:v>481129.98</x:v>
      </x:c>
      <x:c r="G588" s="8"/>
    </x:row>
    <x:row r="589">
      <x:c r="A589" s="6" t="n">
        <x:v>45352</x:v>
      </x:c>
      <x:c r="B589" s="5" t="str">
        <x:v>Finance</x:v>
      </x:c>
      <x:c r="C589" s="5" t="str">
        <x:v>General &amp; Administrative</x:v>
      </x:c>
      <x:c r="D589" s="5" t="str">
        <x:v>US Central</x:v>
      </x:c>
      <x:c r="E589" s="10" t="n">
        <x:v>6</x:v>
      </x:c>
      <x:c r="F589" s="7" t="n">
        <x:v>74293.28</x:v>
      </x:c>
      <x:c r="G589" s="8"/>
    </x:row>
    <x:row r="590">
      <x:c r="A590" s="6" t="n">
        <x:v>45352</x:v>
      </x:c>
      <x:c r="B590" s="5" t="str">
        <x:v>People</x:v>
      </x:c>
      <x:c r="C590" s="5" t="str">
        <x:v>General &amp; Administrative</x:v>
      </x:c>
      <x:c r="D590" s="5" t="str">
        <x:v>US Central</x:v>
      </x:c>
      <x:c r="E590" s="10" t="n">
        <x:v>5</x:v>
      </x:c>
      <x:c r="F590" s="7" t="n">
        <x:v>56022.56</x:v>
      </x:c>
      <x:c r="G590" s="8"/>
    </x:row>
    <x:row r="591">
      <x:c r="A591" s="6" t="n">
        <x:v>45352</x:v>
      </x:c>
      <x:c r="B591" s="5" t="str">
        <x:v>Legal &amp; Compliance</x:v>
      </x:c>
      <x:c r="C591" s="5" t="str">
        <x:v>General &amp; Administrative</x:v>
      </x:c>
      <x:c r="D591" s="5" t="str">
        <x:v>US Central</x:v>
      </x:c>
      <x:c r="E591" s="10" t="n">
        <x:v>3</x:v>
      </x:c>
      <x:c r="F591" s="7" t="n">
        <x:v>52856.02</x:v>
      </x:c>
      <x:c r="G591" s="8"/>
    </x:row>
    <x:row r="592">
      <x:c r="A592" s="6" t="n">
        <x:v>45352</x:v>
      </x:c>
      <x:c r="B592" s="5" t="str">
        <x:v>Information Technology</x:v>
      </x:c>
      <x:c r="C592" s="5" t="str">
        <x:v>General &amp; Administrative</x:v>
      </x:c>
      <x:c r="D592" s="5" t="str">
        <x:v>US Central</x:v>
      </x:c>
      <x:c r="E592" s="10" t="n">
        <x:v>7</x:v>
      </x:c>
      <x:c r="F592" s="7" t="n">
        <x:v>89788.68</x:v>
      </x:c>
      <x:c r="G592" s="8"/>
    </x:row>
    <x:row r="593">
      <x:c r="A593" s="6" t="n">
        <x:v>45352</x:v>
      </x:c>
      <x:c r="B593" s="5" t="str">
        <x:v>Executive</x:v>
      </x:c>
      <x:c r="C593" s="5" t="str">
        <x:v>General &amp; Administrative</x:v>
      </x:c>
      <x:c r="D593" s="5" t="str">
        <x:v>US Central</x:v>
      </x:c>
      <x:c r="E593" s="10" t="n">
        <x:v>3</x:v>
      </x:c>
      <x:c r="F593" s="7" t="n">
        <x:v>93062.13</x:v>
      </x:c>
      <x:c r="G593" s="8"/>
    </x:row>
    <x:row r="594">
      <x:c r="A594" s="6" t="n">
        <x:v>45383</x:v>
      </x:c>
      <x:c r="B594" s="5" t="str">
        <x:v>Cloud Operations</x:v>
      </x:c>
      <x:c r="C594" s="5" t="str">
        <x:v>Cost of Revenue</x:v>
      </x:c>
      <x:c r="D594" s="5" t="str">
        <x:v>US Central</x:v>
      </x:c>
      <x:c r="E594" s="10" t="n">
        <x:v>11</x:v>
      </x:c>
      <x:c r="F594" s="7" t="n">
        <x:v>209992.72</x:v>
      </x:c>
      <x:c r="G594" s="8"/>
    </x:row>
    <x:row r="595">
      <x:c r="A595" s="6" t="n">
        <x:v>45383</x:v>
      </x:c>
      <x:c r="B595" s="5" t="str">
        <x:v>Customer Support</x:v>
      </x:c>
      <x:c r="C595" s="5" t="str">
        <x:v>Cost of Revenue</x:v>
      </x:c>
      <x:c r="D595" s="5" t="str">
        <x:v>US Central</x:v>
      </x:c>
      <x:c r="E595" s="10" t="n">
        <x:v>11</x:v>
      </x:c>
      <x:c r="F595" s="7" t="n">
        <x:v>103570.08</x:v>
      </x:c>
      <x:c r="G595" s="8"/>
    </x:row>
    <x:row r="596">
      <x:c r="A596" s="6" t="n">
        <x:v>45383</x:v>
      </x:c>
      <x:c r="B596" s="5" t="str">
        <x:v>Professional Services</x:v>
      </x:c>
      <x:c r="C596" s="5" t="str">
        <x:v>Cost of Revenue</x:v>
      </x:c>
      <x:c r="D596" s="5" t="str">
        <x:v>US Central</x:v>
      </x:c>
      <x:c r="E596" s="10" t="n">
        <x:v>28</x:v>
      </x:c>
      <x:c r="F596" s="7" t="n">
        <x:v>379469.18</x:v>
      </x:c>
      <x:c r="G596" s="8" t="n">
        <x:v>0.7505</x:v>
      </x:c>
    </x:row>
    <x:row r="597">
      <x:c r="A597" s="6" t="n">
        <x:v>45383</x:v>
      </x:c>
      <x:c r="B597" s="5" t="str">
        <x:v>Sales</x:v>
      </x:c>
      <x:c r="C597" s="5" t="str">
        <x:v>Sales &amp; Marketing</x:v>
      </x:c>
      <x:c r="D597" s="5" t="str">
        <x:v>US Central</x:v>
      </x:c>
      <x:c r="E597" s="10" t="n">
        <x:v>21</x:v>
      </x:c>
      <x:c r="F597" s="7" t="n">
        <x:v>295191.95</x:v>
      </x:c>
      <x:c r="G597" s="8"/>
    </x:row>
    <x:row r="598">
      <x:c r="A598" s="6" t="n">
        <x:v>45383</x:v>
      </x:c>
      <x:c r="B598" s="5" t="str">
        <x:v>Marketing</x:v>
      </x:c>
      <x:c r="C598" s="5" t="str">
        <x:v>Sales &amp; Marketing</x:v>
      </x:c>
      <x:c r="D598" s="5" t="str">
        <x:v>US Central</x:v>
      </x:c>
      <x:c r="E598" s="10" t="n">
        <x:v>8</x:v>
      </x:c>
      <x:c r="F598" s="7" t="n">
        <x:v>84736.36</x:v>
      </x:c>
      <x:c r="G598" s="8"/>
    </x:row>
    <x:row r="599">
      <x:c r="A599" s="6" t="n">
        <x:v>45383</x:v>
      </x:c>
      <x:c r="B599" s="5" t="str">
        <x:v>Product &amp; Engineering</x:v>
      </x:c>
      <x:c r="C599" s="5" t="str">
        <x:v>Research &amp; Development</x:v>
      </x:c>
      <x:c r="D599" s="5" t="str">
        <x:v>US Central</x:v>
      </x:c>
      <x:c r="E599" s="10" t="n">
        <x:v>30.2</x:v>
      </x:c>
      <x:c r="F599" s="7" t="n">
        <x:v>497837.4</x:v>
      </x:c>
      <x:c r="G599" s="8"/>
    </x:row>
    <x:row r="600">
      <x:c r="A600" s="6" t="n">
        <x:v>45383</x:v>
      </x:c>
      <x:c r="B600" s="5" t="str">
        <x:v>Finance</x:v>
      </x:c>
      <x:c r="C600" s="5" t="str">
        <x:v>General &amp; Administrative</x:v>
      </x:c>
      <x:c r="D600" s="5" t="str">
        <x:v>US Central</x:v>
      </x:c>
      <x:c r="E600" s="10" t="n">
        <x:v>6</x:v>
      </x:c>
      <x:c r="F600" s="7" t="n">
        <x:v>74293.28</x:v>
      </x:c>
      <x:c r="G600" s="8"/>
    </x:row>
    <x:row r="601">
      <x:c r="A601" s="6" t="n">
        <x:v>45383</x:v>
      </x:c>
      <x:c r="B601" s="5" t="str">
        <x:v>People</x:v>
      </x:c>
      <x:c r="C601" s="5" t="str">
        <x:v>General &amp; Administrative</x:v>
      </x:c>
      <x:c r="D601" s="5" t="str">
        <x:v>US Central</x:v>
      </x:c>
      <x:c r="E601" s="10" t="n">
        <x:v>4</x:v>
      </x:c>
      <x:c r="F601" s="7" t="n">
        <x:v>45895</x:v>
      </x:c>
      <x:c r="G601" s="8"/>
    </x:row>
    <x:row r="602">
      <x:c r="A602" s="6" t="n">
        <x:v>45383</x:v>
      </x:c>
      <x:c r="B602" s="5" t="str">
        <x:v>Legal &amp; Compliance</x:v>
      </x:c>
      <x:c r="C602" s="5" t="str">
        <x:v>General &amp; Administrative</x:v>
      </x:c>
      <x:c r="D602" s="5" t="str">
        <x:v>US Central</x:v>
      </x:c>
      <x:c r="E602" s="10" t="n">
        <x:v>4</x:v>
      </x:c>
      <x:c r="F602" s="7" t="n">
        <x:v>67616.39</x:v>
      </x:c>
      <x:c r="G602" s="8"/>
    </x:row>
    <x:row r="603">
      <x:c r="A603" s="6" t="n">
        <x:v>45383</x:v>
      </x:c>
      <x:c r="B603" s="5" t="str">
        <x:v>Information Technology</x:v>
      </x:c>
      <x:c r="C603" s="5" t="str">
        <x:v>General &amp; Administrative</x:v>
      </x:c>
      <x:c r="D603" s="5" t="str">
        <x:v>US Central</x:v>
      </x:c>
      <x:c r="E603" s="10" t="n">
        <x:v>7</x:v>
      </x:c>
      <x:c r="F603" s="7" t="n">
        <x:v>89788.68</x:v>
      </x:c>
      <x:c r="G603" s="8"/>
    </x:row>
    <x:row r="604">
      <x:c r="A604" s="6" t="n">
        <x:v>45383</x:v>
      </x:c>
      <x:c r="B604" s="5" t="str">
        <x:v>Executive</x:v>
      </x:c>
      <x:c r="C604" s="5" t="str">
        <x:v>General &amp; Administrative</x:v>
      </x:c>
      <x:c r="D604" s="5" t="str">
        <x:v>US Central</x:v>
      </x:c>
      <x:c r="E604" s="10" t="n">
        <x:v>3</x:v>
      </x:c>
      <x:c r="F604" s="7" t="n">
        <x:v>93062.13</x:v>
      </x:c>
      <x:c r="G604" s="8"/>
    </x:row>
    <x:row r="605">
      <x:c r="A605" s="6" t="n">
        <x:v>45413</x:v>
      </x:c>
      <x:c r="B605" s="5" t="str">
        <x:v>Cloud Operations</x:v>
      </x:c>
      <x:c r="C605" s="5" t="str">
        <x:v>Cost of Revenue</x:v>
      </x:c>
      <x:c r="D605" s="5" t="str">
        <x:v>US Central</x:v>
      </x:c>
      <x:c r="E605" s="10" t="n">
        <x:v>11</x:v>
      </x:c>
      <x:c r="F605" s="7" t="n">
        <x:v>209992.72</x:v>
      </x:c>
      <x:c r="G605" s="8"/>
    </x:row>
    <x:row r="606">
      <x:c r="A606" s="6" t="n">
        <x:v>45413</x:v>
      </x:c>
      <x:c r="B606" s="5" t="str">
        <x:v>Customer Support</x:v>
      </x:c>
      <x:c r="C606" s="5" t="str">
        <x:v>Cost of Revenue</x:v>
      </x:c>
      <x:c r="D606" s="5" t="str">
        <x:v>US Central</x:v>
      </x:c>
      <x:c r="E606" s="10" t="n">
        <x:v>11</x:v>
      </x:c>
      <x:c r="F606" s="7" t="n">
        <x:v>103570.08</x:v>
      </x:c>
      <x:c r="G606" s="8"/>
    </x:row>
    <x:row r="607">
      <x:c r="A607" s="6" t="n">
        <x:v>45413</x:v>
      </x:c>
      <x:c r="B607" s="5" t="str">
        <x:v>Professional Services</x:v>
      </x:c>
      <x:c r="C607" s="5" t="str">
        <x:v>Cost of Revenue</x:v>
      </x:c>
      <x:c r="D607" s="5" t="str">
        <x:v>US Central</x:v>
      </x:c>
      <x:c r="E607" s="10" t="n">
        <x:v>29</x:v>
      </x:c>
      <x:c r="F607" s="7" t="n">
        <x:v>389814.02</x:v>
      </x:c>
      <x:c r="G607" s="8" t="n">
        <x:v>0.759</x:v>
      </x:c>
    </x:row>
    <x:row r="608">
      <x:c r="A608" s="6" t="n">
        <x:v>45413</x:v>
      </x:c>
      <x:c r="B608" s="5" t="str">
        <x:v>Sales</x:v>
      </x:c>
      <x:c r="C608" s="5" t="str">
        <x:v>Sales &amp; Marketing</x:v>
      </x:c>
      <x:c r="D608" s="5" t="str">
        <x:v>US Central</x:v>
      </x:c>
      <x:c r="E608" s="10" t="n">
        <x:v>22</x:v>
      </x:c>
      <x:c r="F608" s="7" t="n">
        <x:v>308909.15</x:v>
      </x:c>
      <x:c r="G608" s="8"/>
    </x:row>
    <x:row r="609">
      <x:c r="A609" s="6" t="n">
        <x:v>45413</x:v>
      </x:c>
      <x:c r="B609" s="5" t="str">
        <x:v>Marketing</x:v>
      </x:c>
      <x:c r="C609" s="5" t="str">
        <x:v>Sales &amp; Marketing</x:v>
      </x:c>
      <x:c r="D609" s="5" t="str">
        <x:v>US Central</x:v>
      </x:c>
      <x:c r="E609" s="10" t="n">
        <x:v>8</x:v>
      </x:c>
      <x:c r="F609" s="7" t="n">
        <x:v>84736.36</x:v>
      </x:c>
      <x:c r="G609" s="8"/>
    </x:row>
    <x:row r="610">
      <x:c r="A610" s="6" t="n">
        <x:v>45413</x:v>
      </x:c>
      <x:c r="B610" s="5" t="str">
        <x:v>Product &amp; Engineering</x:v>
      </x:c>
      <x:c r="C610" s="5" t="str">
        <x:v>Research &amp; Development</x:v>
      </x:c>
      <x:c r="D610" s="5" t="str">
        <x:v>US Central</x:v>
      </x:c>
      <x:c r="E610" s="10" t="n">
        <x:v>30.2</x:v>
      </x:c>
      <x:c r="F610" s="7" t="n">
        <x:v>497837.4</x:v>
      </x:c>
      <x:c r="G610" s="8"/>
    </x:row>
    <x:row r="611">
      <x:c r="A611" s="6" t="n">
        <x:v>45413</x:v>
      </x:c>
      <x:c r="B611" s="5" t="str">
        <x:v>Finance</x:v>
      </x:c>
      <x:c r="C611" s="5" t="str">
        <x:v>General &amp; Administrative</x:v>
      </x:c>
      <x:c r="D611" s="5" t="str">
        <x:v>US Central</x:v>
      </x:c>
      <x:c r="E611" s="10" t="n">
        <x:v>6</x:v>
      </x:c>
      <x:c r="F611" s="7" t="n">
        <x:v>74293.28</x:v>
      </x:c>
      <x:c r="G611" s="8"/>
    </x:row>
    <x:row r="612">
      <x:c r="A612" s="6" t="n">
        <x:v>45413</x:v>
      </x:c>
      <x:c r="B612" s="5" t="str">
        <x:v>People</x:v>
      </x:c>
      <x:c r="C612" s="5" t="str">
        <x:v>General &amp; Administrative</x:v>
      </x:c>
      <x:c r="D612" s="5" t="str">
        <x:v>US Central</x:v>
      </x:c>
      <x:c r="E612" s="10" t="n">
        <x:v>4</x:v>
      </x:c>
      <x:c r="F612" s="7" t="n">
        <x:v>45895</x:v>
      </x:c>
      <x:c r="G612" s="8"/>
    </x:row>
    <x:row r="613">
      <x:c r="A613" s="6" t="n">
        <x:v>45413</x:v>
      </x:c>
      <x:c r="B613" s="5" t="str">
        <x:v>Legal &amp; Compliance</x:v>
      </x:c>
      <x:c r="C613" s="5" t="str">
        <x:v>General &amp; Administrative</x:v>
      </x:c>
      <x:c r="D613" s="5" t="str">
        <x:v>US Central</x:v>
      </x:c>
      <x:c r="E613" s="10" t="n">
        <x:v>4</x:v>
      </x:c>
      <x:c r="F613" s="7" t="n">
        <x:v>67616.39</x:v>
      </x:c>
      <x:c r="G613" s="8"/>
    </x:row>
    <x:row r="614">
      <x:c r="A614" s="6" t="n">
        <x:v>45413</x:v>
      </x:c>
      <x:c r="B614" s="5" t="str">
        <x:v>Information Technology</x:v>
      </x:c>
      <x:c r="C614" s="5" t="str">
        <x:v>General &amp; Administrative</x:v>
      </x:c>
      <x:c r="D614" s="5" t="str">
        <x:v>US Central</x:v>
      </x:c>
      <x:c r="E614" s="10" t="n">
        <x:v>7</x:v>
      </x:c>
      <x:c r="F614" s="7" t="n">
        <x:v>89788.68</x:v>
      </x:c>
      <x:c r="G614" s="8"/>
    </x:row>
    <x:row r="615">
      <x:c r="A615" s="6" t="n">
        <x:v>45413</x:v>
      </x:c>
      <x:c r="B615" s="5" t="str">
        <x:v>Executive</x:v>
      </x:c>
      <x:c r="C615" s="5" t="str">
        <x:v>General &amp; Administrative</x:v>
      </x:c>
      <x:c r="D615" s="5" t="str">
        <x:v>US Central</x:v>
      </x:c>
      <x:c r="E615" s="10" t="n">
        <x:v>3</x:v>
      </x:c>
      <x:c r="F615" s="7" t="n">
        <x:v>93062.13</x:v>
      </x:c>
      <x:c r="G615" s="8"/>
    </x:row>
    <x:row r="616">
      <x:c r="A616" s="6" t="n">
        <x:v>45444</x:v>
      </x:c>
      <x:c r="B616" s="5" t="str">
        <x:v>Cloud Operations</x:v>
      </x:c>
      <x:c r="C616" s="5" t="str">
        <x:v>Cost of Revenue</x:v>
      </x:c>
      <x:c r="D616" s="5" t="str">
        <x:v>US Central</x:v>
      </x:c>
      <x:c r="E616" s="10" t="n">
        <x:v>12</x:v>
      </x:c>
      <x:c r="F616" s="7" t="n">
        <x:v>228843.09</x:v>
      </x:c>
      <x:c r="G616" s="8"/>
    </x:row>
    <x:row r="617">
      <x:c r="A617" s="6" t="n">
        <x:v>45444</x:v>
      </x:c>
      <x:c r="B617" s="5" t="str">
        <x:v>Customer Support</x:v>
      </x:c>
      <x:c r="C617" s="5" t="str">
        <x:v>Cost of Revenue</x:v>
      </x:c>
      <x:c r="D617" s="5" t="str">
        <x:v>US Central</x:v>
      </x:c>
      <x:c r="E617" s="10" t="n">
        <x:v>11</x:v>
      </x:c>
      <x:c r="F617" s="7" t="n">
        <x:v>103570.08</x:v>
      </x:c>
      <x:c r="G617" s="8"/>
    </x:row>
    <x:row r="618">
      <x:c r="A618" s="6" t="n">
        <x:v>45444</x:v>
      </x:c>
      <x:c r="B618" s="5" t="str">
        <x:v>Professional Services</x:v>
      </x:c>
      <x:c r="C618" s="5" t="str">
        <x:v>Cost of Revenue</x:v>
      </x:c>
      <x:c r="D618" s="5" t="str">
        <x:v>US Central</x:v>
      </x:c>
      <x:c r="E618" s="10" t="n">
        <x:v>29</x:v>
      </x:c>
      <x:c r="F618" s="7" t="n">
        <x:v>389814.02</x:v>
      </x:c>
      <x:c r="G618" s="8" t="n">
        <x:v>0.7324</x:v>
      </x:c>
    </x:row>
    <x:row r="619">
      <x:c r="A619" s="6" t="n">
        <x:v>45444</x:v>
      </x:c>
      <x:c r="B619" s="5" t="str">
        <x:v>Sales</x:v>
      </x:c>
      <x:c r="C619" s="5" t="str">
        <x:v>Sales &amp; Marketing</x:v>
      </x:c>
      <x:c r="D619" s="5" t="str">
        <x:v>US Central</x:v>
      </x:c>
      <x:c r="E619" s="10" t="n">
        <x:v>21</x:v>
      </x:c>
      <x:c r="F619" s="7" t="n">
        <x:v>296913.9</x:v>
      </x:c>
      <x:c r="G619" s="8"/>
    </x:row>
    <x:row r="620">
      <x:c r="A620" s="6" t="n">
        <x:v>45444</x:v>
      </x:c>
      <x:c r="B620" s="5" t="str">
        <x:v>Marketing</x:v>
      </x:c>
      <x:c r="C620" s="5" t="str">
        <x:v>Sales &amp; Marketing</x:v>
      </x:c>
      <x:c r="D620" s="5" t="str">
        <x:v>US Central</x:v>
      </x:c>
      <x:c r="E620" s="10" t="n">
        <x:v>8</x:v>
      </x:c>
      <x:c r="F620" s="7" t="n">
        <x:v>84736.36</x:v>
      </x:c>
      <x:c r="G620" s="8"/>
    </x:row>
    <x:row r="621">
      <x:c r="A621" s="6" t="n">
        <x:v>45444</x:v>
      </x:c>
      <x:c r="B621" s="5" t="str">
        <x:v>Product &amp; Engineering</x:v>
      </x:c>
      <x:c r="C621" s="5" t="str">
        <x:v>Research &amp; Development</x:v>
      </x:c>
      <x:c r="D621" s="5" t="str">
        <x:v>US Central</x:v>
      </x:c>
      <x:c r="E621" s="10" t="n">
        <x:v>30.2</x:v>
      </x:c>
      <x:c r="F621" s="7" t="n">
        <x:v>497837.4</x:v>
      </x:c>
      <x:c r="G621" s="8"/>
    </x:row>
    <x:row r="622">
      <x:c r="A622" s="6" t="n">
        <x:v>45444</x:v>
      </x:c>
      <x:c r="B622" s="5" t="str">
        <x:v>Finance</x:v>
      </x:c>
      <x:c r="C622" s="5" t="str">
        <x:v>General &amp; Administrative</x:v>
      </x:c>
      <x:c r="D622" s="5" t="str">
        <x:v>US Central</x:v>
      </x:c>
      <x:c r="E622" s="10" t="n">
        <x:v>6</x:v>
      </x:c>
      <x:c r="F622" s="7" t="n">
        <x:v>74293.28</x:v>
      </x:c>
      <x:c r="G622" s="8"/>
    </x:row>
    <x:row r="623">
      <x:c r="A623" s="6" t="n">
        <x:v>45444</x:v>
      </x:c>
      <x:c r="B623" s="5" t="str">
        <x:v>People</x:v>
      </x:c>
      <x:c r="C623" s="5" t="str">
        <x:v>General &amp; Administrative</x:v>
      </x:c>
      <x:c r="D623" s="5" t="str">
        <x:v>US Central</x:v>
      </x:c>
      <x:c r="E623" s="10" t="n">
        <x:v>4</x:v>
      </x:c>
      <x:c r="F623" s="7" t="n">
        <x:v>45895</x:v>
      </x:c>
      <x:c r="G623" s="8"/>
    </x:row>
    <x:row r="624">
      <x:c r="A624" s="6" t="n">
        <x:v>45444</x:v>
      </x:c>
      <x:c r="B624" s="5" t="str">
        <x:v>Legal &amp; Compliance</x:v>
      </x:c>
      <x:c r="C624" s="5" t="str">
        <x:v>General &amp; Administrative</x:v>
      </x:c>
      <x:c r="D624" s="5" t="str">
        <x:v>US Central</x:v>
      </x:c>
      <x:c r="E624" s="10" t="n">
        <x:v>4</x:v>
      </x:c>
      <x:c r="F624" s="7" t="n">
        <x:v>67616.39</x:v>
      </x:c>
      <x:c r="G624" s="8"/>
    </x:row>
    <x:row r="625">
      <x:c r="A625" s="6" t="n">
        <x:v>45444</x:v>
      </x:c>
      <x:c r="B625" s="5" t="str">
        <x:v>Information Technology</x:v>
      </x:c>
      <x:c r="C625" s="5" t="str">
        <x:v>General &amp; Administrative</x:v>
      </x:c>
      <x:c r="D625" s="5" t="str">
        <x:v>US Central</x:v>
      </x:c>
      <x:c r="E625" s="10" t="n">
        <x:v>7</x:v>
      </x:c>
      <x:c r="F625" s="7" t="n">
        <x:v>89788.68</x:v>
      </x:c>
      <x:c r="G625" s="8"/>
    </x:row>
    <x:row r="626">
      <x:c r="A626" s="6" t="n">
        <x:v>45444</x:v>
      </x:c>
      <x:c r="B626" s="5" t="str">
        <x:v>Executive</x:v>
      </x:c>
      <x:c r="C626" s="5" t="str">
        <x:v>General &amp; Administrative</x:v>
      </x:c>
      <x:c r="D626" s="5" t="str">
        <x:v>US Central</x:v>
      </x:c>
      <x:c r="E626" s="10" t="n">
        <x:v>3</x:v>
      </x:c>
      <x:c r="F626" s="7" t="n">
        <x:v>93062.13</x:v>
      </x:c>
      <x:c r="G626" s="8"/>
    </x:row>
    <x:row r="627">
      <x:c r="A627" s="6" t="n">
        <x:v>45474</x:v>
      </x:c>
      <x:c r="B627" s="5" t="str">
        <x:v>Cloud Operations</x:v>
      </x:c>
      <x:c r="C627" s="5" t="str">
        <x:v>Cost of Revenue</x:v>
      </x:c>
      <x:c r="D627" s="5" t="str">
        <x:v>US Central</x:v>
      </x:c>
      <x:c r="E627" s="10" t="n">
        <x:v>12</x:v>
      </x:c>
      <x:c r="F627" s="7" t="n">
        <x:v>228843.09</x:v>
      </x:c>
      <x:c r="G627" s="8"/>
    </x:row>
    <x:row r="628">
      <x:c r="A628" s="6" t="n">
        <x:v>45474</x:v>
      </x:c>
      <x:c r="B628" s="5" t="str">
        <x:v>Customer Support</x:v>
      </x:c>
      <x:c r="C628" s="5" t="str">
        <x:v>Cost of Revenue</x:v>
      </x:c>
      <x:c r="D628" s="5" t="str">
        <x:v>US Central</x:v>
      </x:c>
      <x:c r="E628" s="10" t="n">
        <x:v>11</x:v>
      </x:c>
      <x:c r="F628" s="7" t="n">
        <x:v>103570.08</x:v>
      </x:c>
      <x:c r="G628" s="8"/>
    </x:row>
    <x:row r="629">
      <x:c r="A629" s="6" t="n">
        <x:v>45474</x:v>
      </x:c>
      <x:c r="B629" s="5" t="str">
        <x:v>Professional Services</x:v>
      </x:c>
      <x:c r="C629" s="5" t="str">
        <x:v>Cost of Revenue</x:v>
      </x:c>
      <x:c r="D629" s="5" t="str">
        <x:v>US Central</x:v>
      </x:c>
      <x:c r="E629" s="10" t="n">
        <x:v>29</x:v>
      </x:c>
      <x:c r="F629" s="7" t="n">
        <x:v>389814.02</x:v>
      </x:c>
      <x:c r="G629" s="8" t="n">
        <x:v>0.747</x:v>
      </x:c>
    </x:row>
    <x:row r="630">
      <x:c r="A630" s="6" t="n">
        <x:v>45474</x:v>
      </x:c>
      <x:c r="B630" s="5" t="str">
        <x:v>Sales</x:v>
      </x:c>
      <x:c r="C630" s="5" t="str">
        <x:v>Sales &amp; Marketing</x:v>
      </x:c>
      <x:c r="D630" s="5" t="str">
        <x:v>US Central</x:v>
      </x:c>
      <x:c r="E630" s="10" t="n">
        <x:v>20</x:v>
      </x:c>
      <x:c r="F630" s="7" t="n">
        <x:v>283897.57</x:v>
      </x:c>
      <x:c r="G630" s="8"/>
    </x:row>
    <x:row r="631">
      <x:c r="A631" s="6" t="n">
        <x:v>45474</x:v>
      </x:c>
      <x:c r="B631" s="5" t="str">
        <x:v>Marketing</x:v>
      </x:c>
      <x:c r="C631" s="5" t="str">
        <x:v>Sales &amp; Marketing</x:v>
      </x:c>
      <x:c r="D631" s="5" t="str">
        <x:v>US Central</x:v>
      </x:c>
      <x:c r="E631" s="10" t="n">
        <x:v>7</x:v>
      </x:c>
      <x:c r="F631" s="7" t="n">
        <x:v>74737.86</x:v>
      </x:c>
      <x:c r="G631" s="8"/>
    </x:row>
    <x:row r="632">
      <x:c r="A632" s="6" t="n">
        <x:v>45474</x:v>
      </x:c>
      <x:c r="B632" s="5" t="str">
        <x:v>Product &amp; Engineering</x:v>
      </x:c>
      <x:c r="C632" s="5" t="str">
        <x:v>Research &amp; Development</x:v>
      </x:c>
      <x:c r="D632" s="5" t="str">
        <x:v>US Central</x:v>
      </x:c>
      <x:c r="E632" s="10" t="n">
        <x:v>30.2</x:v>
      </x:c>
      <x:c r="F632" s="7" t="n">
        <x:v>497837.4</x:v>
      </x:c>
      <x:c r="G632" s="8"/>
    </x:row>
    <x:row r="633">
      <x:c r="A633" s="6" t="n">
        <x:v>45474</x:v>
      </x:c>
      <x:c r="B633" s="5" t="str">
        <x:v>Finance</x:v>
      </x:c>
      <x:c r="C633" s="5" t="str">
        <x:v>General &amp; Administrative</x:v>
      </x:c>
      <x:c r="D633" s="5" t="str">
        <x:v>US Central</x:v>
      </x:c>
      <x:c r="E633" s="10" t="n">
        <x:v>7</x:v>
      </x:c>
      <x:c r="F633" s="7" t="n">
        <x:v>82618.5</x:v>
      </x:c>
      <x:c r="G633" s="8"/>
    </x:row>
    <x:row r="634">
      <x:c r="A634" s="6" t="n">
        <x:v>45474</x:v>
      </x:c>
      <x:c r="B634" s="5" t="str">
        <x:v>People</x:v>
      </x:c>
      <x:c r="C634" s="5" t="str">
        <x:v>General &amp; Administrative</x:v>
      </x:c>
      <x:c r="D634" s="5" t="str">
        <x:v>US Central</x:v>
      </x:c>
      <x:c r="E634" s="10" t="n">
        <x:v>4</x:v>
      </x:c>
      <x:c r="F634" s="7" t="n">
        <x:v>45895</x:v>
      </x:c>
      <x:c r="G634" s="8"/>
    </x:row>
    <x:row r="635">
      <x:c r="A635" s="6" t="n">
        <x:v>45474</x:v>
      </x:c>
      <x:c r="B635" s="5" t="str">
        <x:v>Legal &amp; Compliance</x:v>
      </x:c>
      <x:c r="C635" s="5" t="str">
        <x:v>General &amp; Administrative</x:v>
      </x:c>
      <x:c r="D635" s="5" t="str">
        <x:v>US Central</x:v>
      </x:c>
      <x:c r="E635" s="10" t="n">
        <x:v>4</x:v>
      </x:c>
      <x:c r="F635" s="7" t="n">
        <x:v>67616.39</x:v>
      </x:c>
      <x:c r="G635" s="8"/>
    </x:row>
    <x:row r="636">
      <x:c r="A636" s="6" t="n">
        <x:v>45474</x:v>
      </x:c>
      <x:c r="B636" s="5" t="str">
        <x:v>Information Technology</x:v>
      </x:c>
      <x:c r="C636" s="5" t="str">
        <x:v>General &amp; Administrative</x:v>
      </x:c>
      <x:c r="D636" s="5" t="str">
        <x:v>US Central</x:v>
      </x:c>
      <x:c r="E636" s="10" t="n">
        <x:v>7</x:v>
      </x:c>
      <x:c r="F636" s="7" t="n">
        <x:v>89788.68</x:v>
      </x:c>
      <x:c r="G636" s="8"/>
    </x:row>
    <x:row r="637">
      <x:c r="A637" s="6" t="n">
        <x:v>45474</x:v>
      </x:c>
      <x:c r="B637" s="5" t="str">
        <x:v>Executive</x:v>
      </x:c>
      <x:c r="C637" s="5" t="str">
        <x:v>General &amp; Administrative</x:v>
      </x:c>
      <x:c r="D637" s="5" t="str">
        <x:v>US Central</x:v>
      </x:c>
      <x:c r="E637" s="10" t="n">
        <x:v>2</x:v>
      </x:c>
      <x:c r="F637" s="7" t="n">
        <x:v>53035.96</x:v>
      </x:c>
      <x:c r="G637" s="8"/>
    </x:row>
    <x:row r="638">
      <x:c r="A638" s="6" t="n">
        <x:v>45505</x:v>
      </x:c>
      <x:c r="B638" s="5" t="str">
        <x:v>Cloud Operations</x:v>
      </x:c>
      <x:c r="C638" s="5" t="str">
        <x:v>Cost of Revenue</x:v>
      </x:c>
      <x:c r="D638" s="5" t="str">
        <x:v>US Central</x:v>
      </x:c>
      <x:c r="E638" s="10" t="n">
        <x:v>12</x:v>
      </x:c>
      <x:c r="F638" s="7" t="n">
        <x:v>228843.09</x:v>
      </x:c>
      <x:c r="G638" s="8"/>
    </x:row>
    <x:row r="639">
      <x:c r="A639" s="6" t="n">
        <x:v>45505</x:v>
      </x:c>
      <x:c r="B639" s="5" t="str">
        <x:v>Customer Support</x:v>
      </x:c>
      <x:c r="C639" s="5" t="str">
        <x:v>Cost of Revenue</x:v>
      </x:c>
      <x:c r="D639" s="5" t="str">
        <x:v>US Central</x:v>
      </x:c>
      <x:c r="E639" s="10" t="n">
        <x:v>11</x:v>
      </x:c>
      <x:c r="F639" s="7" t="n">
        <x:v>103570.08</x:v>
      </x:c>
      <x:c r="G639" s="8"/>
    </x:row>
    <x:row r="640">
      <x:c r="A640" s="6" t="n">
        <x:v>45505</x:v>
      </x:c>
      <x:c r="B640" s="5" t="str">
        <x:v>Professional Services</x:v>
      </x:c>
      <x:c r="C640" s="5" t="str">
        <x:v>Cost of Revenue</x:v>
      </x:c>
      <x:c r="D640" s="5" t="str">
        <x:v>US Central</x:v>
      </x:c>
      <x:c r="E640" s="10" t="n">
        <x:v>29</x:v>
      </x:c>
      <x:c r="F640" s="7" t="n">
        <x:v>389814.02</x:v>
      </x:c>
      <x:c r="G640" s="8" t="n">
        <x:v>0.7639</x:v>
      </x:c>
    </x:row>
    <x:row r="641">
      <x:c r="A641" s="6" t="n">
        <x:v>45505</x:v>
      </x:c>
      <x:c r="B641" s="5" t="str">
        <x:v>Sales</x:v>
      </x:c>
      <x:c r="C641" s="5" t="str">
        <x:v>Sales &amp; Marketing</x:v>
      </x:c>
      <x:c r="D641" s="5" t="str">
        <x:v>US Central</x:v>
      </x:c>
      <x:c r="E641" s="10" t="n">
        <x:v>20</x:v>
      </x:c>
      <x:c r="F641" s="7" t="n">
        <x:v>283897.57</x:v>
      </x:c>
      <x:c r="G641" s="8"/>
    </x:row>
    <x:row r="642">
      <x:c r="A642" s="6" t="n">
        <x:v>45505</x:v>
      </x:c>
      <x:c r="B642" s="5" t="str">
        <x:v>Marketing</x:v>
      </x:c>
      <x:c r="C642" s="5" t="str">
        <x:v>Sales &amp; Marketing</x:v>
      </x:c>
      <x:c r="D642" s="5" t="str">
        <x:v>US Central</x:v>
      </x:c>
      <x:c r="E642" s="10" t="n">
        <x:v>7</x:v>
      </x:c>
      <x:c r="F642" s="7" t="n">
        <x:v>74737.86</x:v>
      </x:c>
      <x:c r="G642" s="8"/>
    </x:row>
    <x:row r="643">
      <x:c r="A643" s="6" t="n">
        <x:v>45505</x:v>
      </x:c>
      <x:c r="B643" s="5" t="str">
        <x:v>Product &amp; Engineering</x:v>
      </x:c>
      <x:c r="C643" s="5" t="str">
        <x:v>Research &amp; Development</x:v>
      </x:c>
      <x:c r="D643" s="5" t="str">
        <x:v>US Central</x:v>
      </x:c>
      <x:c r="E643" s="10" t="n">
        <x:v>30.2</x:v>
      </x:c>
      <x:c r="F643" s="7" t="n">
        <x:v>497837.4</x:v>
      </x:c>
      <x:c r="G643" s="8"/>
    </x:row>
    <x:row r="644">
      <x:c r="A644" s="6" t="n">
        <x:v>45505</x:v>
      </x:c>
      <x:c r="B644" s="5" t="str">
        <x:v>Finance</x:v>
      </x:c>
      <x:c r="C644" s="5" t="str">
        <x:v>General &amp; Administrative</x:v>
      </x:c>
      <x:c r="D644" s="5" t="str">
        <x:v>US Central</x:v>
      </x:c>
      <x:c r="E644" s="10" t="n">
        <x:v>7</x:v>
      </x:c>
      <x:c r="F644" s="7" t="n">
        <x:v>82618.5</x:v>
      </x:c>
      <x:c r="G644" s="8"/>
    </x:row>
    <x:row r="645">
      <x:c r="A645" s="6" t="n">
        <x:v>45505</x:v>
      </x:c>
      <x:c r="B645" s="5" t="str">
        <x:v>People</x:v>
      </x:c>
      <x:c r="C645" s="5" t="str">
        <x:v>General &amp; Administrative</x:v>
      </x:c>
      <x:c r="D645" s="5" t="str">
        <x:v>US Central</x:v>
      </x:c>
      <x:c r="E645" s="10" t="n">
        <x:v>5</x:v>
      </x:c>
      <x:c r="F645" s="7" t="n">
        <x:v>56858.71</x:v>
      </x:c>
      <x:c r="G645" s="8"/>
    </x:row>
    <x:row r="646">
      <x:c r="A646" s="6" t="n">
        <x:v>45505</x:v>
      </x:c>
      <x:c r="B646" s="5" t="str">
        <x:v>Legal &amp; Compliance</x:v>
      </x:c>
      <x:c r="C646" s="5" t="str">
        <x:v>General &amp; Administrative</x:v>
      </x:c>
      <x:c r="D646" s="5" t="str">
        <x:v>US Central</x:v>
      </x:c>
      <x:c r="E646" s="10" t="n">
        <x:v>4</x:v>
      </x:c>
      <x:c r="F646" s="7" t="n">
        <x:v>67616.39</x:v>
      </x:c>
      <x:c r="G646" s="8"/>
    </x:row>
    <x:row r="647">
      <x:c r="A647" s="6" t="n">
        <x:v>45505</x:v>
      </x:c>
      <x:c r="B647" s="5" t="str">
        <x:v>Information Technology</x:v>
      </x:c>
      <x:c r="C647" s="5" t="str">
        <x:v>General &amp; Administrative</x:v>
      </x:c>
      <x:c r="D647" s="5" t="str">
        <x:v>US Central</x:v>
      </x:c>
      <x:c r="E647" s="10" t="n">
        <x:v>7</x:v>
      </x:c>
      <x:c r="F647" s="7" t="n">
        <x:v>89788.68</x:v>
      </x:c>
      <x:c r="G647" s="8"/>
    </x:row>
    <x:row r="648">
      <x:c r="A648" s="6" t="n">
        <x:v>45505</x:v>
      </x:c>
      <x:c r="B648" s="5" t="str">
        <x:v>Executive</x:v>
      </x:c>
      <x:c r="C648" s="5" t="str">
        <x:v>General &amp; Administrative</x:v>
      </x:c>
      <x:c r="D648" s="5" t="str">
        <x:v>US Central</x:v>
      </x:c>
      <x:c r="E648" s="10" t="n">
        <x:v>2</x:v>
      </x:c>
      <x:c r="F648" s="7" t="n">
        <x:v>53035.96</x:v>
      </x:c>
      <x:c r="G648" s="8"/>
    </x:row>
    <x:row r="649">
      <x:c r="A649" s="6" t="n">
        <x:v>45536</x:v>
      </x:c>
      <x:c r="B649" s="5" t="str">
        <x:v>Cloud Operations</x:v>
      </x:c>
      <x:c r="C649" s="5" t="str">
        <x:v>Cost of Revenue</x:v>
      </x:c>
      <x:c r="D649" s="5" t="str">
        <x:v>US Central</x:v>
      </x:c>
      <x:c r="E649" s="10" t="n">
        <x:v>12</x:v>
      </x:c>
      <x:c r="F649" s="7" t="n">
        <x:v>228843.09</x:v>
      </x:c>
      <x:c r="G649" s="8"/>
    </x:row>
    <x:row r="650">
      <x:c r="A650" s="6" t="n">
        <x:v>45536</x:v>
      </x:c>
      <x:c r="B650" s="5" t="str">
        <x:v>Customer Support</x:v>
      </x:c>
      <x:c r="C650" s="5" t="str">
        <x:v>Cost of Revenue</x:v>
      </x:c>
      <x:c r="D650" s="5" t="str">
        <x:v>US Central</x:v>
      </x:c>
      <x:c r="E650" s="10" t="n">
        <x:v>11</x:v>
      </x:c>
      <x:c r="F650" s="7" t="n">
        <x:v>103570.08</x:v>
      </x:c>
      <x:c r="G650" s="8"/>
    </x:row>
    <x:row r="651">
      <x:c r="A651" s="6" t="n">
        <x:v>45536</x:v>
      </x:c>
      <x:c r="B651" s="5" t="str">
        <x:v>Professional Services</x:v>
      </x:c>
      <x:c r="C651" s="5" t="str">
        <x:v>Cost of Revenue</x:v>
      </x:c>
      <x:c r="D651" s="5" t="str">
        <x:v>US Central</x:v>
      </x:c>
      <x:c r="E651" s="10" t="n">
        <x:v>29</x:v>
      </x:c>
      <x:c r="F651" s="7" t="n">
        <x:v>389814.02</x:v>
      </x:c>
      <x:c r="G651" s="8" t="n">
        <x:v>0.7455</x:v>
      </x:c>
    </x:row>
    <x:row r="652">
      <x:c r="A652" s="6" t="n">
        <x:v>45536</x:v>
      </x:c>
      <x:c r="B652" s="5" t="str">
        <x:v>Sales</x:v>
      </x:c>
      <x:c r="C652" s="5" t="str">
        <x:v>Sales &amp; Marketing</x:v>
      </x:c>
      <x:c r="D652" s="5" t="str">
        <x:v>US Central</x:v>
      </x:c>
      <x:c r="E652" s="10" t="n">
        <x:v>20</x:v>
      </x:c>
      <x:c r="F652" s="7" t="n">
        <x:v>283897.57</x:v>
      </x:c>
      <x:c r="G652" s="8"/>
    </x:row>
    <x:row r="653">
      <x:c r="A653" s="6" t="n">
        <x:v>45536</x:v>
      </x:c>
      <x:c r="B653" s="5" t="str">
        <x:v>Marketing</x:v>
      </x:c>
      <x:c r="C653" s="5" t="str">
        <x:v>Sales &amp; Marketing</x:v>
      </x:c>
      <x:c r="D653" s="5" t="str">
        <x:v>US Central</x:v>
      </x:c>
      <x:c r="E653" s="10" t="n">
        <x:v>7</x:v>
      </x:c>
      <x:c r="F653" s="7" t="n">
        <x:v>74737.86</x:v>
      </x:c>
      <x:c r="G653" s="8"/>
    </x:row>
    <x:row r="654">
      <x:c r="A654" s="6" t="n">
        <x:v>45536</x:v>
      </x:c>
      <x:c r="B654" s="5" t="str">
        <x:v>Product &amp; Engineering</x:v>
      </x:c>
      <x:c r="C654" s="5" t="str">
        <x:v>Research &amp; Development</x:v>
      </x:c>
      <x:c r="D654" s="5" t="str">
        <x:v>US Central</x:v>
      </x:c>
      <x:c r="E654" s="10" t="n">
        <x:v>30.2</x:v>
      </x:c>
      <x:c r="F654" s="7" t="n">
        <x:v>497837.4</x:v>
      </x:c>
      <x:c r="G654" s="8"/>
    </x:row>
    <x:row r="655">
      <x:c r="A655" s="6" t="n">
        <x:v>45536</x:v>
      </x:c>
      <x:c r="B655" s="5" t="str">
        <x:v>Finance</x:v>
      </x:c>
      <x:c r="C655" s="5" t="str">
        <x:v>General &amp; Administrative</x:v>
      </x:c>
      <x:c r="D655" s="5" t="str">
        <x:v>US Central</x:v>
      </x:c>
      <x:c r="E655" s="10" t="n">
        <x:v>7</x:v>
      </x:c>
      <x:c r="F655" s="7" t="n">
        <x:v>82618.5</x:v>
      </x:c>
      <x:c r="G655" s="8"/>
    </x:row>
    <x:row r="656">
      <x:c r="A656" s="6" t="n">
        <x:v>45536</x:v>
      </x:c>
      <x:c r="B656" s="5" t="str">
        <x:v>People</x:v>
      </x:c>
      <x:c r="C656" s="5" t="str">
        <x:v>General &amp; Administrative</x:v>
      </x:c>
      <x:c r="D656" s="5" t="str">
        <x:v>US Central</x:v>
      </x:c>
      <x:c r="E656" s="10" t="n">
        <x:v>5</x:v>
      </x:c>
      <x:c r="F656" s="7" t="n">
        <x:v>56858.71</x:v>
      </x:c>
      <x:c r="G656" s="8"/>
    </x:row>
    <x:row r="657">
      <x:c r="A657" s="6" t="n">
        <x:v>45536</x:v>
      </x:c>
      <x:c r="B657" s="5" t="str">
        <x:v>Legal &amp; Compliance</x:v>
      </x:c>
      <x:c r="C657" s="5" t="str">
        <x:v>General &amp; Administrative</x:v>
      </x:c>
      <x:c r="D657" s="5" t="str">
        <x:v>US Central</x:v>
      </x:c>
      <x:c r="E657" s="10" t="n">
        <x:v>4</x:v>
      </x:c>
      <x:c r="F657" s="7" t="n">
        <x:v>67616.39</x:v>
      </x:c>
      <x:c r="G657" s="8"/>
    </x:row>
    <x:row r="658">
      <x:c r="A658" s="6" t="n">
        <x:v>45536</x:v>
      </x:c>
      <x:c r="B658" s="5" t="str">
        <x:v>Information Technology</x:v>
      </x:c>
      <x:c r="C658" s="5" t="str">
        <x:v>General &amp; Administrative</x:v>
      </x:c>
      <x:c r="D658" s="5" t="str">
        <x:v>US Central</x:v>
      </x:c>
      <x:c r="E658" s="10" t="n">
        <x:v>7</x:v>
      </x:c>
      <x:c r="F658" s="7" t="n">
        <x:v>89788.68</x:v>
      </x:c>
      <x:c r="G658" s="8"/>
    </x:row>
    <x:row r="659">
      <x:c r="A659" s="6" t="n">
        <x:v>45536</x:v>
      </x:c>
      <x:c r="B659" s="5" t="str">
        <x:v>Executive</x:v>
      </x:c>
      <x:c r="C659" s="5" t="str">
        <x:v>General &amp; Administrative</x:v>
      </x:c>
      <x:c r="D659" s="5" t="str">
        <x:v>US Central</x:v>
      </x:c>
      <x:c r="E659" s="10" t="n">
        <x:v>2</x:v>
      </x:c>
      <x:c r="F659" s="7" t="n">
        <x:v>53035.96</x:v>
      </x:c>
      <x:c r="G659" s="8"/>
    </x:row>
    <x:row r="660">
      <x:c r="A660" s="6" t="n">
        <x:v>45566</x:v>
      </x:c>
      <x:c r="B660" s="5" t="str">
        <x:v>Cloud Operations</x:v>
      </x:c>
      <x:c r="C660" s="5" t="str">
        <x:v>Cost of Revenue</x:v>
      </x:c>
      <x:c r="D660" s="5" t="str">
        <x:v>US Central</x:v>
      </x:c>
      <x:c r="E660" s="10" t="n">
        <x:v>12</x:v>
      </x:c>
      <x:c r="F660" s="7" t="n">
        <x:v>228843.09</x:v>
      </x:c>
      <x:c r="G660" s="8"/>
    </x:row>
    <x:row r="661">
      <x:c r="A661" s="6" t="n">
        <x:v>45566</x:v>
      </x:c>
      <x:c r="B661" s="5" t="str">
        <x:v>Customer Support</x:v>
      </x:c>
      <x:c r="C661" s="5" t="str">
        <x:v>Cost of Revenue</x:v>
      </x:c>
      <x:c r="D661" s="5" t="str">
        <x:v>US Central</x:v>
      </x:c>
      <x:c r="E661" s="10" t="n">
        <x:v>12</x:v>
      </x:c>
      <x:c r="F661" s="7" t="n">
        <x:v>114399.39</x:v>
      </x:c>
      <x:c r="G661" s="8"/>
    </x:row>
    <x:row r="662">
      <x:c r="A662" s="6" t="n">
        <x:v>45566</x:v>
      </x:c>
      <x:c r="B662" s="5" t="str">
        <x:v>Professional Services</x:v>
      </x:c>
      <x:c r="C662" s="5" t="str">
        <x:v>Cost of Revenue</x:v>
      </x:c>
      <x:c r="D662" s="5" t="str">
        <x:v>US Central</x:v>
      </x:c>
      <x:c r="E662" s="10" t="n">
        <x:v>29</x:v>
      </x:c>
      <x:c r="F662" s="7" t="n">
        <x:v>391188.91</x:v>
      </x:c>
      <x:c r="G662" s="8" t="n">
        <x:v>0.745</x:v>
      </x:c>
    </x:row>
    <x:row r="663">
      <x:c r="A663" s="6" t="n">
        <x:v>45566</x:v>
      </x:c>
      <x:c r="B663" s="5" t="str">
        <x:v>Sales</x:v>
      </x:c>
      <x:c r="C663" s="5" t="str">
        <x:v>Sales &amp; Marketing</x:v>
      </x:c>
      <x:c r="D663" s="5" t="str">
        <x:v>US Central</x:v>
      </x:c>
      <x:c r="E663" s="10" t="n">
        <x:v>19</x:v>
      </x:c>
      <x:c r="F663" s="7" t="n">
        <x:v>267415</x:v>
      </x:c>
      <x:c r="G663" s="8"/>
    </x:row>
    <x:row r="664">
      <x:c r="A664" s="6" t="n">
        <x:v>45566</x:v>
      </x:c>
      <x:c r="B664" s="5" t="str">
        <x:v>Marketing</x:v>
      </x:c>
      <x:c r="C664" s="5" t="str">
        <x:v>Sales &amp; Marketing</x:v>
      </x:c>
      <x:c r="D664" s="5" t="str">
        <x:v>US Central</x:v>
      </x:c>
      <x:c r="E664" s="10" t="n">
        <x:v>7</x:v>
      </x:c>
      <x:c r="F664" s="7" t="n">
        <x:v>74737.86</x:v>
      </x:c>
      <x:c r="G664" s="8"/>
    </x:row>
    <x:row r="665">
      <x:c r="A665" s="6" t="n">
        <x:v>45566</x:v>
      </x:c>
      <x:c r="B665" s="5" t="str">
        <x:v>Product &amp; Engineering</x:v>
      </x:c>
      <x:c r="C665" s="5" t="str">
        <x:v>Research &amp; Development</x:v>
      </x:c>
      <x:c r="D665" s="5" t="str">
        <x:v>US Central</x:v>
      </x:c>
      <x:c r="E665" s="10" t="n">
        <x:v>28.2</x:v>
      </x:c>
      <x:c r="F665" s="7" t="n">
        <x:v>466224.65</x:v>
      </x:c>
      <x:c r="G665" s="8"/>
    </x:row>
    <x:row r="666">
      <x:c r="A666" s="6" t="n">
        <x:v>45566</x:v>
      </x:c>
      <x:c r="B666" s="5" t="str">
        <x:v>Finance</x:v>
      </x:c>
      <x:c r="C666" s="5" t="str">
        <x:v>General &amp; Administrative</x:v>
      </x:c>
      <x:c r="D666" s="5" t="str">
        <x:v>US Central</x:v>
      </x:c>
      <x:c r="E666" s="10" t="n">
        <x:v>7</x:v>
      </x:c>
      <x:c r="F666" s="7" t="n">
        <x:v>82618.5</x:v>
      </x:c>
      <x:c r="G666" s="8"/>
    </x:row>
    <x:row r="667">
      <x:c r="A667" s="6" t="n">
        <x:v>45566</x:v>
      </x:c>
      <x:c r="B667" s="5" t="str">
        <x:v>People</x:v>
      </x:c>
      <x:c r="C667" s="5" t="str">
        <x:v>General &amp; Administrative</x:v>
      </x:c>
      <x:c r="D667" s="5" t="str">
        <x:v>US Central</x:v>
      </x:c>
      <x:c r="E667" s="10" t="n">
        <x:v>5</x:v>
      </x:c>
      <x:c r="F667" s="7" t="n">
        <x:v>56858.71</x:v>
      </x:c>
      <x:c r="G667" s="8"/>
    </x:row>
    <x:row r="668">
      <x:c r="A668" s="6" t="n">
        <x:v>45566</x:v>
      </x:c>
      <x:c r="B668" s="5" t="str">
        <x:v>Legal &amp; Compliance</x:v>
      </x:c>
      <x:c r="C668" s="5" t="str">
        <x:v>General &amp; Administrative</x:v>
      </x:c>
      <x:c r="D668" s="5" t="str">
        <x:v>US Central</x:v>
      </x:c>
      <x:c r="E668" s="10" t="n">
        <x:v>4</x:v>
      </x:c>
      <x:c r="F668" s="7" t="n">
        <x:v>67616.39</x:v>
      </x:c>
      <x:c r="G668" s="8"/>
    </x:row>
    <x:row r="669">
      <x:c r="A669" s="6" t="n">
        <x:v>45566</x:v>
      </x:c>
      <x:c r="B669" s="5" t="str">
        <x:v>Information Technology</x:v>
      </x:c>
      <x:c r="C669" s="5" t="str">
        <x:v>General &amp; Administrative</x:v>
      </x:c>
      <x:c r="D669" s="5" t="str">
        <x:v>US Central</x:v>
      </x:c>
      <x:c r="E669" s="10" t="n">
        <x:v>8</x:v>
      </x:c>
      <x:c r="F669" s="7" t="n">
        <x:v>103767.43</x:v>
      </x:c>
      <x:c r="G669" s="8"/>
    </x:row>
    <x:row r="670">
      <x:c r="A670" s="6" t="n">
        <x:v>45566</x:v>
      </x:c>
      <x:c r="B670" s="5" t="str">
        <x:v>Executive</x:v>
      </x:c>
      <x:c r="C670" s="5" t="str">
        <x:v>General &amp; Administrative</x:v>
      </x:c>
      <x:c r="D670" s="5" t="str">
        <x:v>US Central</x:v>
      </x:c>
      <x:c r="E670" s="10" t="n">
        <x:v>2</x:v>
      </x:c>
      <x:c r="F670" s="7" t="n">
        <x:v>53035.96</x:v>
      </x:c>
      <x:c r="G670" s="8"/>
    </x:row>
    <x:row r="671">
      <x:c r="A671" s="6" t="n">
        <x:v>45597</x:v>
      </x:c>
      <x:c r="B671" s="5" t="str">
        <x:v>Cloud Operations</x:v>
      </x:c>
      <x:c r="C671" s="5" t="str">
        <x:v>Cost of Revenue</x:v>
      </x:c>
      <x:c r="D671" s="5" t="str">
        <x:v>US Central</x:v>
      </x:c>
      <x:c r="E671" s="10" t="n">
        <x:v>12</x:v>
      </x:c>
      <x:c r="F671" s="7" t="n">
        <x:v>228843.09</x:v>
      </x:c>
      <x:c r="G671" s="8"/>
    </x:row>
    <x:row r="672">
      <x:c r="A672" s="6" t="n">
        <x:v>45597</x:v>
      </x:c>
      <x:c r="B672" s="5" t="str">
        <x:v>Customer Support</x:v>
      </x:c>
      <x:c r="C672" s="5" t="str">
        <x:v>Cost of Revenue</x:v>
      </x:c>
      <x:c r="D672" s="5" t="str">
        <x:v>US Central</x:v>
      </x:c>
      <x:c r="E672" s="10" t="n">
        <x:v>12</x:v>
      </x:c>
      <x:c r="F672" s="7" t="n">
        <x:v>114399.39</x:v>
      </x:c>
      <x:c r="G672" s="8"/>
    </x:row>
    <x:row r="673">
      <x:c r="A673" s="6" t="n">
        <x:v>45597</x:v>
      </x:c>
      <x:c r="B673" s="5" t="str">
        <x:v>Professional Services</x:v>
      </x:c>
      <x:c r="C673" s="5" t="str">
        <x:v>Cost of Revenue</x:v>
      </x:c>
      <x:c r="D673" s="5" t="str">
        <x:v>US Central</x:v>
      </x:c>
      <x:c r="E673" s="10" t="n">
        <x:v>29</x:v>
      </x:c>
      <x:c r="F673" s="7" t="n">
        <x:v>391188.91</x:v>
      </x:c>
      <x:c r="G673" s="8" t="n">
        <x:v>0.7515</x:v>
      </x:c>
    </x:row>
    <x:row r="674">
      <x:c r="A674" s="6" t="n">
        <x:v>45597</x:v>
      </x:c>
      <x:c r="B674" s="5" t="str">
        <x:v>Sales</x:v>
      </x:c>
      <x:c r="C674" s="5" t="str">
        <x:v>Sales &amp; Marketing</x:v>
      </x:c>
      <x:c r="D674" s="5" t="str">
        <x:v>US Central</x:v>
      </x:c>
      <x:c r="E674" s="10" t="n">
        <x:v>19</x:v>
      </x:c>
      <x:c r="F674" s="7" t="n">
        <x:v>267415</x:v>
      </x:c>
      <x:c r="G674" s="8"/>
    </x:row>
    <x:row r="675">
      <x:c r="A675" s="6" t="n">
        <x:v>45597</x:v>
      </x:c>
      <x:c r="B675" s="5" t="str">
        <x:v>Marketing</x:v>
      </x:c>
      <x:c r="C675" s="5" t="str">
        <x:v>Sales &amp; Marketing</x:v>
      </x:c>
      <x:c r="D675" s="5" t="str">
        <x:v>US Central</x:v>
      </x:c>
      <x:c r="E675" s="10" t="n">
        <x:v>7</x:v>
      </x:c>
      <x:c r="F675" s="7" t="n">
        <x:v>74737.86</x:v>
      </x:c>
      <x:c r="G675" s="8"/>
    </x:row>
    <x:row r="676">
      <x:c r="A676" s="6" t="n">
        <x:v>45597</x:v>
      </x:c>
      <x:c r="B676" s="5" t="str">
        <x:v>Product &amp; Engineering</x:v>
      </x:c>
      <x:c r="C676" s="5" t="str">
        <x:v>Research &amp; Development</x:v>
      </x:c>
      <x:c r="D676" s="5" t="str">
        <x:v>US Central</x:v>
      </x:c>
      <x:c r="E676" s="10" t="n">
        <x:v>28.2</x:v>
      </x:c>
      <x:c r="F676" s="7" t="n">
        <x:v>466224.65</x:v>
      </x:c>
      <x:c r="G676" s="8"/>
    </x:row>
    <x:row r="677">
      <x:c r="A677" s="6" t="n">
        <x:v>45597</x:v>
      </x:c>
      <x:c r="B677" s="5" t="str">
        <x:v>Finance</x:v>
      </x:c>
      <x:c r="C677" s="5" t="str">
        <x:v>General &amp; Administrative</x:v>
      </x:c>
      <x:c r="D677" s="5" t="str">
        <x:v>US Central</x:v>
      </x:c>
      <x:c r="E677" s="10" t="n">
        <x:v>7</x:v>
      </x:c>
      <x:c r="F677" s="7" t="n">
        <x:v>82618.5</x:v>
      </x:c>
      <x:c r="G677" s="8"/>
    </x:row>
    <x:row r="678">
      <x:c r="A678" s="6" t="n">
        <x:v>45597</x:v>
      </x:c>
      <x:c r="B678" s="5" t="str">
        <x:v>People</x:v>
      </x:c>
      <x:c r="C678" s="5" t="str">
        <x:v>General &amp; Administrative</x:v>
      </x:c>
      <x:c r="D678" s="5" t="str">
        <x:v>US Central</x:v>
      </x:c>
      <x:c r="E678" s="10" t="n">
        <x:v>5</x:v>
      </x:c>
      <x:c r="F678" s="7" t="n">
        <x:v>56858.71</x:v>
      </x:c>
      <x:c r="G678" s="8"/>
    </x:row>
    <x:row r="679">
      <x:c r="A679" s="6" t="n">
        <x:v>45597</x:v>
      </x:c>
      <x:c r="B679" s="5" t="str">
        <x:v>Legal &amp; Compliance</x:v>
      </x:c>
      <x:c r="C679" s="5" t="str">
        <x:v>General &amp; Administrative</x:v>
      </x:c>
      <x:c r="D679" s="5" t="str">
        <x:v>US Central</x:v>
      </x:c>
      <x:c r="E679" s="10" t="n">
        <x:v>4</x:v>
      </x:c>
      <x:c r="F679" s="7" t="n">
        <x:v>67616.39</x:v>
      </x:c>
      <x:c r="G679" s="8"/>
    </x:row>
    <x:row r="680">
      <x:c r="A680" s="6" t="n">
        <x:v>45597</x:v>
      </x:c>
      <x:c r="B680" s="5" t="str">
        <x:v>Information Technology</x:v>
      </x:c>
      <x:c r="C680" s="5" t="str">
        <x:v>General &amp; Administrative</x:v>
      </x:c>
      <x:c r="D680" s="5" t="str">
        <x:v>US Central</x:v>
      </x:c>
      <x:c r="E680" s="10" t="n">
        <x:v>8</x:v>
      </x:c>
      <x:c r="F680" s="7" t="n">
        <x:v>103767.43</x:v>
      </x:c>
      <x:c r="G680" s="8"/>
    </x:row>
    <x:row r="681">
      <x:c r="A681" s="6" t="n">
        <x:v>45597</x:v>
      </x:c>
      <x:c r="B681" s="5" t="str">
        <x:v>Executive</x:v>
      </x:c>
      <x:c r="C681" s="5" t="str">
        <x:v>General &amp; Administrative</x:v>
      </x:c>
      <x:c r="D681" s="5" t="str">
        <x:v>US Central</x:v>
      </x:c>
      <x:c r="E681" s="10" t="n">
        <x:v>2</x:v>
      </x:c>
      <x:c r="F681" s="7" t="n">
        <x:v>53035.96</x:v>
      </x:c>
      <x:c r="G681" s="8"/>
    </x:row>
    <x:row r="682">
      <x:c r="A682" s="6" t="n">
        <x:v>45627</x:v>
      </x:c>
      <x:c r="B682" s="5" t="str">
        <x:v>Cloud Operations</x:v>
      </x:c>
      <x:c r="C682" s="5" t="str">
        <x:v>Cost of Revenue</x:v>
      </x:c>
      <x:c r="D682" s="5" t="str">
        <x:v>US Central</x:v>
      </x:c>
      <x:c r="E682" s="10" t="n">
        <x:v>12</x:v>
      </x:c>
      <x:c r="F682" s="7" t="n">
        <x:v>228843.09</x:v>
      </x:c>
      <x:c r="G682" s="8"/>
    </x:row>
    <x:row r="683">
      <x:c r="A683" s="6" t="n">
        <x:v>45627</x:v>
      </x:c>
      <x:c r="B683" s="5" t="str">
        <x:v>Customer Support</x:v>
      </x:c>
      <x:c r="C683" s="5" t="str">
        <x:v>Cost of Revenue</x:v>
      </x:c>
      <x:c r="D683" s="5" t="str">
        <x:v>US Central</x:v>
      </x:c>
      <x:c r="E683" s="10" t="n">
        <x:v>12</x:v>
      </x:c>
      <x:c r="F683" s="7" t="n">
        <x:v>114399.39</x:v>
      </x:c>
      <x:c r="G683" s="8"/>
    </x:row>
    <x:row r="684">
      <x:c r="A684" s="6" t="n">
        <x:v>45627</x:v>
      </x:c>
      <x:c r="B684" s="5" t="str">
        <x:v>Professional Services</x:v>
      </x:c>
      <x:c r="C684" s="5" t="str">
        <x:v>Cost of Revenue</x:v>
      </x:c>
      <x:c r="D684" s="5" t="str">
        <x:v>US Central</x:v>
      </x:c>
      <x:c r="E684" s="10" t="n">
        <x:v>29</x:v>
      </x:c>
      <x:c r="F684" s="7" t="n">
        <x:v>391188.91</x:v>
      </x:c>
      <x:c r="G684" s="8" t="n">
        <x:v>0.7033</x:v>
      </x:c>
    </x:row>
    <x:row r="685">
      <x:c r="A685" s="6" t="n">
        <x:v>45627</x:v>
      </x:c>
      <x:c r="B685" s="5" t="str">
        <x:v>Sales</x:v>
      </x:c>
      <x:c r="C685" s="5" t="str">
        <x:v>Sales &amp; Marketing</x:v>
      </x:c>
      <x:c r="D685" s="5" t="str">
        <x:v>US Central</x:v>
      </x:c>
      <x:c r="E685" s="10" t="n">
        <x:v>19</x:v>
      </x:c>
      <x:c r="F685" s="7" t="n">
        <x:v>267415</x:v>
      </x:c>
      <x:c r="G685" s="8"/>
    </x:row>
    <x:row r="686">
      <x:c r="A686" s="6" t="n">
        <x:v>45627</x:v>
      </x:c>
      <x:c r="B686" s="5" t="str">
        <x:v>Marketing</x:v>
      </x:c>
      <x:c r="C686" s="5" t="str">
        <x:v>Sales &amp; Marketing</x:v>
      </x:c>
      <x:c r="D686" s="5" t="str">
        <x:v>US Central</x:v>
      </x:c>
      <x:c r="E686" s="10" t="n">
        <x:v>7</x:v>
      </x:c>
      <x:c r="F686" s="7" t="n">
        <x:v>74737.86</x:v>
      </x:c>
      <x:c r="G686" s="8"/>
    </x:row>
    <x:row r="687">
      <x:c r="A687" s="6" t="n">
        <x:v>45627</x:v>
      </x:c>
      <x:c r="B687" s="5" t="str">
        <x:v>Product &amp; Engineering</x:v>
      </x:c>
      <x:c r="C687" s="5" t="str">
        <x:v>Research &amp; Development</x:v>
      </x:c>
      <x:c r="D687" s="5" t="str">
        <x:v>US Central</x:v>
      </x:c>
      <x:c r="E687" s="10" t="n">
        <x:v>30.2</x:v>
      </x:c>
      <x:c r="F687" s="7" t="n">
        <x:v>491826.96</x:v>
      </x:c>
      <x:c r="G687" s="8"/>
    </x:row>
    <x:row r="688">
      <x:c r="A688" s="6" t="n">
        <x:v>45627</x:v>
      </x:c>
      <x:c r="B688" s="5" t="str">
        <x:v>Finance</x:v>
      </x:c>
      <x:c r="C688" s="5" t="str">
        <x:v>General &amp; Administrative</x:v>
      </x:c>
      <x:c r="D688" s="5" t="str">
        <x:v>US Central</x:v>
      </x:c>
      <x:c r="E688" s="10" t="n">
        <x:v>7</x:v>
      </x:c>
      <x:c r="F688" s="7" t="n">
        <x:v>82618.5</x:v>
      </x:c>
      <x:c r="G688" s="8"/>
    </x:row>
    <x:row r="689">
      <x:c r="A689" s="6" t="n">
        <x:v>45627</x:v>
      </x:c>
      <x:c r="B689" s="5" t="str">
        <x:v>People</x:v>
      </x:c>
      <x:c r="C689" s="5" t="str">
        <x:v>General &amp; Administrative</x:v>
      </x:c>
      <x:c r="D689" s="5" t="str">
        <x:v>US Central</x:v>
      </x:c>
      <x:c r="E689" s="10" t="n">
        <x:v>5</x:v>
      </x:c>
      <x:c r="F689" s="7" t="n">
        <x:v>56858.71</x:v>
      </x:c>
      <x:c r="G689" s="8"/>
    </x:row>
    <x:row r="690">
      <x:c r="A690" s="6" t="n">
        <x:v>45627</x:v>
      </x:c>
      <x:c r="B690" s="5" t="str">
        <x:v>Legal &amp; Compliance</x:v>
      </x:c>
      <x:c r="C690" s="5" t="str">
        <x:v>General &amp; Administrative</x:v>
      </x:c>
      <x:c r="D690" s="5" t="str">
        <x:v>US Central</x:v>
      </x:c>
      <x:c r="E690" s="10" t="n">
        <x:v>4</x:v>
      </x:c>
      <x:c r="F690" s="7" t="n">
        <x:v>67616.39</x:v>
      </x:c>
      <x:c r="G690" s="8"/>
    </x:row>
    <x:row r="691">
      <x:c r="A691" s="6" t="n">
        <x:v>45627</x:v>
      </x:c>
      <x:c r="B691" s="5" t="str">
        <x:v>Information Technology</x:v>
      </x:c>
      <x:c r="C691" s="5" t="str">
        <x:v>General &amp; Administrative</x:v>
      </x:c>
      <x:c r="D691" s="5" t="str">
        <x:v>US Central</x:v>
      </x:c>
      <x:c r="E691" s="10" t="n">
        <x:v>8</x:v>
      </x:c>
      <x:c r="F691" s="7" t="n">
        <x:v>103767.43</x:v>
      </x:c>
      <x:c r="G691" s="8"/>
    </x:row>
    <x:row r="692">
      <x:c r="A692" s="6" t="n">
        <x:v>45627</x:v>
      </x:c>
      <x:c r="B692" s="5" t="str">
        <x:v>Executive</x:v>
      </x:c>
      <x:c r="C692" s="5" t="str">
        <x:v>General &amp; Administrative</x:v>
      </x:c>
      <x:c r="D692" s="5" t="str">
        <x:v>US Central</x:v>
      </x:c>
      <x:c r="E692" s="10" t="n">
        <x:v>2</x:v>
      </x:c>
      <x:c r="F692" s="7" t="n">
        <x:v>53035.96</x:v>
      </x:c>
      <x:c r="G692" s="8"/>
    </x:row>
    <x:row r="693">
      <x:c r="A693" s="6" t="n">
        <x:v>45658</x:v>
      </x:c>
      <x:c r="B693" s="5" t="str">
        <x:v>Cloud Operations</x:v>
      </x:c>
      <x:c r="C693" s="5" t="str">
        <x:v>Cost of Revenue</x:v>
      </x:c>
      <x:c r="D693" s="5" t="str">
        <x:v>US Central</x:v>
      </x:c>
      <x:c r="E693" s="10" t="n">
        <x:v>12</x:v>
      </x:c>
      <x:c r="F693" s="7" t="n">
        <x:v>236852.6</x:v>
      </x:c>
      <x:c r="G693" s="8"/>
    </x:row>
    <x:row r="694">
      <x:c r="A694" s="6" t="n">
        <x:v>45658</x:v>
      </x:c>
      <x:c r="B694" s="5" t="str">
        <x:v>Customer Support</x:v>
      </x:c>
      <x:c r="C694" s="5" t="str">
        <x:v>Cost of Revenue</x:v>
      </x:c>
      <x:c r="D694" s="5" t="str">
        <x:v>US Central</x:v>
      </x:c>
      <x:c r="E694" s="10" t="n">
        <x:v>12</x:v>
      </x:c>
      <x:c r="F694" s="7" t="n">
        <x:v>118403.35</x:v>
      </x:c>
      <x:c r="G694" s="8"/>
    </x:row>
    <x:row r="695">
      <x:c r="A695" s="6" t="n">
        <x:v>45658</x:v>
      </x:c>
      <x:c r="B695" s="5" t="str">
        <x:v>Professional Services</x:v>
      </x:c>
      <x:c r="C695" s="5" t="str">
        <x:v>Cost of Revenue</x:v>
      </x:c>
      <x:c r="D695" s="5" t="str">
        <x:v>US Central</x:v>
      </x:c>
      <x:c r="E695" s="10" t="n">
        <x:v>29</x:v>
      </x:c>
      <x:c r="F695" s="7" t="n">
        <x:v>404880.54</x:v>
      </x:c>
      <x:c r="G695" s="8" t="n">
        <x:v>0.707</x:v>
      </x:c>
    </x:row>
    <x:row r="696">
      <x:c r="A696" s="6" t="n">
        <x:v>45658</x:v>
      </x:c>
      <x:c r="B696" s="5" t="str">
        <x:v>Sales</x:v>
      </x:c>
      <x:c r="C696" s="5" t="str">
        <x:v>Sales &amp; Marketing</x:v>
      </x:c>
      <x:c r="D696" s="5" t="str">
        <x:v>US Central</x:v>
      </x:c>
      <x:c r="E696" s="10" t="n">
        <x:v>19</x:v>
      </x:c>
      <x:c r="F696" s="7" t="n">
        <x:v>276774.54</x:v>
      </x:c>
      <x:c r="G696" s="8"/>
    </x:row>
    <x:row r="697">
      <x:c r="A697" s="6" t="n">
        <x:v>45658</x:v>
      </x:c>
      <x:c r="B697" s="5" t="str">
        <x:v>Marketing</x:v>
      </x:c>
      <x:c r="C697" s="5" t="str">
        <x:v>Sales &amp; Marketing</x:v>
      </x:c>
      <x:c r="D697" s="5" t="str">
        <x:v>US Central</x:v>
      </x:c>
      <x:c r="E697" s="10" t="n">
        <x:v>7</x:v>
      </x:c>
      <x:c r="F697" s="7" t="n">
        <x:v>77353.69</x:v>
      </x:c>
      <x:c r="G697" s="8"/>
    </x:row>
    <x:row r="698">
      <x:c r="A698" s="6" t="n">
        <x:v>45658</x:v>
      </x:c>
      <x:c r="B698" s="5" t="str">
        <x:v>Product &amp; Engineering</x:v>
      </x:c>
      <x:c r="C698" s="5" t="str">
        <x:v>Research &amp; Development</x:v>
      </x:c>
      <x:c r="D698" s="5" t="str">
        <x:v>US Central</x:v>
      </x:c>
      <x:c r="E698" s="10" t="n">
        <x:v>30.2</x:v>
      </x:c>
      <x:c r="F698" s="7" t="n">
        <x:v>509040.85</x:v>
      </x:c>
      <x:c r="G698" s="8"/>
    </x:row>
    <x:row r="699">
      <x:c r="A699" s="6" t="n">
        <x:v>45658</x:v>
      </x:c>
      <x:c r="B699" s="5" t="str">
        <x:v>Finance</x:v>
      </x:c>
      <x:c r="C699" s="5" t="str">
        <x:v>General &amp; Administrative</x:v>
      </x:c>
      <x:c r="D699" s="5" t="str">
        <x:v>US Central</x:v>
      </x:c>
      <x:c r="E699" s="10" t="n">
        <x:v>7</x:v>
      </x:c>
      <x:c r="F699" s="7" t="n">
        <x:v>85510.16</x:v>
      </x:c>
      <x:c r="G699" s="8"/>
    </x:row>
    <x:row r="700">
      <x:c r="A700" s="6" t="n">
        <x:v>45658</x:v>
      </x:c>
      <x:c r="B700" s="5" t="str">
        <x:v>People</x:v>
      </x:c>
      <x:c r="C700" s="5" t="str">
        <x:v>General &amp; Administrative</x:v>
      </x:c>
      <x:c r="D700" s="5" t="str">
        <x:v>US Central</x:v>
      </x:c>
      <x:c r="E700" s="10" t="n">
        <x:v>5</x:v>
      </x:c>
      <x:c r="F700" s="7" t="n">
        <x:v>58848.77</x:v>
      </x:c>
      <x:c r="G700" s="8"/>
    </x:row>
    <x:row r="701">
      <x:c r="A701" s="6" t="n">
        <x:v>45658</x:v>
      </x:c>
      <x:c r="B701" s="5" t="str">
        <x:v>Legal &amp; Compliance</x:v>
      </x:c>
      <x:c r="C701" s="5" t="str">
        <x:v>General &amp; Administrative</x:v>
      </x:c>
      <x:c r="D701" s="5" t="str">
        <x:v>US Central</x:v>
      </x:c>
      <x:c r="E701" s="10" t="n">
        <x:v>4</x:v>
      </x:c>
      <x:c r="F701" s="7" t="n">
        <x:v>69982.95</x:v>
      </x:c>
      <x:c r="G701" s="8"/>
    </x:row>
    <x:row r="702">
      <x:c r="A702" s="6" t="n">
        <x:v>45658</x:v>
      </x:c>
      <x:c r="B702" s="5" t="str">
        <x:v>Information Technology</x:v>
      </x:c>
      <x:c r="C702" s="5" t="str">
        <x:v>General &amp; Administrative</x:v>
      </x:c>
      <x:c r="D702" s="5" t="str">
        <x:v>US Central</x:v>
      </x:c>
      <x:c r="E702" s="10" t="n">
        <x:v>8</x:v>
      </x:c>
      <x:c r="F702" s="7" t="n">
        <x:v>107399.29</x:v>
      </x:c>
      <x:c r="G702" s="8"/>
    </x:row>
    <x:row r="703">
      <x:c r="A703" s="6" t="n">
        <x:v>45658</x:v>
      </x:c>
      <x:c r="B703" s="5" t="str">
        <x:v>Executive</x:v>
      </x:c>
      <x:c r="C703" s="5" t="str">
        <x:v>General &amp; Administrative</x:v>
      </x:c>
      <x:c r="D703" s="5" t="str">
        <x:v>US Central</x:v>
      </x:c>
      <x:c r="E703" s="10" t="n">
        <x:v>2</x:v>
      </x:c>
      <x:c r="F703" s="7" t="n">
        <x:v>54892.21</x:v>
      </x:c>
      <x:c r="G703" s="8"/>
    </x:row>
    <x:row r="704">
      <x:c r="A704" s="6" t="n">
        <x:v>45689</x:v>
      </x:c>
      <x:c r="B704" s="5" t="str">
        <x:v>Cloud Operations</x:v>
      </x:c>
      <x:c r="C704" s="5" t="str">
        <x:v>Cost of Revenue</x:v>
      </x:c>
      <x:c r="D704" s="5" t="str">
        <x:v>US Central</x:v>
      </x:c>
      <x:c r="E704" s="10" t="n">
        <x:v>11</x:v>
      </x:c>
      <x:c r="F704" s="7" t="n">
        <x:v>218152</x:v>
      </x:c>
      <x:c r="G704" s="8"/>
    </x:row>
    <x:row r="705">
      <x:c r="A705" s="6" t="n">
        <x:v>45689</x:v>
      </x:c>
      <x:c r="B705" s="5" t="str">
        <x:v>Customer Support</x:v>
      </x:c>
      <x:c r="C705" s="5" t="str">
        <x:v>Cost of Revenue</x:v>
      </x:c>
      <x:c r="D705" s="5" t="str">
        <x:v>US Central</x:v>
      </x:c>
      <x:c r="E705" s="10" t="n">
        <x:v>12</x:v>
      </x:c>
      <x:c r="F705" s="7" t="n">
        <x:v>118403.35</x:v>
      </x:c>
      <x:c r="G705" s="8"/>
    </x:row>
    <x:row r="706">
      <x:c r="A706" s="6" t="n">
        <x:v>45689</x:v>
      </x:c>
      <x:c r="B706" s="5" t="str">
        <x:v>Professional Services</x:v>
      </x:c>
      <x:c r="C706" s="5" t="str">
        <x:v>Cost of Revenue</x:v>
      </x:c>
      <x:c r="D706" s="5" t="str">
        <x:v>US Central</x:v>
      </x:c>
      <x:c r="E706" s="10" t="n">
        <x:v>29</x:v>
      </x:c>
      <x:c r="F706" s="7" t="n">
        <x:v>404880.54</x:v>
      </x:c>
      <x:c r="G706" s="8" t="n">
        <x:v>0.7125</x:v>
      </x:c>
    </x:row>
    <x:row r="707">
      <x:c r="A707" s="6" t="n">
        <x:v>45689</x:v>
      </x:c>
      <x:c r="B707" s="5" t="str">
        <x:v>Sales</x:v>
      </x:c>
      <x:c r="C707" s="5" t="str">
        <x:v>Sales &amp; Marketing</x:v>
      </x:c>
      <x:c r="D707" s="5" t="str">
        <x:v>US Central</x:v>
      </x:c>
      <x:c r="E707" s="10" t="n">
        <x:v>19</x:v>
      </x:c>
      <x:c r="F707" s="7" t="n">
        <x:v>276774.54</x:v>
      </x:c>
      <x:c r="G707" s="8"/>
    </x:row>
    <x:row r="708">
      <x:c r="A708" s="6" t="n">
        <x:v>45689</x:v>
      </x:c>
      <x:c r="B708" s="5" t="str">
        <x:v>Marketing</x:v>
      </x:c>
      <x:c r="C708" s="5" t="str">
        <x:v>Sales &amp; Marketing</x:v>
      </x:c>
      <x:c r="D708" s="5" t="str">
        <x:v>US Central</x:v>
      </x:c>
      <x:c r="E708" s="10" t="n">
        <x:v>7</x:v>
      </x:c>
      <x:c r="F708" s="7" t="n">
        <x:v>77353.69</x:v>
      </x:c>
      <x:c r="G708" s="8"/>
    </x:row>
    <x:row r="709">
      <x:c r="A709" s="6" t="n">
        <x:v>45689</x:v>
      </x:c>
      <x:c r="B709" s="5" t="str">
        <x:v>Product &amp; Engineering</x:v>
      </x:c>
      <x:c r="C709" s="5" t="str">
        <x:v>Research &amp; Development</x:v>
      </x:c>
      <x:c r="D709" s="5" t="str">
        <x:v>US Central</x:v>
      </x:c>
      <x:c r="E709" s="10" t="n">
        <x:v>31.2</x:v>
      </x:c>
      <x:c r="F709" s="7" t="n">
        <x:v>521563.91</x:v>
      </x:c>
      <x:c r="G709" s="8"/>
    </x:row>
    <x:row r="710">
      <x:c r="A710" s="6" t="n">
        <x:v>45689</x:v>
      </x:c>
      <x:c r="B710" s="5" t="str">
        <x:v>Finance</x:v>
      </x:c>
      <x:c r="C710" s="5" t="str">
        <x:v>General &amp; Administrative</x:v>
      </x:c>
      <x:c r="D710" s="5" t="str">
        <x:v>US Central</x:v>
      </x:c>
      <x:c r="E710" s="10" t="n">
        <x:v>7</x:v>
      </x:c>
      <x:c r="F710" s="7" t="n">
        <x:v>85510.16</x:v>
      </x:c>
      <x:c r="G710" s="8"/>
    </x:row>
    <x:row r="711">
      <x:c r="A711" s="6" t="n">
        <x:v>45689</x:v>
      </x:c>
      <x:c r="B711" s="5" t="str">
        <x:v>People</x:v>
      </x:c>
      <x:c r="C711" s="5" t="str">
        <x:v>General &amp; Administrative</x:v>
      </x:c>
      <x:c r="D711" s="5" t="str">
        <x:v>US Central</x:v>
      </x:c>
      <x:c r="E711" s="10" t="n">
        <x:v>5</x:v>
      </x:c>
      <x:c r="F711" s="7" t="n">
        <x:v>58848.77</x:v>
      </x:c>
      <x:c r="G711" s="8"/>
    </x:row>
    <x:row r="712">
      <x:c r="A712" s="6" t="n">
        <x:v>45689</x:v>
      </x:c>
      <x:c r="B712" s="5" t="str">
        <x:v>Legal &amp; Compliance</x:v>
      </x:c>
      <x:c r="C712" s="5" t="str">
        <x:v>General &amp; Administrative</x:v>
      </x:c>
      <x:c r="D712" s="5" t="str">
        <x:v>US Central</x:v>
      </x:c>
      <x:c r="E712" s="10" t="n">
        <x:v>4</x:v>
      </x:c>
      <x:c r="F712" s="7" t="n">
        <x:v>69982.95</x:v>
      </x:c>
      <x:c r="G712" s="8"/>
    </x:row>
    <x:row r="713">
      <x:c r="A713" s="6" t="n">
        <x:v>45689</x:v>
      </x:c>
      <x:c r="B713" s="5" t="str">
        <x:v>Information Technology</x:v>
      </x:c>
      <x:c r="C713" s="5" t="str">
        <x:v>General &amp; Administrative</x:v>
      </x:c>
      <x:c r="D713" s="5" t="str">
        <x:v>US Central</x:v>
      </x:c>
      <x:c r="E713" s="10" t="n">
        <x:v>8</x:v>
      </x:c>
      <x:c r="F713" s="7" t="n">
        <x:v>107399.29</x:v>
      </x:c>
      <x:c r="G713" s="8"/>
    </x:row>
    <x:row r="714">
      <x:c r="A714" s="6" t="n">
        <x:v>45689</x:v>
      </x:c>
      <x:c r="B714" s="5" t="str">
        <x:v>Executive</x:v>
      </x:c>
      <x:c r="C714" s="5" t="str">
        <x:v>General &amp; Administrative</x:v>
      </x:c>
      <x:c r="D714" s="5" t="str">
        <x:v>US Central</x:v>
      </x:c>
      <x:c r="E714" s="10" t="n">
        <x:v>2</x:v>
      </x:c>
      <x:c r="F714" s="7" t="n">
        <x:v>54892.21</x:v>
      </x:c>
      <x:c r="G714" s="8"/>
    </x:row>
    <x:row r="715">
      <x:c r="A715" s="6" t="n">
        <x:v>45717</x:v>
      </x:c>
      <x:c r="B715" s="5" t="str">
        <x:v>Cloud Operations</x:v>
      </x:c>
      <x:c r="C715" s="5" t="str">
        <x:v>Cost of Revenue</x:v>
      </x:c>
      <x:c r="D715" s="5" t="str">
        <x:v>US Central</x:v>
      </x:c>
      <x:c r="E715" s="10" t="n">
        <x:v>11</x:v>
      </x:c>
      <x:c r="F715" s="7" t="n">
        <x:v>218152</x:v>
      </x:c>
      <x:c r="G715" s="8"/>
    </x:row>
    <x:row r="716">
      <x:c r="A716" s="6" t="n">
        <x:v>45717</x:v>
      </x:c>
      <x:c r="B716" s="5" t="str">
        <x:v>Customer Support</x:v>
      </x:c>
      <x:c r="C716" s="5" t="str">
        <x:v>Cost of Revenue</x:v>
      </x:c>
      <x:c r="D716" s="5" t="str">
        <x:v>US Central</x:v>
      </x:c>
      <x:c r="E716" s="10" t="n">
        <x:v>12</x:v>
      </x:c>
      <x:c r="F716" s="7" t="n">
        <x:v>118403.35</x:v>
      </x:c>
      <x:c r="G716" s="8"/>
    </x:row>
    <x:row r="717">
      <x:c r="A717" s="6" t="n">
        <x:v>45717</x:v>
      </x:c>
      <x:c r="B717" s="5" t="str">
        <x:v>Professional Services</x:v>
      </x:c>
      <x:c r="C717" s="5" t="str">
        <x:v>Cost of Revenue</x:v>
      </x:c>
      <x:c r="D717" s="5" t="str">
        <x:v>US Central</x:v>
      </x:c>
      <x:c r="E717" s="10" t="n">
        <x:v>28</x:v>
      </x:c>
      <x:c r="F717" s="7" t="n">
        <x:v>381922.96</x:v>
      </x:c>
      <x:c r="G717" s="8" t="n">
        <x:v>0.7435</x:v>
      </x:c>
    </x:row>
    <x:row r="718">
      <x:c r="A718" s="6" t="n">
        <x:v>45717</x:v>
      </x:c>
      <x:c r="B718" s="5" t="str">
        <x:v>Sales</x:v>
      </x:c>
      <x:c r="C718" s="5" t="str">
        <x:v>Sales &amp; Marketing</x:v>
      </x:c>
      <x:c r="D718" s="5" t="str">
        <x:v>US Central</x:v>
      </x:c>
      <x:c r="E718" s="10" t="n">
        <x:v>19</x:v>
      </x:c>
      <x:c r="F718" s="7" t="n">
        <x:v>276774.54</x:v>
      </x:c>
      <x:c r="G718" s="8"/>
    </x:row>
    <x:row r="719">
      <x:c r="A719" s="6" t="n">
        <x:v>45717</x:v>
      </x:c>
      <x:c r="B719" s="5" t="str">
        <x:v>Marketing</x:v>
      </x:c>
      <x:c r="C719" s="5" t="str">
        <x:v>Sales &amp; Marketing</x:v>
      </x:c>
      <x:c r="D719" s="5" t="str">
        <x:v>US Central</x:v>
      </x:c>
      <x:c r="E719" s="10" t="n">
        <x:v>8</x:v>
      </x:c>
      <x:c r="F719" s="7" t="n">
        <x:v>91343.12</x:v>
      </x:c>
      <x:c r="G719" s="8"/>
    </x:row>
    <x:row r="720">
      <x:c r="A720" s="6" t="n">
        <x:v>45717</x:v>
      </x:c>
      <x:c r="B720" s="5" t="str">
        <x:v>Product &amp; Engineering</x:v>
      </x:c>
      <x:c r="C720" s="5" t="str">
        <x:v>Research &amp; Development</x:v>
      </x:c>
      <x:c r="D720" s="5" t="str">
        <x:v>US Central</x:v>
      </x:c>
      <x:c r="E720" s="10" t="n">
        <x:v>33.2</x:v>
      </x:c>
      <x:c r="F720" s="7" t="n">
        <x:v>543704.09</x:v>
      </x:c>
      <x:c r="G720" s="8"/>
    </x:row>
    <x:row r="721">
      <x:c r="A721" s="6" t="n">
        <x:v>45717</x:v>
      </x:c>
      <x:c r="B721" s="5" t="str">
        <x:v>Finance</x:v>
      </x:c>
      <x:c r="C721" s="5" t="str">
        <x:v>General &amp; Administrative</x:v>
      </x:c>
      <x:c r="D721" s="5" t="str">
        <x:v>US Central</x:v>
      </x:c>
      <x:c r="E721" s="10" t="n">
        <x:v>7</x:v>
      </x:c>
      <x:c r="F721" s="7" t="n">
        <x:v>85510.16</x:v>
      </x:c>
      <x:c r="G721" s="8"/>
    </x:row>
    <x:row r="722">
      <x:c r="A722" s="6" t="n">
        <x:v>45717</x:v>
      </x:c>
      <x:c r="B722" s="5" t="str">
        <x:v>People</x:v>
      </x:c>
      <x:c r="C722" s="5" t="str">
        <x:v>General &amp; Administrative</x:v>
      </x:c>
      <x:c r="D722" s="5" t="str">
        <x:v>US Central</x:v>
      </x:c>
      <x:c r="E722" s="10" t="n">
        <x:v>7</x:v>
      </x:c>
      <x:c r="F722" s="7" t="n">
        <x:v>77177.49</x:v>
      </x:c>
      <x:c r="G722" s="8"/>
    </x:row>
    <x:row r="723">
      <x:c r="A723" s="6" t="n">
        <x:v>45717</x:v>
      </x:c>
      <x:c r="B723" s="5" t="str">
        <x:v>Legal &amp; Compliance</x:v>
      </x:c>
      <x:c r="C723" s="5" t="str">
        <x:v>General &amp; Administrative</x:v>
      </x:c>
      <x:c r="D723" s="5" t="str">
        <x:v>US Central</x:v>
      </x:c>
      <x:c r="E723" s="10" t="n">
        <x:v>4</x:v>
      </x:c>
      <x:c r="F723" s="7" t="n">
        <x:v>69982.95</x:v>
      </x:c>
      <x:c r="G723" s="8"/>
    </x:row>
    <x:row r="724">
      <x:c r="A724" s="6" t="n">
        <x:v>45717</x:v>
      </x:c>
      <x:c r="B724" s="5" t="str">
        <x:v>Information Technology</x:v>
      </x:c>
      <x:c r="C724" s="5" t="str">
        <x:v>General &amp; Administrative</x:v>
      </x:c>
      <x:c r="D724" s="5" t="str">
        <x:v>US Central</x:v>
      </x:c>
      <x:c r="E724" s="10" t="n">
        <x:v>7</x:v>
      </x:c>
      <x:c r="F724" s="7" t="n">
        <x:v>94547.03</x:v>
      </x:c>
      <x:c r="G724" s="8"/>
    </x:row>
    <x:row r="725">
      <x:c r="A725" s="6" t="n">
        <x:v>45717</x:v>
      </x:c>
      <x:c r="B725" s="5" t="str">
        <x:v>Executive</x:v>
      </x:c>
      <x:c r="C725" s="5" t="str">
        <x:v>General &amp; Administrative</x:v>
      </x:c>
      <x:c r="D725" s="5" t="str">
        <x:v>US Central</x:v>
      </x:c>
      <x:c r="E725" s="10" t="n">
        <x:v>2</x:v>
      </x:c>
      <x:c r="F725" s="7" t="n">
        <x:v>54892.21</x:v>
      </x:c>
      <x:c r="G725" s="8"/>
    </x:row>
    <x:row r="726">
      <x:c r="A726" s="6" t="n">
        <x:v>45748</x:v>
      </x:c>
      <x:c r="B726" s="5" t="str">
        <x:v>Cloud Operations</x:v>
      </x:c>
      <x:c r="C726" s="5" t="str">
        <x:v>Cost of Revenue</x:v>
      </x:c>
      <x:c r="D726" s="5" t="str">
        <x:v>US Central</x:v>
      </x:c>
      <x:c r="E726" s="10" t="n">
        <x:v>11</x:v>
      </x:c>
      <x:c r="F726" s="7" t="n">
        <x:v>218152</x:v>
      </x:c>
      <x:c r="G726" s="8"/>
    </x:row>
    <x:row r="727">
      <x:c r="A727" s="6" t="n">
        <x:v>45748</x:v>
      </x:c>
      <x:c r="B727" s="5" t="str">
        <x:v>Customer Support</x:v>
      </x:c>
      <x:c r="C727" s="5" t="str">
        <x:v>Cost of Revenue</x:v>
      </x:c>
      <x:c r="D727" s="5" t="str">
        <x:v>US Central</x:v>
      </x:c>
      <x:c r="E727" s="10" t="n">
        <x:v>12</x:v>
      </x:c>
      <x:c r="F727" s="7" t="n">
        <x:v>118403.35</x:v>
      </x:c>
      <x:c r="G727" s="8"/>
    </x:row>
    <x:row r="728">
      <x:c r="A728" s="6" t="n">
        <x:v>45748</x:v>
      </x:c>
      <x:c r="B728" s="5" t="str">
        <x:v>Professional Services</x:v>
      </x:c>
      <x:c r="C728" s="5" t="str">
        <x:v>Cost of Revenue</x:v>
      </x:c>
      <x:c r="D728" s="5" t="str">
        <x:v>US Central</x:v>
      </x:c>
      <x:c r="E728" s="10" t="n">
        <x:v>28</x:v>
      </x:c>
      <x:c r="F728" s="7" t="n">
        <x:v>381922.96</x:v>
      </x:c>
      <x:c r="G728" s="8" t="n">
        <x:v>0.7746</x:v>
      </x:c>
    </x:row>
    <x:row r="729">
      <x:c r="A729" s="6" t="n">
        <x:v>45748</x:v>
      </x:c>
      <x:c r="B729" s="5" t="str">
        <x:v>Sales</x:v>
      </x:c>
      <x:c r="C729" s="5" t="str">
        <x:v>Sales &amp; Marketing</x:v>
      </x:c>
      <x:c r="D729" s="5" t="str">
        <x:v>US Central</x:v>
      </x:c>
      <x:c r="E729" s="10" t="n">
        <x:v>18</x:v>
      </x:c>
      <x:c r="F729" s="7" t="n">
        <x:v>266171.24</x:v>
      </x:c>
      <x:c r="G729" s="8"/>
    </x:row>
    <x:row r="730">
      <x:c r="A730" s="6" t="n">
        <x:v>45748</x:v>
      </x:c>
      <x:c r="B730" s="5" t="str">
        <x:v>Marketing</x:v>
      </x:c>
      <x:c r="C730" s="5" t="str">
        <x:v>Sales &amp; Marketing</x:v>
      </x:c>
      <x:c r="D730" s="5" t="str">
        <x:v>US Central</x:v>
      </x:c>
      <x:c r="E730" s="10" t="n">
        <x:v>8</x:v>
      </x:c>
      <x:c r="F730" s="7" t="n">
        <x:v>91343.12</x:v>
      </x:c>
      <x:c r="G730" s="8"/>
    </x:row>
    <x:row r="731">
      <x:c r="A731" s="6" t="n">
        <x:v>45748</x:v>
      </x:c>
      <x:c r="B731" s="5" t="str">
        <x:v>Product &amp; Engineering</x:v>
      </x:c>
      <x:c r="C731" s="5" t="str">
        <x:v>Research &amp; Development</x:v>
      </x:c>
      <x:c r="D731" s="5" t="str">
        <x:v>US Central</x:v>
      </x:c>
      <x:c r="E731" s="10" t="n">
        <x:v>34.2</x:v>
      </x:c>
      <x:c r="F731" s="7" t="n">
        <x:v>569260.59</x:v>
      </x:c>
      <x:c r="G731" s="8"/>
    </x:row>
    <x:row r="732">
      <x:c r="A732" s="6" t="n">
        <x:v>45748</x:v>
      </x:c>
      <x:c r="B732" s="5" t="str">
        <x:v>Finance</x:v>
      </x:c>
      <x:c r="C732" s="5" t="str">
        <x:v>General &amp; Administrative</x:v>
      </x:c>
      <x:c r="D732" s="5" t="str">
        <x:v>US Central</x:v>
      </x:c>
      <x:c r="E732" s="10" t="n">
        <x:v>7</x:v>
      </x:c>
      <x:c r="F732" s="7" t="n">
        <x:v>85510.16</x:v>
      </x:c>
      <x:c r="G732" s="8"/>
    </x:row>
    <x:row r="733">
      <x:c r="A733" s="6" t="n">
        <x:v>45748</x:v>
      </x:c>
      <x:c r="B733" s="5" t="str">
        <x:v>People</x:v>
      </x:c>
      <x:c r="C733" s="5" t="str">
        <x:v>General &amp; Administrative</x:v>
      </x:c>
      <x:c r="D733" s="5" t="str">
        <x:v>US Central</x:v>
      </x:c>
      <x:c r="E733" s="10" t="n">
        <x:v>7</x:v>
      </x:c>
      <x:c r="F733" s="7" t="n">
        <x:v>77177.49</x:v>
      </x:c>
      <x:c r="G733" s="8"/>
    </x:row>
    <x:row r="734">
      <x:c r="A734" s="6" t="n">
        <x:v>45748</x:v>
      </x:c>
      <x:c r="B734" s="5" t="str">
        <x:v>Legal &amp; Compliance</x:v>
      </x:c>
      <x:c r="C734" s="5" t="str">
        <x:v>General &amp; Administrative</x:v>
      </x:c>
      <x:c r="D734" s="5" t="str">
        <x:v>US Central</x:v>
      </x:c>
      <x:c r="E734" s="10" t="n">
        <x:v>4</x:v>
      </x:c>
      <x:c r="F734" s="7" t="n">
        <x:v>69982.95</x:v>
      </x:c>
      <x:c r="G734" s="8"/>
    </x:row>
    <x:row r="735">
      <x:c r="A735" s="6" t="n">
        <x:v>45748</x:v>
      </x:c>
      <x:c r="B735" s="5" t="str">
        <x:v>Information Technology</x:v>
      </x:c>
      <x:c r="C735" s="5" t="str">
        <x:v>General &amp; Administrative</x:v>
      </x:c>
      <x:c r="D735" s="5" t="str">
        <x:v>US Central</x:v>
      </x:c>
      <x:c r="E735" s="10" t="n">
        <x:v>7</x:v>
      </x:c>
      <x:c r="F735" s="7" t="n">
        <x:v>94547.03</x:v>
      </x:c>
      <x:c r="G735" s="8"/>
    </x:row>
    <x:row r="736">
      <x:c r="A736" s="6" t="n">
        <x:v>45748</x:v>
      </x:c>
      <x:c r="B736" s="5" t="str">
        <x:v>Executive</x:v>
      </x:c>
      <x:c r="C736" s="5" t="str">
        <x:v>General &amp; Administrative</x:v>
      </x:c>
      <x:c r="D736" s="5" t="str">
        <x:v>US Central</x:v>
      </x:c>
      <x:c r="E736" s="10" t="n">
        <x:v>2</x:v>
      </x:c>
      <x:c r="F736" s="7" t="n">
        <x:v>54892.21</x:v>
      </x:c>
      <x:c r="G736" s="8"/>
    </x:row>
    <x:row r="737">
      <x:c r="A737" s="6" t="n">
        <x:v>45778</x:v>
      </x:c>
      <x:c r="B737" s="5" t="str">
        <x:v>Cloud Operations</x:v>
      </x:c>
      <x:c r="C737" s="5" t="str">
        <x:v>Cost of Revenue</x:v>
      </x:c>
      <x:c r="D737" s="5" t="str">
        <x:v>US Central</x:v>
      </x:c>
      <x:c r="E737" s="10" t="n">
        <x:v>11</x:v>
      </x:c>
      <x:c r="F737" s="7" t="n">
        <x:v>218152</x:v>
      </x:c>
      <x:c r="G737" s="8"/>
    </x:row>
    <x:row r="738">
      <x:c r="A738" s="6" t="n">
        <x:v>45778</x:v>
      </x:c>
      <x:c r="B738" s="5" t="str">
        <x:v>Customer Support</x:v>
      </x:c>
      <x:c r="C738" s="5" t="str">
        <x:v>Cost of Revenue</x:v>
      </x:c>
      <x:c r="D738" s="5" t="str">
        <x:v>US Central</x:v>
      </x:c>
      <x:c r="E738" s="10" t="n">
        <x:v>12</x:v>
      </x:c>
      <x:c r="F738" s="7" t="n">
        <x:v>118403.35</x:v>
      </x:c>
      <x:c r="G738" s="8"/>
    </x:row>
    <x:row r="739">
      <x:c r="A739" s="6" t="n">
        <x:v>45778</x:v>
      </x:c>
      <x:c r="B739" s="5" t="str">
        <x:v>Professional Services</x:v>
      </x:c>
      <x:c r="C739" s="5" t="str">
        <x:v>Cost of Revenue</x:v>
      </x:c>
      <x:c r="D739" s="5" t="str">
        <x:v>US Central</x:v>
      </x:c>
      <x:c r="E739" s="10" t="n">
        <x:v>28</x:v>
      </x:c>
      <x:c r="F739" s="7" t="n">
        <x:v>381922.96</x:v>
      </x:c>
      <x:c r="G739" s="8" t="n">
        <x:v>0.7542</x:v>
      </x:c>
    </x:row>
    <x:row r="740">
      <x:c r="A740" s="6" t="n">
        <x:v>45778</x:v>
      </x:c>
      <x:c r="B740" s="5" t="str">
        <x:v>Sales</x:v>
      </x:c>
      <x:c r="C740" s="5" t="str">
        <x:v>Sales &amp; Marketing</x:v>
      </x:c>
      <x:c r="D740" s="5" t="str">
        <x:v>US Central</x:v>
      </x:c>
      <x:c r="E740" s="10" t="n">
        <x:v>18</x:v>
      </x:c>
      <x:c r="F740" s="7" t="n">
        <x:v>266171.24</x:v>
      </x:c>
      <x:c r="G740" s="8"/>
    </x:row>
    <x:row r="741">
      <x:c r="A741" s="6" t="n">
        <x:v>45778</x:v>
      </x:c>
      <x:c r="B741" s="5" t="str">
        <x:v>Marketing</x:v>
      </x:c>
      <x:c r="C741" s="5" t="str">
        <x:v>Sales &amp; Marketing</x:v>
      </x:c>
      <x:c r="D741" s="5" t="str">
        <x:v>US Central</x:v>
      </x:c>
      <x:c r="E741" s="10" t="n">
        <x:v>9</x:v>
      </x:c>
      <x:c r="F741" s="7" t="n">
        <x:v>105557.33</x:v>
      </x:c>
      <x:c r="G741" s="8"/>
    </x:row>
    <x:row r="742">
      <x:c r="A742" s="6" t="n">
        <x:v>45778</x:v>
      </x:c>
      <x:c r="B742" s="5" t="str">
        <x:v>Product &amp; Engineering</x:v>
      </x:c>
      <x:c r="C742" s="5" t="str">
        <x:v>Research &amp; Development</x:v>
      </x:c>
      <x:c r="D742" s="5" t="str">
        <x:v>US Central</x:v>
      </x:c>
      <x:c r="E742" s="10" t="n">
        <x:v>34.2</x:v>
      </x:c>
      <x:c r="F742" s="7" t="n">
        <x:v>569260.59</x:v>
      </x:c>
      <x:c r="G742" s="8"/>
    </x:row>
    <x:row r="743">
      <x:c r="A743" s="6" t="n">
        <x:v>45778</x:v>
      </x:c>
      <x:c r="B743" s="5" t="str">
        <x:v>Finance</x:v>
      </x:c>
      <x:c r="C743" s="5" t="str">
        <x:v>General &amp; Administrative</x:v>
      </x:c>
      <x:c r="D743" s="5" t="str">
        <x:v>US Central</x:v>
      </x:c>
      <x:c r="E743" s="10" t="n">
        <x:v>7</x:v>
      </x:c>
      <x:c r="F743" s="7" t="n">
        <x:v>85510.16</x:v>
      </x:c>
      <x:c r="G743" s="8"/>
    </x:row>
    <x:row r="744">
      <x:c r="A744" s="6" t="n">
        <x:v>45778</x:v>
      </x:c>
      <x:c r="B744" s="5" t="str">
        <x:v>People</x:v>
      </x:c>
      <x:c r="C744" s="5" t="str">
        <x:v>General &amp; Administrative</x:v>
      </x:c>
      <x:c r="D744" s="5" t="str">
        <x:v>US Central</x:v>
      </x:c>
      <x:c r="E744" s="10" t="n">
        <x:v>7</x:v>
      </x:c>
      <x:c r="F744" s="7" t="n">
        <x:v>77177.49</x:v>
      </x:c>
      <x:c r="G744" s="8"/>
    </x:row>
    <x:row r="745">
      <x:c r="A745" s="6" t="n">
        <x:v>45778</x:v>
      </x:c>
      <x:c r="B745" s="5" t="str">
        <x:v>Legal &amp; Compliance</x:v>
      </x:c>
      <x:c r="C745" s="5" t="str">
        <x:v>General &amp; Administrative</x:v>
      </x:c>
      <x:c r="D745" s="5" t="str">
        <x:v>US Central</x:v>
      </x:c>
      <x:c r="E745" s="10" t="n">
        <x:v>4</x:v>
      </x:c>
      <x:c r="F745" s="7" t="n">
        <x:v>69982.95</x:v>
      </x:c>
      <x:c r="G745" s="8"/>
    </x:row>
    <x:row r="746">
      <x:c r="A746" s="6" t="n">
        <x:v>45778</x:v>
      </x:c>
      <x:c r="B746" s="5" t="str">
        <x:v>Information Technology</x:v>
      </x:c>
      <x:c r="C746" s="5" t="str">
        <x:v>General &amp; Administrative</x:v>
      </x:c>
      <x:c r="D746" s="5" t="str">
        <x:v>US Central</x:v>
      </x:c>
      <x:c r="E746" s="10" t="n">
        <x:v>7</x:v>
      </x:c>
      <x:c r="F746" s="7" t="n">
        <x:v>94547.03</x:v>
      </x:c>
      <x:c r="G746" s="8"/>
    </x:row>
    <x:row r="747">
      <x:c r="A747" s="6" t="n">
        <x:v>45778</x:v>
      </x:c>
      <x:c r="B747" s="5" t="str">
        <x:v>Executive</x:v>
      </x:c>
      <x:c r="C747" s="5" t="str">
        <x:v>General &amp; Administrative</x:v>
      </x:c>
      <x:c r="D747" s="5" t="str">
        <x:v>US Central</x:v>
      </x:c>
      <x:c r="E747" s="10" t="n">
        <x:v>2</x:v>
      </x:c>
      <x:c r="F747" s="7" t="n">
        <x:v>54892.21</x:v>
      </x:c>
      <x:c r="G747" s="8"/>
    </x:row>
    <x:row r="748">
      <x:c r="A748" s="6" t="n">
        <x:v>45809</x:v>
      </x:c>
      <x:c r="B748" s="5" t="str">
        <x:v>Cloud Operations</x:v>
      </x:c>
      <x:c r="C748" s="5" t="str">
        <x:v>Cost of Revenue</x:v>
      </x:c>
      <x:c r="D748" s="5" t="str">
        <x:v>US Central</x:v>
      </x:c>
      <x:c r="E748" s="10" t="n">
        <x:v>10</x:v>
      </x:c>
      <x:c r="F748" s="7" t="n">
        <x:v>202098.43</x:v>
      </x:c>
      <x:c r="G748" s="8"/>
    </x:row>
    <x:row r="749">
      <x:c r="A749" s="6" t="n">
        <x:v>45809</x:v>
      </x:c>
      <x:c r="B749" s="5" t="str">
        <x:v>Customer Support</x:v>
      </x:c>
      <x:c r="C749" s="5" t="str">
        <x:v>Cost of Revenue</x:v>
      </x:c>
      <x:c r="D749" s="5" t="str">
        <x:v>US Central</x:v>
      </x:c>
      <x:c r="E749" s="10" t="n">
        <x:v>12</x:v>
      </x:c>
      <x:c r="F749" s="7" t="n">
        <x:v>118403.35</x:v>
      </x:c>
      <x:c r="G749" s="8"/>
    </x:row>
    <x:row r="750">
      <x:c r="A750" s="6" t="n">
        <x:v>45809</x:v>
      </x:c>
      <x:c r="B750" s="5" t="str">
        <x:v>Professional Services</x:v>
      </x:c>
      <x:c r="C750" s="5" t="str">
        <x:v>Cost of Revenue</x:v>
      </x:c>
      <x:c r="D750" s="5" t="str">
        <x:v>US Central</x:v>
      </x:c>
      <x:c r="E750" s="10" t="n">
        <x:v>28</x:v>
      </x:c>
      <x:c r="F750" s="7" t="n">
        <x:v>381922.96</x:v>
      </x:c>
      <x:c r="G750" s="8" t="n">
        <x:v>0.7584</x:v>
      </x:c>
    </x:row>
    <x:row r="751">
      <x:c r="A751" s="6" t="n">
        <x:v>45809</x:v>
      </x:c>
      <x:c r="B751" s="5" t="str">
        <x:v>Sales</x:v>
      </x:c>
      <x:c r="C751" s="5" t="str">
        <x:v>Sales &amp; Marketing</x:v>
      </x:c>
      <x:c r="D751" s="5" t="str">
        <x:v>US Central</x:v>
      </x:c>
      <x:c r="E751" s="10" t="n">
        <x:v>18</x:v>
      </x:c>
      <x:c r="F751" s="7" t="n">
        <x:v>266171.24</x:v>
      </x:c>
      <x:c r="G751" s="8"/>
    </x:row>
    <x:row r="752">
      <x:c r="A752" s="6" t="n">
        <x:v>45809</x:v>
      </x:c>
      <x:c r="B752" s="5" t="str">
        <x:v>Marketing</x:v>
      </x:c>
      <x:c r="C752" s="5" t="str">
        <x:v>Sales &amp; Marketing</x:v>
      </x:c>
      <x:c r="D752" s="5" t="str">
        <x:v>US Central</x:v>
      </x:c>
      <x:c r="E752" s="10" t="n">
        <x:v>9</x:v>
      </x:c>
      <x:c r="F752" s="7" t="n">
        <x:v>105557.33</x:v>
      </x:c>
      <x:c r="G752" s="8"/>
    </x:row>
    <x:row r="753">
      <x:c r="A753" s="6" t="n">
        <x:v>45809</x:v>
      </x:c>
      <x:c r="B753" s="5" t="str">
        <x:v>Product &amp; Engineering</x:v>
      </x:c>
      <x:c r="C753" s="5" t="str">
        <x:v>Research &amp; Development</x:v>
      </x:c>
      <x:c r="D753" s="5" t="str">
        <x:v>US Central</x:v>
      </x:c>
      <x:c r="E753" s="10" t="n">
        <x:v>34.2</x:v>
      </x:c>
      <x:c r="F753" s="7" t="n">
        <x:v>569260.59</x:v>
      </x:c>
      <x:c r="G753" s="8"/>
    </x:row>
    <x:row r="754">
      <x:c r="A754" s="6" t="n">
        <x:v>45809</x:v>
      </x:c>
      <x:c r="B754" s="5" t="str">
        <x:v>Finance</x:v>
      </x:c>
      <x:c r="C754" s="5" t="str">
        <x:v>General &amp; Administrative</x:v>
      </x:c>
      <x:c r="D754" s="5" t="str">
        <x:v>US Central</x:v>
      </x:c>
      <x:c r="E754" s="10" t="n">
        <x:v>7</x:v>
      </x:c>
      <x:c r="F754" s="7" t="n">
        <x:v>85510.16</x:v>
      </x:c>
      <x:c r="G754" s="8"/>
    </x:row>
    <x:row r="755">
      <x:c r="A755" s="6" t="n">
        <x:v>45809</x:v>
      </x:c>
      <x:c r="B755" s="5" t="str">
        <x:v>People</x:v>
      </x:c>
      <x:c r="C755" s="5" t="str">
        <x:v>General &amp; Administrative</x:v>
      </x:c>
      <x:c r="D755" s="5" t="str">
        <x:v>US Central</x:v>
      </x:c>
      <x:c r="E755" s="10" t="n">
        <x:v>7</x:v>
      </x:c>
      <x:c r="F755" s="7" t="n">
        <x:v>77177.49</x:v>
      </x:c>
      <x:c r="G755" s="8"/>
    </x:row>
    <x:row r="756">
      <x:c r="A756" s="6" t="n">
        <x:v>45809</x:v>
      </x:c>
      <x:c r="B756" s="5" t="str">
        <x:v>Legal &amp; Compliance</x:v>
      </x:c>
      <x:c r="C756" s="5" t="str">
        <x:v>General &amp; Administrative</x:v>
      </x:c>
      <x:c r="D756" s="5" t="str">
        <x:v>US Central</x:v>
      </x:c>
      <x:c r="E756" s="10" t="n">
        <x:v>4</x:v>
      </x:c>
      <x:c r="F756" s="7" t="n">
        <x:v>69982.95</x:v>
      </x:c>
      <x:c r="G756" s="8"/>
    </x:row>
    <x:row r="757">
      <x:c r="A757" s="6" t="n">
        <x:v>45809</x:v>
      </x:c>
      <x:c r="B757" s="5" t="str">
        <x:v>Information Technology</x:v>
      </x:c>
      <x:c r="C757" s="5" t="str">
        <x:v>General &amp; Administrative</x:v>
      </x:c>
      <x:c r="D757" s="5" t="str">
        <x:v>US Central</x:v>
      </x:c>
      <x:c r="E757" s="10" t="n">
        <x:v>7</x:v>
      </x:c>
      <x:c r="F757" s="7" t="n">
        <x:v>94547.03</x:v>
      </x:c>
      <x:c r="G757" s="8"/>
    </x:row>
    <x:row r="758">
      <x:c r="A758" s="6" t="n">
        <x:v>45809</x:v>
      </x:c>
      <x:c r="B758" s="5" t="str">
        <x:v>Executive</x:v>
      </x:c>
      <x:c r="C758" s="5" t="str">
        <x:v>General &amp; Administrative</x:v>
      </x:c>
      <x:c r="D758" s="5" t="str">
        <x:v>US Central</x:v>
      </x:c>
      <x:c r="E758" s="10" t="n">
        <x:v>2</x:v>
      </x:c>
      <x:c r="F758" s="7" t="n">
        <x:v>54892.21</x:v>
      </x:c>
      <x:c r="G758" s="8"/>
    </x:row>
    <x:row r="759">
      <x:c r="A759" s="6" t="n">
        <x:v>45839</x:v>
      </x:c>
      <x:c r="B759" s="5" t="str">
        <x:v>Cloud Operations</x:v>
      </x:c>
      <x:c r="C759" s="5" t="str">
        <x:v>Cost of Revenue</x:v>
      </x:c>
      <x:c r="D759" s="5" t="str">
        <x:v>US Central</x:v>
      </x:c>
      <x:c r="E759" s="10" t="n">
        <x:v>10</x:v>
      </x:c>
      <x:c r="F759" s="7" t="n">
        <x:v>202098.43</x:v>
      </x:c>
      <x:c r="G759" s="8"/>
    </x:row>
    <x:row r="760">
      <x:c r="A760" s="6" t="n">
        <x:v>45839</x:v>
      </x:c>
      <x:c r="B760" s="5" t="str">
        <x:v>Customer Support</x:v>
      </x:c>
      <x:c r="C760" s="5" t="str">
        <x:v>Cost of Revenue</x:v>
      </x:c>
      <x:c r="D760" s="5" t="str">
        <x:v>US Central</x:v>
      </x:c>
      <x:c r="E760" s="10" t="n">
        <x:v>12</x:v>
      </x:c>
      <x:c r="F760" s="7" t="n">
        <x:v>118403.35</x:v>
      </x:c>
      <x:c r="G760" s="8"/>
    </x:row>
    <x:row r="761">
      <x:c r="A761" s="6" t="n">
        <x:v>45839</x:v>
      </x:c>
      <x:c r="B761" s="5" t="str">
        <x:v>Professional Services</x:v>
      </x:c>
      <x:c r="C761" s="5" t="str">
        <x:v>Cost of Revenue</x:v>
      </x:c>
      <x:c r="D761" s="5" t="str">
        <x:v>US Central</x:v>
      </x:c>
      <x:c r="E761" s="10" t="n">
        <x:v>28</x:v>
      </x:c>
      <x:c r="F761" s="7" t="n">
        <x:v>381922.96</x:v>
      </x:c>
      <x:c r="G761" s="8" t="n">
        <x:v>0.7646</x:v>
      </x:c>
    </x:row>
    <x:row r="762">
      <x:c r="A762" s="6" t="n">
        <x:v>45839</x:v>
      </x:c>
      <x:c r="B762" s="5" t="str">
        <x:v>Sales</x:v>
      </x:c>
      <x:c r="C762" s="5" t="str">
        <x:v>Sales &amp; Marketing</x:v>
      </x:c>
      <x:c r="D762" s="5" t="str">
        <x:v>US Central</x:v>
      </x:c>
      <x:c r="E762" s="10" t="n">
        <x:v>18</x:v>
      </x:c>
      <x:c r="F762" s="7" t="n">
        <x:v>266171.24</x:v>
      </x:c>
      <x:c r="G762" s="8"/>
    </x:row>
    <x:row r="763">
      <x:c r="A763" s="6" t="n">
        <x:v>45839</x:v>
      </x:c>
      <x:c r="B763" s="5" t="str">
        <x:v>Marketing</x:v>
      </x:c>
      <x:c r="C763" s="5" t="str">
        <x:v>Sales &amp; Marketing</x:v>
      </x:c>
      <x:c r="D763" s="5" t="str">
        <x:v>US Central</x:v>
      </x:c>
      <x:c r="E763" s="10" t="n">
        <x:v>8</x:v>
      </x:c>
      <x:c r="F763" s="7" t="n">
        <x:v>92520.53</x:v>
      </x:c>
      <x:c r="G763" s="8"/>
    </x:row>
    <x:row r="764">
      <x:c r="A764" s="6" t="n">
        <x:v>45839</x:v>
      </x:c>
      <x:c r="B764" s="5" t="str">
        <x:v>Product &amp; Engineering</x:v>
      </x:c>
      <x:c r="C764" s="5" t="str">
        <x:v>Research &amp; Development</x:v>
      </x:c>
      <x:c r="D764" s="5" t="str">
        <x:v>US Central</x:v>
      </x:c>
      <x:c r="E764" s="10" t="n">
        <x:v>33.2</x:v>
      </x:c>
      <x:c r="F764" s="7" t="n">
        <x:v>553071.84</x:v>
      </x:c>
      <x:c r="G764" s="8"/>
    </x:row>
    <x:row r="765">
      <x:c r="A765" s="6" t="n">
        <x:v>45839</x:v>
      </x:c>
      <x:c r="B765" s="5" t="str">
        <x:v>Finance</x:v>
      </x:c>
      <x:c r="C765" s="5" t="str">
        <x:v>General &amp; Administrative</x:v>
      </x:c>
      <x:c r="D765" s="5" t="str">
        <x:v>US Central</x:v>
      </x:c>
      <x:c r="E765" s="10" t="n">
        <x:v>7</x:v>
      </x:c>
      <x:c r="F765" s="7" t="n">
        <x:v>85510.16</x:v>
      </x:c>
      <x:c r="G765" s="8"/>
    </x:row>
    <x:row r="766">
      <x:c r="A766" s="6" t="n">
        <x:v>45839</x:v>
      </x:c>
      <x:c r="B766" s="5" t="str">
        <x:v>People</x:v>
      </x:c>
      <x:c r="C766" s="5" t="str">
        <x:v>General &amp; Administrative</x:v>
      </x:c>
      <x:c r="D766" s="5" t="str">
        <x:v>US Central</x:v>
      </x:c>
      <x:c r="E766" s="10" t="n">
        <x:v>7</x:v>
      </x:c>
      <x:c r="F766" s="7" t="n">
        <x:v>77177.49</x:v>
      </x:c>
      <x:c r="G766" s="8"/>
    </x:row>
    <x:row r="767">
      <x:c r="A767" s="6" t="n">
        <x:v>45839</x:v>
      </x:c>
      <x:c r="B767" s="5" t="str">
        <x:v>Legal &amp; Compliance</x:v>
      </x:c>
      <x:c r="C767" s="5" t="str">
        <x:v>General &amp; Administrative</x:v>
      </x:c>
      <x:c r="D767" s="5" t="str">
        <x:v>US Central</x:v>
      </x:c>
      <x:c r="E767" s="10" t="n">
        <x:v>4</x:v>
      </x:c>
      <x:c r="F767" s="7" t="n">
        <x:v>69982.95</x:v>
      </x:c>
      <x:c r="G767" s="8"/>
    </x:row>
    <x:row r="768">
      <x:c r="A768" s="6" t="n">
        <x:v>45839</x:v>
      </x:c>
      <x:c r="B768" s="5" t="str">
        <x:v>Information Technology</x:v>
      </x:c>
      <x:c r="C768" s="5" t="str">
        <x:v>General &amp; Administrative</x:v>
      </x:c>
      <x:c r="D768" s="5" t="str">
        <x:v>US Central</x:v>
      </x:c>
      <x:c r="E768" s="10" t="n">
        <x:v>7</x:v>
      </x:c>
      <x:c r="F768" s="7" t="n">
        <x:v>94547.03</x:v>
      </x:c>
      <x:c r="G768" s="8"/>
    </x:row>
    <x:row r="769">
      <x:c r="A769" s="6" t="n">
        <x:v>45839</x:v>
      </x:c>
      <x:c r="B769" s="5" t="str">
        <x:v>Executive</x:v>
      </x:c>
      <x:c r="C769" s="5" t="str">
        <x:v>General &amp; Administrative</x:v>
      </x:c>
      <x:c r="D769" s="5" t="str">
        <x:v>US Central</x:v>
      </x:c>
      <x:c r="E769" s="10" t="n">
        <x:v>2</x:v>
      </x:c>
      <x:c r="F769" s="7" t="n">
        <x:v>54892.21</x:v>
      </x:c>
      <x:c r="G769" s="8"/>
    </x:row>
    <x:row r="770">
      <x:c r="A770" s="6" t="n">
        <x:v>45870</x:v>
      </x:c>
      <x:c r="B770" s="5" t="str">
        <x:v>Cloud Operations</x:v>
      </x:c>
      <x:c r="C770" s="5" t="str">
        <x:v>Cost of Revenue</x:v>
      </x:c>
      <x:c r="D770" s="5" t="str">
        <x:v>US Central</x:v>
      </x:c>
      <x:c r="E770" s="10" t="n">
        <x:v>10</x:v>
      </x:c>
      <x:c r="F770" s="7" t="n">
        <x:v>202098.43</x:v>
      </x:c>
      <x:c r="G770" s="8"/>
    </x:row>
    <x:row r="771">
      <x:c r="A771" s="6" t="n">
        <x:v>45870</x:v>
      </x:c>
      <x:c r="B771" s="5" t="str">
        <x:v>Customer Support</x:v>
      </x:c>
      <x:c r="C771" s="5" t="str">
        <x:v>Cost of Revenue</x:v>
      </x:c>
      <x:c r="D771" s="5" t="str">
        <x:v>US Central</x:v>
      </x:c>
      <x:c r="E771" s="10" t="n">
        <x:v>14</x:v>
      </x:c>
      <x:c r="F771" s="7" t="n">
        <x:v>134562.23</x:v>
      </x:c>
      <x:c r="G771" s="8"/>
    </x:row>
    <x:row r="772">
      <x:c r="A772" s="6" t="n">
        <x:v>45870</x:v>
      </x:c>
      <x:c r="B772" s="5" t="str">
        <x:v>Professional Services</x:v>
      </x:c>
      <x:c r="C772" s="5" t="str">
        <x:v>Cost of Revenue</x:v>
      </x:c>
      <x:c r="D772" s="5" t="str">
        <x:v>US Central</x:v>
      </x:c>
      <x:c r="E772" s="10" t="n">
        <x:v>28</x:v>
      </x:c>
      <x:c r="F772" s="7" t="n">
        <x:v>381922.96</x:v>
      </x:c>
      <x:c r="G772" s="8" t="n">
        <x:v>0.7588</x:v>
      </x:c>
    </x:row>
    <x:row r="773">
      <x:c r="A773" s="6" t="n">
        <x:v>45870</x:v>
      </x:c>
      <x:c r="B773" s="5" t="str">
        <x:v>Sales</x:v>
      </x:c>
      <x:c r="C773" s="5" t="str">
        <x:v>Sales &amp; Marketing</x:v>
      </x:c>
      <x:c r="D773" s="5" t="str">
        <x:v>US Central</x:v>
      </x:c>
      <x:c r="E773" s="10" t="n">
        <x:v>18</x:v>
      </x:c>
      <x:c r="F773" s="7" t="n">
        <x:v>266171.24</x:v>
      </x:c>
      <x:c r="G773" s="8"/>
    </x:row>
    <x:row r="774">
      <x:c r="A774" s="6" t="n">
        <x:v>45870</x:v>
      </x:c>
      <x:c r="B774" s="5" t="str">
        <x:v>Marketing</x:v>
      </x:c>
      <x:c r="C774" s="5" t="str">
        <x:v>Sales &amp; Marketing</x:v>
      </x:c>
      <x:c r="D774" s="5" t="str">
        <x:v>US Central</x:v>
      </x:c>
      <x:c r="E774" s="10" t="n">
        <x:v>8</x:v>
      </x:c>
      <x:c r="F774" s="7" t="n">
        <x:v>92520.53</x:v>
      </x:c>
      <x:c r="G774" s="8"/>
    </x:row>
    <x:row r="775">
      <x:c r="A775" s="6" t="n">
        <x:v>45870</x:v>
      </x:c>
      <x:c r="B775" s="5" t="str">
        <x:v>Product &amp; Engineering</x:v>
      </x:c>
      <x:c r="C775" s="5" t="str">
        <x:v>Research &amp; Development</x:v>
      </x:c>
      <x:c r="D775" s="5" t="str">
        <x:v>US Central</x:v>
      </x:c>
      <x:c r="E775" s="10" t="n">
        <x:v>34.2</x:v>
      </x:c>
      <x:c r="F775" s="7" t="n">
        <x:v>571231.76</x:v>
      </x:c>
      <x:c r="G775" s="8"/>
    </x:row>
    <x:row r="776">
      <x:c r="A776" s="6" t="n">
        <x:v>45870</x:v>
      </x:c>
      <x:c r="B776" s="5" t="str">
        <x:v>Finance</x:v>
      </x:c>
      <x:c r="C776" s="5" t="str">
        <x:v>General &amp; Administrative</x:v>
      </x:c>
      <x:c r="D776" s="5" t="str">
        <x:v>US Central</x:v>
      </x:c>
      <x:c r="E776" s="10" t="n">
        <x:v>7</x:v>
      </x:c>
      <x:c r="F776" s="7" t="n">
        <x:v>85510.16</x:v>
      </x:c>
      <x:c r="G776" s="8"/>
    </x:row>
    <x:row r="777">
      <x:c r="A777" s="6" t="n">
        <x:v>45870</x:v>
      </x:c>
      <x:c r="B777" s="5" t="str">
        <x:v>People</x:v>
      </x:c>
      <x:c r="C777" s="5" t="str">
        <x:v>General &amp; Administrative</x:v>
      </x:c>
      <x:c r="D777" s="5" t="str">
        <x:v>US Central</x:v>
      </x:c>
      <x:c r="E777" s="10" t="n">
        <x:v>7</x:v>
      </x:c>
      <x:c r="F777" s="7" t="n">
        <x:v>77177.49</x:v>
      </x:c>
      <x:c r="G777" s="8"/>
    </x:row>
    <x:row r="778">
      <x:c r="A778" s="6" t="n">
        <x:v>45870</x:v>
      </x:c>
      <x:c r="B778" s="5" t="str">
        <x:v>Legal &amp; Compliance</x:v>
      </x:c>
      <x:c r="C778" s="5" t="str">
        <x:v>General &amp; Administrative</x:v>
      </x:c>
      <x:c r="D778" s="5" t="str">
        <x:v>US Central</x:v>
      </x:c>
      <x:c r="E778" s="10" t="n">
        <x:v>4</x:v>
      </x:c>
      <x:c r="F778" s="7" t="n">
        <x:v>69982.95</x:v>
      </x:c>
      <x:c r="G778" s="8"/>
    </x:row>
    <x:row r="779">
      <x:c r="A779" s="6" t="n">
        <x:v>45870</x:v>
      </x:c>
      <x:c r="B779" s="5" t="str">
        <x:v>Information Technology</x:v>
      </x:c>
      <x:c r="C779" s="5" t="str">
        <x:v>General &amp; Administrative</x:v>
      </x:c>
      <x:c r="D779" s="5" t="str">
        <x:v>US Central</x:v>
      </x:c>
      <x:c r="E779" s="10" t="n">
        <x:v>7</x:v>
      </x:c>
      <x:c r="F779" s="7" t="n">
        <x:v>94547.03</x:v>
      </x:c>
      <x:c r="G779" s="8"/>
    </x:row>
    <x:row r="780">
      <x:c r="A780" s="6" t="n">
        <x:v>45870</x:v>
      </x:c>
      <x:c r="B780" s="5" t="str">
        <x:v>Executive</x:v>
      </x:c>
      <x:c r="C780" s="5" t="str">
        <x:v>General &amp; Administrative</x:v>
      </x:c>
      <x:c r="D780" s="5" t="str">
        <x:v>US Central</x:v>
      </x:c>
      <x:c r="E780" s="10" t="n">
        <x:v>2</x:v>
      </x:c>
      <x:c r="F780" s="7" t="n">
        <x:v>54892.21</x:v>
      </x:c>
      <x:c r="G780" s="8"/>
    </x:row>
    <x:row r="781">
      <x:c r="A781" s="6" t="n">
        <x:v>45901</x:v>
      </x:c>
      <x:c r="B781" s="5" t="str">
        <x:v>Cloud Operations</x:v>
      </x:c>
      <x:c r="C781" s="5" t="str">
        <x:v>Cost of Revenue</x:v>
      </x:c>
      <x:c r="D781" s="5" t="str">
        <x:v>US Central</x:v>
      </x:c>
      <x:c r="E781" s="10" t="n">
        <x:v>10</x:v>
      </x:c>
      <x:c r="F781" s="7" t="n">
        <x:v>202098.43</x:v>
      </x:c>
      <x:c r="G781" s="8"/>
    </x:row>
    <x:row r="782">
      <x:c r="A782" s="6" t="n">
        <x:v>45901</x:v>
      </x:c>
      <x:c r="B782" s="5" t="str">
        <x:v>Customer Support</x:v>
      </x:c>
      <x:c r="C782" s="5" t="str">
        <x:v>Cost of Revenue</x:v>
      </x:c>
      <x:c r="D782" s="5" t="str">
        <x:v>US Central</x:v>
      </x:c>
      <x:c r="E782" s="10" t="n">
        <x:v>14</x:v>
      </x:c>
      <x:c r="F782" s="7" t="n">
        <x:v>134562.23</x:v>
      </x:c>
      <x:c r="G782" s="8"/>
    </x:row>
    <x:row r="783">
      <x:c r="A783" s="6" t="n">
        <x:v>45901</x:v>
      </x:c>
      <x:c r="B783" s="5" t="str">
        <x:v>Professional Services</x:v>
      </x:c>
      <x:c r="C783" s="5" t="str">
        <x:v>Cost of Revenue</x:v>
      </x:c>
      <x:c r="D783" s="5" t="str">
        <x:v>US Central</x:v>
      </x:c>
      <x:c r="E783" s="10" t="n">
        <x:v>28</x:v>
      </x:c>
      <x:c r="F783" s="7" t="n">
        <x:v>381922.96</x:v>
      </x:c>
      <x:c r="G783" s="8" t="n">
        <x:v>0.7582</x:v>
      </x:c>
    </x:row>
    <x:row r="784">
      <x:c r="A784" s="6" t="n">
        <x:v>45901</x:v>
      </x:c>
      <x:c r="B784" s="5" t="str">
        <x:v>Sales</x:v>
      </x:c>
      <x:c r="C784" s="5" t="str">
        <x:v>Sales &amp; Marketing</x:v>
      </x:c>
      <x:c r="D784" s="5" t="str">
        <x:v>US Central</x:v>
      </x:c>
      <x:c r="E784" s="10" t="n">
        <x:v>18</x:v>
      </x:c>
      <x:c r="F784" s="7" t="n">
        <x:v>266171.24</x:v>
      </x:c>
      <x:c r="G784" s="8"/>
    </x:row>
    <x:row r="785">
      <x:c r="A785" s="6" t="n">
        <x:v>45901</x:v>
      </x:c>
      <x:c r="B785" s="5" t="str">
        <x:v>Marketing</x:v>
      </x:c>
      <x:c r="C785" s="5" t="str">
        <x:v>Sales &amp; Marketing</x:v>
      </x:c>
      <x:c r="D785" s="5" t="str">
        <x:v>US Central</x:v>
      </x:c>
      <x:c r="E785" s="10" t="n">
        <x:v>8</x:v>
      </x:c>
      <x:c r="F785" s="7" t="n">
        <x:v>92520.53</x:v>
      </x:c>
      <x:c r="G785" s="8"/>
    </x:row>
    <x:row r="786">
      <x:c r="A786" s="6" t="n">
        <x:v>45901</x:v>
      </x:c>
      <x:c r="B786" s="5" t="str">
        <x:v>Product &amp; Engineering</x:v>
      </x:c>
      <x:c r="C786" s="5" t="str">
        <x:v>Research &amp; Development</x:v>
      </x:c>
      <x:c r="D786" s="5" t="str">
        <x:v>US Central</x:v>
      </x:c>
      <x:c r="E786" s="10" t="n">
        <x:v>34.2</x:v>
      </x:c>
      <x:c r="F786" s="7" t="n">
        <x:v>571231.76</x:v>
      </x:c>
      <x:c r="G786" s="8"/>
    </x:row>
    <x:row r="787">
      <x:c r="A787" s="6" t="n">
        <x:v>45901</x:v>
      </x:c>
      <x:c r="B787" s="5" t="str">
        <x:v>Finance</x:v>
      </x:c>
      <x:c r="C787" s="5" t="str">
        <x:v>General &amp; Administrative</x:v>
      </x:c>
      <x:c r="D787" s="5" t="str">
        <x:v>US Central</x:v>
      </x:c>
      <x:c r="E787" s="10" t="n">
        <x:v>7</x:v>
      </x:c>
      <x:c r="F787" s="7" t="n">
        <x:v>85510.16</x:v>
      </x:c>
      <x:c r="G787" s="8"/>
    </x:row>
    <x:row r="788">
      <x:c r="A788" s="6" t="n">
        <x:v>45901</x:v>
      </x:c>
      <x:c r="B788" s="5" t="str">
        <x:v>People</x:v>
      </x:c>
      <x:c r="C788" s="5" t="str">
        <x:v>General &amp; Administrative</x:v>
      </x:c>
      <x:c r="D788" s="5" t="str">
        <x:v>US Central</x:v>
      </x:c>
      <x:c r="E788" s="10" t="n">
        <x:v>7</x:v>
      </x:c>
      <x:c r="F788" s="7" t="n">
        <x:v>77177.49</x:v>
      </x:c>
      <x:c r="G788" s="8"/>
    </x:row>
    <x:row r="789">
      <x:c r="A789" s="6" t="n">
        <x:v>45901</x:v>
      </x:c>
      <x:c r="B789" s="5" t="str">
        <x:v>Legal &amp; Compliance</x:v>
      </x:c>
      <x:c r="C789" s="5" t="str">
        <x:v>General &amp; Administrative</x:v>
      </x:c>
      <x:c r="D789" s="5" t="str">
        <x:v>US Central</x:v>
      </x:c>
      <x:c r="E789" s="10" t="n">
        <x:v>4</x:v>
      </x:c>
      <x:c r="F789" s="7" t="n">
        <x:v>69982.95</x:v>
      </x:c>
      <x:c r="G789" s="8"/>
    </x:row>
    <x:row r="790">
      <x:c r="A790" s="6" t="n">
        <x:v>45901</x:v>
      </x:c>
      <x:c r="B790" s="5" t="str">
        <x:v>Information Technology</x:v>
      </x:c>
      <x:c r="C790" s="5" t="str">
        <x:v>General &amp; Administrative</x:v>
      </x:c>
      <x:c r="D790" s="5" t="str">
        <x:v>US Central</x:v>
      </x:c>
      <x:c r="E790" s="10" t="n">
        <x:v>6</x:v>
      </x:c>
      <x:c r="F790" s="7" t="n">
        <x:v>78650.58</x:v>
      </x:c>
      <x:c r="G790" s="8"/>
    </x:row>
    <x:row r="791">
      <x:c r="A791" s="6" t="n">
        <x:v>45901</x:v>
      </x:c>
      <x:c r="B791" s="5" t="str">
        <x:v>Executive</x:v>
      </x:c>
      <x:c r="C791" s="5" t="str">
        <x:v>General &amp; Administrative</x:v>
      </x:c>
      <x:c r="D791" s="5" t="str">
        <x:v>US Central</x:v>
      </x:c>
      <x:c r="E791" s="10" t="n">
        <x:v>2</x:v>
      </x:c>
      <x:c r="F791" s="7" t="n">
        <x:v>54892.21</x:v>
      </x:c>
      <x:c r="G791" s="8"/>
    </x:row>
    <x:row r="792">
      <x:c r="A792" s="6" t="n">
        <x:v>45931</x:v>
      </x:c>
      <x:c r="B792" s="5" t="str">
        <x:v>Cloud Operations</x:v>
      </x:c>
      <x:c r="C792" s="5" t="str">
        <x:v>Cost of Revenue</x:v>
      </x:c>
      <x:c r="D792" s="5" t="str">
        <x:v>US Central</x:v>
      </x:c>
      <x:c r="E792" s="10" t="n">
        <x:v>10</x:v>
      </x:c>
      <x:c r="F792" s="7" t="n">
        <x:v>202098.43</x:v>
      </x:c>
      <x:c r="G792" s="8"/>
    </x:row>
    <x:row r="793">
      <x:c r="A793" s="6" t="n">
        <x:v>45931</x:v>
      </x:c>
      <x:c r="B793" s="5" t="str">
        <x:v>Customer Support</x:v>
      </x:c>
      <x:c r="C793" s="5" t="str">
        <x:v>Cost of Revenue</x:v>
      </x:c>
      <x:c r="D793" s="5" t="str">
        <x:v>US Central</x:v>
      </x:c>
      <x:c r="E793" s="10" t="n">
        <x:v>14</x:v>
      </x:c>
      <x:c r="F793" s="7" t="n">
        <x:v>134562.23</x:v>
      </x:c>
      <x:c r="G793" s="8"/>
    </x:row>
    <x:row r="794">
      <x:c r="A794" s="6" t="n">
        <x:v>45931</x:v>
      </x:c>
      <x:c r="B794" s="5" t="str">
        <x:v>Professional Services</x:v>
      </x:c>
      <x:c r="C794" s="5" t="str">
        <x:v>Cost of Revenue</x:v>
      </x:c>
      <x:c r="D794" s="5" t="str">
        <x:v>US Central</x:v>
      </x:c>
      <x:c r="E794" s="10" t="n">
        <x:v>28</x:v>
      </x:c>
      <x:c r="F794" s="7" t="n">
        <x:v>381922.96</x:v>
      </x:c>
      <x:c r="G794" s="8" t="n">
        <x:v>0.7715</x:v>
      </x:c>
    </x:row>
    <x:row r="795">
      <x:c r="A795" s="6" t="n">
        <x:v>45931</x:v>
      </x:c>
      <x:c r="B795" s="5" t="str">
        <x:v>Sales</x:v>
      </x:c>
      <x:c r="C795" s="5" t="str">
        <x:v>Sales &amp; Marketing</x:v>
      </x:c>
      <x:c r="D795" s="5" t="str">
        <x:v>US Central</x:v>
      </x:c>
      <x:c r="E795" s="10" t="n">
        <x:v>18</x:v>
      </x:c>
      <x:c r="F795" s="7" t="n">
        <x:v>266171.24</x:v>
      </x:c>
      <x:c r="G795" s="8"/>
    </x:row>
    <x:row r="796">
      <x:c r="A796" s="6" t="n">
        <x:v>45931</x:v>
      </x:c>
      <x:c r="B796" s="5" t="str">
        <x:v>Marketing</x:v>
      </x:c>
      <x:c r="C796" s="5" t="str">
        <x:v>Sales &amp; Marketing</x:v>
      </x:c>
      <x:c r="D796" s="5" t="str">
        <x:v>US Central</x:v>
      </x:c>
      <x:c r="E796" s="10" t="n">
        <x:v>8</x:v>
      </x:c>
      <x:c r="F796" s="7" t="n">
        <x:v>92520.53</x:v>
      </x:c>
      <x:c r="G796" s="8"/>
    </x:row>
    <x:row r="797">
      <x:c r="A797" s="6" t="n">
        <x:v>45931</x:v>
      </x:c>
      <x:c r="B797" s="5" t="str">
        <x:v>Product &amp; Engineering</x:v>
      </x:c>
      <x:c r="C797" s="5" t="str">
        <x:v>Research &amp; Development</x:v>
      </x:c>
      <x:c r="D797" s="5" t="str">
        <x:v>US Central</x:v>
      </x:c>
      <x:c r="E797" s="10" t="n">
        <x:v>34.2</x:v>
      </x:c>
      <x:c r="F797" s="7" t="n">
        <x:v>571231.76</x:v>
      </x:c>
      <x:c r="G797" s="8"/>
    </x:row>
    <x:row r="798">
      <x:c r="A798" s="6" t="n">
        <x:v>45931</x:v>
      </x:c>
      <x:c r="B798" s="5" t="str">
        <x:v>Finance</x:v>
      </x:c>
      <x:c r="C798" s="5" t="str">
        <x:v>General &amp; Administrative</x:v>
      </x:c>
      <x:c r="D798" s="5" t="str">
        <x:v>US Central</x:v>
      </x:c>
      <x:c r="E798" s="10" t="n">
        <x:v>7</x:v>
      </x:c>
      <x:c r="F798" s="7" t="n">
        <x:v>85510.16</x:v>
      </x:c>
      <x:c r="G798" s="8"/>
    </x:row>
    <x:row r="799">
      <x:c r="A799" s="6" t="n">
        <x:v>45931</x:v>
      </x:c>
      <x:c r="B799" s="5" t="str">
        <x:v>People</x:v>
      </x:c>
      <x:c r="C799" s="5" t="str">
        <x:v>General &amp; Administrative</x:v>
      </x:c>
      <x:c r="D799" s="5" t="str">
        <x:v>US Central</x:v>
      </x:c>
      <x:c r="E799" s="10" t="n">
        <x:v>7</x:v>
      </x:c>
      <x:c r="F799" s="7" t="n">
        <x:v>77177.49</x:v>
      </x:c>
      <x:c r="G799" s="8"/>
    </x:row>
    <x:row r="800">
      <x:c r="A800" s="6" t="n">
        <x:v>45931</x:v>
      </x:c>
      <x:c r="B800" s="5" t="str">
        <x:v>Legal &amp; Compliance</x:v>
      </x:c>
      <x:c r="C800" s="5" t="str">
        <x:v>General &amp; Administrative</x:v>
      </x:c>
      <x:c r="D800" s="5" t="str">
        <x:v>US Central</x:v>
      </x:c>
      <x:c r="E800" s="10" t="n">
        <x:v>4</x:v>
      </x:c>
      <x:c r="F800" s="7" t="n">
        <x:v>69982.95</x:v>
      </x:c>
      <x:c r="G800" s="8"/>
    </x:row>
    <x:row r="801">
      <x:c r="A801" s="6" t="n">
        <x:v>45931</x:v>
      </x:c>
      <x:c r="B801" s="5" t="str">
        <x:v>Information Technology</x:v>
      </x:c>
      <x:c r="C801" s="5" t="str">
        <x:v>General &amp; Administrative</x:v>
      </x:c>
      <x:c r="D801" s="5" t="str">
        <x:v>US Central</x:v>
      </x:c>
      <x:c r="E801" s="10" t="n">
        <x:v>5</x:v>
      </x:c>
      <x:c r="F801" s="7" t="n">
        <x:v>59324.68</x:v>
      </x:c>
      <x:c r="G801" s="8"/>
    </x:row>
    <x:row r="802">
      <x:c r="A802" s="6" t="n">
        <x:v>45931</x:v>
      </x:c>
      <x:c r="B802" s="5" t="str">
        <x:v>Executive</x:v>
      </x:c>
      <x:c r="C802" s="5" t="str">
        <x:v>General &amp; Administrative</x:v>
      </x:c>
      <x:c r="D802" s="5" t="str">
        <x:v>US Central</x:v>
      </x:c>
      <x:c r="E802" s="10" t="n">
        <x:v>2</x:v>
      </x:c>
      <x:c r="F802" s="7" t="n">
        <x:v>54892.21</x:v>
      </x:c>
      <x:c r="G802" s="8"/>
    </x:row>
    <x:row r="803">
      <x:c r="A803" s="6" t="n">
        <x:v>45962</x:v>
      </x:c>
      <x:c r="B803" s="5" t="str">
        <x:v>Cloud Operations</x:v>
      </x:c>
      <x:c r="C803" s="5" t="str">
        <x:v>Cost of Revenue</x:v>
      </x:c>
      <x:c r="D803" s="5" t="str">
        <x:v>US Central</x:v>
      </x:c>
      <x:c r="E803" s="10" t="n">
        <x:v>11</x:v>
      </x:c>
      <x:c r="F803" s="7" t="n">
        <x:v>213567.23</x:v>
      </x:c>
      <x:c r="G803" s="8"/>
    </x:row>
    <x:row r="804">
      <x:c r="A804" s="6" t="n">
        <x:v>45962</x:v>
      </x:c>
      <x:c r="B804" s="5" t="str">
        <x:v>Customer Support</x:v>
      </x:c>
      <x:c r="C804" s="5" t="str">
        <x:v>Cost of Revenue</x:v>
      </x:c>
      <x:c r="D804" s="5" t="str">
        <x:v>US Central</x:v>
      </x:c>
      <x:c r="E804" s="10" t="n">
        <x:v>14</x:v>
      </x:c>
      <x:c r="F804" s="7" t="n">
        <x:v>134562.23</x:v>
      </x:c>
      <x:c r="G804" s="8"/>
    </x:row>
    <x:row r="805">
      <x:c r="A805" s="6" t="n">
        <x:v>45962</x:v>
      </x:c>
      <x:c r="B805" s="5" t="str">
        <x:v>Professional Services</x:v>
      </x:c>
      <x:c r="C805" s="5" t="str">
        <x:v>Cost of Revenue</x:v>
      </x:c>
      <x:c r="D805" s="5" t="str">
        <x:v>US Central</x:v>
      </x:c>
      <x:c r="E805" s="10" t="n">
        <x:v>26</x:v>
      </x:c>
      <x:c r="F805" s="7" t="n">
        <x:v>353484.34</x:v>
      </x:c>
      <x:c r="G805" s="8" t="n">
        <x:v>0.7655</x:v>
      </x:c>
    </x:row>
    <x:row r="806">
      <x:c r="A806" s="6" t="n">
        <x:v>45962</x:v>
      </x:c>
      <x:c r="B806" s="5" t="str">
        <x:v>Sales</x:v>
      </x:c>
      <x:c r="C806" s="5" t="str">
        <x:v>Sales &amp; Marketing</x:v>
      </x:c>
      <x:c r="D806" s="5" t="str">
        <x:v>US Central</x:v>
      </x:c>
      <x:c r="E806" s="10" t="n">
        <x:v>18</x:v>
      </x:c>
      <x:c r="F806" s="7" t="n">
        <x:v>266171.24</x:v>
      </x:c>
      <x:c r="G806" s="8"/>
    </x:row>
    <x:row r="807">
      <x:c r="A807" s="6" t="n">
        <x:v>45962</x:v>
      </x:c>
      <x:c r="B807" s="5" t="str">
        <x:v>Marketing</x:v>
      </x:c>
      <x:c r="C807" s="5" t="str">
        <x:v>Sales &amp; Marketing</x:v>
      </x:c>
      <x:c r="D807" s="5" t="str">
        <x:v>US Central</x:v>
      </x:c>
      <x:c r="E807" s="10" t="n">
        <x:v>9</x:v>
      </x:c>
      <x:c r="F807" s="7" t="n">
        <x:v>100235.33</x:v>
      </x:c>
      <x:c r="G807" s="8"/>
    </x:row>
    <x:row r="808">
      <x:c r="A808" s="6" t="n">
        <x:v>45962</x:v>
      </x:c>
      <x:c r="B808" s="5" t="str">
        <x:v>Product &amp; Engineering</x:v>
      </x:c>
      <x:c r="C808" s="5" t="str">
        <x:v>Research &amp; Development</x:v>
      </x:c>
      <x:c r="D808" s="5" t="str">
        <x:v>US Central</x:v>
      </x:c>
      <x:c r="E808" s="10" t="n">
        <x:v>34.2</x:v>
      </x:c>
      <x:c r="F808" s="7" t="n">
        <x:v>572433.1</x:v>
      </x:c>
      <x:c r="G808" s="8"/>
    </x:row>
    <x:row r="809">
      <x:c r="A809" s="6" t="n">
        <x:v>45962</x:v>
      </x:c>
      <x:c r="B809" s="5" t="str">
        <x:v>Finance</x:v>
      </x:c>
      <x:c r="C809" s="5" t="str">
        <x:v>General &amp; Administrative</x:v>
      </x:c>
      <x:c r="D809" s="5" t="str">
        <x:v>US Central</x:v>
      </x:c>
      <x:c r="E809" s="10" t="n">
        <x:v>7</x:v>
      </x:c>
      <x:c r="F809" s="7" t="n">
        <x:v>85510.16</x:v>
      </x:c>
      <x:c r="G809" s="8"/>
    </x:row>
    <x:row r="810">
      <x:c r="A810" s="6" t="n">
        <x:v>45962</x:v>
      </x:c>
      <x:c r="B810" s="5" t="str">
        <x:v>People</x:v>
      </x:c>
      <x:c r="C810" s="5" t="str">
        <x:v>General &amp; Administrative</x:v>
      </x:c>
      <x:c r="D810" s="5" t="str">
        <x:v>US Central</x:v>
      </x:c>
      <x:c r="E810" s="10" t="n">
        <x:v>7</x:v>
      </x:c>
      <x:c r="F810" s="7" t="n">
        <x:v>77177.49</x:v>
      </x:c>
      <x:c r="G810" s="8"/>
    </x:row>
    <x:row r="811">
      <x:c r="A811" s="6" t="n">
        <x:v>45962</x:v>
      </x:c>
      <x:c r="B811" s="5" t="str">
        <x:v>Legal &amp; Compliance</x:v>
      </x:c>
      <x:c r="C811" s="5" t="str">
        <x:v>General &amp; Administrative</x:v>
      </x:c>
      <x:c r="D811" s="5" t="str">
        <x:v>US Central</x:v>
      </x:c>
      <x:c r="E811" s="10" t="n">
        <x:v>4</x:v>
      </x:c>
      <x:c r="F811" s="7" t="n">
        <x:v>69982.95</x:v>
      </x:c>
      <x:c r="G811" s="8"/>
    </x:row>
    <x:row r="812">
      <x:c r="A812" s="6" t="n">
        <x:v>45962</x:v>
      </x:c>
      <x:c r="B812" s="5" t="str">
        <x:v>Information Technology</x:v>
      </x:c>
      <x:c r="C812" s="5" t="str">
        <x:v>General &amp; Administrative</x:v>
      </x:c>
      <x:c r="D812" s="5" t="str">
        <x:v>US Central</x:v>
      </x:c>
      <x:c r="E812" s="10" t="n">
        <x:v>4</x:v>
      </x:c>
      <x:c r="F812" s="7" t="n">
        <x:v>44856.67</x:v>
      </x:c>
      <x:c r="G812" s="8"/>
    </x:row>
    <x:row r="813">
      <x:c r="A813" s="6" t="n">
        <x:v>45962</x:v>
      </x:c>
      <x:c r="B813" s="5" t="str">
        <x:v>Executive</x:v>
      </x:c>
      <x:c r="C813" s="5" t="str">
        <x:v>General &amp; Administrative</x:v>
      </x:c>
      <x:c r="D813" s="5" t="str">
        <x:v>US Central</x:v>
      </x:c>
      <x:c r="E813" s="10" t="n">
        <x:v>2</x:v>
      </x:c>
      <x:c r="F813" s="7" t="n">
        <x:v>54892.21</x:v>
      </x:c>
      <x:c r="G813" s="8"/>
    </x:row>
    <x:row r="814">
      <x:c r="A814" s="6" t="n">
        <x:v>45992</x:v>
      </x:c>
      <x:c r="B814" s="5" t="str">
        <x:v>Cloud Operations</x:v>
      </x:c>
      <x:c r="C814" s="5" t="str">
        <x:v>Cost of Revenue</x:v>
      </x:c>
      <x:c r="D814" s="5" t="str">
        <x:v>US Central</x:v>
      </x:c>
      <x:c r="E814" s="10" t="n">
        <x:v>11</x:v>
      </x:c>
      <x:c r="F814" s="7" t="n">
        <x:v>213567.23</x:v>
      </x:c>
      <x:c r="G814" s="8"/>
    </x:row>
    <x:row r="815">
      <x:c r="A815" s="6" t="n">
        <x:v>45992</x:v>
      </x:c>
      <x:c r="B815" s="5" t="str">
        <x:v>Customer Support</x:v>
      </x:c>
      <x:c r="C815" s="5" t="str">
        <x:v>Cost of Revenue</x:v>
      </x:c>
      <x:c r="D815" s="5" t="str">
        <x:v>US Central</x:v>
      </x:c>
      <x:c r="E815" s="10" t="n">
        <x:v>14</x:v>
      </x:c>
      <x:c r="F815" s="7" t="n">
        <x:v>134562.23</x:v>
      </x:c>
      <x:c r="G815" s="8"/>
    </x:row>
    <x:row r="816">
      <x:c r="A816" s="6" t="n">
        <x:v>45992</x:v>
      </x:c>
      <x:c r="B816" s="5" t="str">
        <x:v>Professional Services</x:v>
      </x:c>
      <x:c r="C816" s="5" t="str">
        <x:v>Cost of Revenue</x:v>
      </x:c>
      <x:c r="D816" s="5" t="str">
        <x:v>US Central</x:v>
      </x:c>
      <x:c r="E816" s="10" t="n">
        <x:v>26</x:v>
      </x:c>
      <x:c r="F816" s="7" t="n">
        <x:v>353484.34</x:v>
      </x:c>
      <x:c r="G816" s="8" t="n">
        <x:v>0.6852</x:v>
      </x:c>
    </x:row>
    <x:row r="817">
      <x:c r="A817" s="6" t="n">
        <x:v>45992</x:v>
      </x:c>
      <x:c r="B817" s="5" t="str">
        <x:v>Sales</x:v>
      </x:c>
      <x:c r="C817" s="5" t="str">
        <x:v>Sales &amp; Marketing</x:v>
      </x:c>
      <x:c r="D817" s="5" t="str">
        <x:v>US Central</x:v>
      </x:c>
      <x:c r="E817" s="10" t="n">
        <x:v>18</x:v>
      </x:c>
      <x:c r="F817" s="7" t="n">
        <x:v>266171.24</x:v>
      </x:c>
      <x:c r="G817" s="8"/>
    </x:row>
    <x:row r="818">
      <x:c r="A818" s="6" t="n">
        <x:v>45992</x:v>
      </x:c>
      <x:c r="B818" s="5" t="str">
        <x:v>Marketing</x:v>
      </x:c>
      <x:c r="C818" s="5" t="str">
        <x:v>Sales &amp; Marketing</x:v>
      </x:c>
      <x:c r="D818" s="5" t="str">
        <x:v>US Central</x:v>
      </x:c>
      <x:c r="E818" s="10" t="n">
        <x:v>9</x:v>
      </x:c>
      <x:c r="F818" s="7" t="n">
        <x:v>100235.33</x:v>
      </x:c>
      <x:c r="G818" s="8"/>
    </x:row>
    <x:row r="819">
      <x:c r="A819" s="6" t="n">
        <x:v>45992</x:v>
      </x:c>
      <x:c r="B819" s="5" t="str">
        <x:v>Product &amp; Engineering</x:v>
      </x:c>
      <x:c r="C819" s="5" t="str">
        <x:v>Research &amp; Development</x:v>
      </x:c>
      <x:c r="D819" s="5" t="str">
        <x:v>US Central</x:v>
      </x:c>
      <x:c r="E819" s="10" t="n">
        <x:v>33.2</x:v>
      </x:c>
      <x:c r="F819" s="7" t="n">
        <x:v>560972.31</x:v>
      </x:c>
      <x:c r="G819" s="8"/>
    </x:row>
    <x:row r="820">
      <x:c r="A820" s="6" t="n">
        <x:v>45992</x:v>
      </x:c>
      <x:c r="B820" s="5" t="str">
        <x:v>Finance</x:v>
      </x:c>
      <x:c r="C820" s="5" t="str">
        <x:v>General &amp; Administrative</x:v>
      </x:c>
      <x:c r="D820" s="5" t="str">
        <x:v>US Central</x:v>
      </x:c>
      <x:c r="E820" s="10" t="n">
        <x:v>7</x:v>
      </x:c>
      <x:c r="F820" s="7" t="n">
        <x:v>85510.16</x:v>
      </x:c>
      <x:c r="G820" s="8"/>
    </x:row>
    <x:row r="821">
      <x:c r="A821" s="6" t="n">
        <x:v>45992</x:v>
      </x:c>
      <x:c r="B821" s="5" t="str">
        <x:v>People</x:v>
      </x:c>
      <x:c r="C821" s="5" t="str">
        <x:v>General &amp; Administrative</x:v>
      </x:c>
      <x:c r="D821" s="5" t="str">
        <x:v>US Central</x:v>
      </x:c>
      <x:c r="E821" s="10" t="n">
        <x:v>7</x:v>
      </x:c>
      <x:c r="F821" s="7" t="n">
        <x:v>77177.49</x:v>
      </x:c>
      <x:c r="G821" s="8"/>
    </x:row>
    <x:row r="822">
      <x:c r="A822" s="6" t="n">
        <x:v>45992</x:v>
      </x:c>
      <x:c r="B822" s="5" t="str">
        <x:v>Legal &amp; Compliance</x:v>
      </x:c>
      <x:c r="C822" s="5" t="str">
        <x:v>General &amp; Administrative</x:v>
      </x:c>
      <x:c r="D822" s="5" t="str">
        <x:v>US Central</x:v>
      </x:c>
      <x:c r="E822" s="10" t="n">
        <x:v>4</x:v>
      </x:c>
      <x:c r="F822" s="7" t="n">
        <x:v>69982.95</x:v>
      </x:c>
      <x:c r="G822" s="8"/>
    </x:row>
    <x:row r="823">
      <x:c r="A823" s="6" t="n">
        <x:v>45992</x:v>
      </x:c>
      <x:c r="B823" s="5" t="str">
        <x:v>Information Technology</x:v>
      </x:c>
      <x:c r="C823" s="5" t="str">
        <x:v>General &amp; Administrative</x:v>
      </x:c>
      <x:c r="D823" s="5" t="str">
        <x:v>US Central</x:v>
      </x:c>
      <x:c r="E823" s="10" t="n">
        <x:v>4</x:v>
      </x:c>
      <x:c r="F823" s="7" t="n">
        <x:v>44856.67</x:v>
      </x:c>
      <x:c r="G823" s="8"/>
    </x:row>
    <x:row r="824">
      <x:c r="A824" s="6" t="n">
        <x:v>45992</x:v>
      </x:c>
      <x:c r="B824" s="5" t="str">
        <x:v>Executive</x:v>
      </x:c>
      <x:c r="C824" s="5" t="str">
        <x:v>General &amp; Administrative</x:v>
      </x:c>
      <x:c r="D824" s="5" t="str">
        <x:v>US Central</x:v>
      </x:c>
      <x:c r="E824" s="10" t="n">
        <x:v>2</x:v>
      </x:c>
      <x:c r="F824" s="7" t="n">
        <x:v>54892.21</x:v>
      </x:c>
      <x:c r="G824" s="8"/>
    </x:row>
    <x:row r="825">
      <x:c r="A825" s="6" t="n">
        <x:v>46023</x:v>
      </x:c>
      <x:c r="B825" s="5" t="str">
        <x:v>Cloud Operations</x:v>
      </x:c>
      <x:c r="C825" s="5" t="str">
        <x:v>Cost of Revenue</x:v>
      </x:c>
      <x:c r="D825" s="5" t="str">
        <x:v>US Central</x:v>
      </x:c>
      <x:c r="E825" s="10" t="n">
        <x:v>11</x:v>
      </x:c>
      <x:c r="F825" s="7" t="n">
        <x:v>221042.11</x:v>
      </x:c>
      <x:c r="G825" s="8"/>
    </x:row>
    <x:row r="826">
      <x:c r="A826" s="6" t="n">
        <x:v>46023</x:v>
      </x:c>
      <x:c r="B826" s="5" t="str">
        <x:v>Customer Support</x:v>
      </x:c>
      <x:c r="C826" s="5" t="str">
        <x:v>Cost of Revenue</x:v>
      </x:c>
      <x:c r="D826" s="5" t="str">
        <x:v>US Central</x:v>
      </x:c>
      <x:c r="E826" s="10" t="n">
        <x:v>14</x:v>
      </x:c>
      <x:c r="F826" s="7" t="n">
        <x:v>139271.91</x:v>
      </x:c>
      <x:c r="G826" s="8"/>
    </x:row>
    <x:row r="827">
      <x:c r="A827" s="6" t="n">
        <x:v>46023</x:v>
      </x:c>
      <x:c r="B827" s="5" t="str">
        <x:v>Professional Services</x:v>
      </x:c>
      <x:c r="C827" s="5" t="str">
        <x:v>Cost of Revenue</x:v>
      </x:c>
      <x:c r="D827" s="5" t="str">
        <x:v>US Central</x:v>
      </x:c>
      <x:c r="E827" s="10" t="n">
        <x:v>26</x:v>
      </x:c>
      <x:c r="F827" s="7" t="n">
        <x:v>365856.29</x:v>
      </x:c>
      <x:c r="G827" s="8" t="n">
        <x:v>0.6775</x:v>
      </x:c>
    </x:row>
    <x:row r="828">
      <x:c r="A828" s="6" t="n">
        <x:v>46023</x:v>
      </x:c>
      <x:c r="B828" s="5" t="str">
        <x:v>Sales</x:v>
      </x:c>
      <x:c r="C828" s="5" t="str">
        <x:v>Sales &amp; Marketing</x:v>
      </x:c>
      <x:c r="D828" s="5" t="str">
        <x:v>US Central</x:v>
      </x:c>
      <x:c r="E828" s="10" t="n">
        <x:v>18</x:v>
      </x:c>
      <x:c r="F828" s="7" t="n">
        <x:v>275487.22</x:v>
      </x:c>
      <x:c r="G828" s="8"/>
    </x:row>
    <x:row r="829">
      <x:c r="A829" s="6" t="n">
        <x:v>46023</x:v>
      </x:c>
      <x:c r="B829" s="5" t="str">
        <x:v>Marketing</x:v>
      </x:c>
      <x:c r="C829" s="5" t="str">
        <x:v>Sales &amp; Marketing</x:v>
      </x:c>
      <x:c r="D829" s="5" t="str">
        <x:v>US Central</x:v>
      </x:c>
      <x:c r="E829" s="10" t="n">
        <x:v>10</x:v>
      </x:c>
      <x:c r="F829" s="7" t="n">
        <x:v>114558.55</x:v>
      </x:c>
      <x:c r="G829" s="8"/>
    </x:row>
    <x:row r="830">
      <x:c r="A830" s="6" t="n">
        <x:v>46023</x:v>
      </x:c>
      <x:c r="B830" s="5" t="str">
        <x:v>Product &amp; Engineering</x:v>
      </x:c>
      <x:c r="C830" s="5" t="str">
        <x:v>Research &amp; Development</x:v>
      </x:c>
      <x:c r="D830" s="5" t="str">
        <x:v>US Central</x:v>
      </x:c>
      <x:c r="E830" s="10" t="n">
        <x:v>33.2</x:v>
      </x:c>
      <x:c r="F830" s="7" t="n">
        <x:v>580606.36</x:v>
      </x:c>
      <x:c r="G830" s="8"/>
    </x:row>
    <x:row r="831">
      <x:c r="A831" s="6" t="n">
        <x:v>46023</x:v>
      </x:c>
      <x:c r="B831" s="5" t="str">
        <x:v>Finance</x:v>
      </x:c>
      <x:c r="C831" s="5" t="str">
        <x:v>General &amp; Administrative</x:v>
      </x:c>
      <x:c r="D831" s="5" t="str">
        <x:v>US Central</x:v>
      </x:c>
      <x:c r="E831" s="10" t="n">
        <x:v>7</x:v>
      </x:c>
      <x:c r="F831" s="7" t="n">
        <x:v>88503.01</x:v>
      </x:c>
      <x:c r="G831" s="8"/>
    </x:row>
    <x:row r="832">
      <x:c r="A832" s="6" t="n">
        <x:v>46023</x:v>
      </x:c>
      <x:c r="B832" s="5" t="str">
        <x:v>People</x:v>
      </x:c>
      <x:c r="C832" s="5" t="str">
        <x:v>General &amp; Administrative</x:v>
      </x:c>
      <x:c r="D832" s="5" t="str">
        <x:v>US Central</x:v>
      </x:c>
      <x:c r="E832" s="10" t="n">
        <x:v>7</x:v>
      </x:c>
      <x:c r="F832" s="7" t="n">
        <x:v>79878.72</x:v>
      </x:c>
      <x:c r="G832" s="8"/>
    </x:row>
    <x:row r="833">
      <x:c r="A833" s="6" t="n">
        <x:v>46023</x:v>
      </x:c>
      <x:c r="B833" s="5" t="str">
        <x:v>Legal &amp; Compliance</x:v>
      </x:c>
      <x:c r="C833" s="5" t="str">
        <x:v>General &amp; Administrative</x:v>
      </x:c>
      <x:c r="D833" s="5" t="str">
        <x:v>US Central</x:v>
      </x:c>
      <x:c r="E833" s="10" t="n">
        <x:v>4</x:v>
      </x:c>
      <x:c r="F833" s="7" t="n">
        <x:v>72432.35</x:v>
      </x:c>
      <x:c r="G833" s="8"/>
    </x:row>
    <x:row r="834">
      <x:c r="A834" s="6" t="n">
        <x:v>46023</x:v>
      </x:c>
      <x:c r="B834" s="5" t="str">
        <x:v>Information Technology</x:v>
      </x:c>
      <x:c r="C834" s="5" t="str">
        <x:v>General &amp; Administrative</x:v>
      </x:c>
      <x:c r="D834" s="5" t="str">
        <x:v>US Central</x:v>
      </x:c>
      <x:c r="E834" s="10" t="n">
        <x:v>4</x:v>
      </x:c>
      <x:c r="F834" s="7" t="n">
        <x:v>46426.66</x:v>
      </x:c>
      <x:c r="G834" s="8"/>
    </x:row>
    <x:row r="835">
      <x:c r="A835" s="6" t="n">
        <x:v>46023</x:v>
      </x:c>
      <x:c r="B835" s="5" t="str">
        <x:v>Executive</x:v>
      </x:c>
      <x:c r="C835" s="5" t="str">
        <x:v>General &amp; Administrative</x:v>
      </x:c>
      <x:c r="D835" s="5" t="str">
        <x:v>US Central</x:v>
      </x:c>
      <x:c r="E835" s="10" t="n">
        <x:v>2</x:v>
      </x:c>
      <x:c r="F835" s="7" t="n">
        <x:v>56813.45</x:v>
      </x:c>
      <x:c r="G835" s="8"/>
    </x:row>
    <x:row r="836">
      <x:c r="A836" s="6" t="n">
        <x:v>46054</x:v>
      </x:c>
      <x:c r="B836" s="5" t="str">
        <x:v>Cloud Operations</x:v>
      </x:c>
      <x:c r="C836" s="5" t="str">
        <x:v>Cost of Revenue</x:v>
      </x:c>
      <x:c r="D836" s="5" t="str">
        <x:v>US Central</x:v>
      </x:c>
      <x:c r="E836" s="10" t="n">
        <x:v>11</x:v>
      </x:c>
      <x:c r="F836" s="7" t="n">
        <x:v>221042.11</x:v>
      </x:c>
      <x:c r="G836" s="8"/>
    </x:row>
    <x:row r="837">
      <x:c r="A837" s="6" t="n">
        <x:v>46054</x:v>
      </x:c>
      <x:c r="B837" s="5" t="str">
        <x:v>Customer Support</x:v>
      </x:c>
      <x:c r="C837" s="5" t="str">
        <x:v>Cost of Revenue</x:v>
      </x:c>
      <x:c r="D837" s="5" t="str">
        <x:v>US Central</x:v>
      </x:c>
      <x:c r="E837" s="10" t="n">
        <x:v>14</x:v>
      </x:c>
      <x:c r="F837" s="7" t="n">
        <x:v>139271.91</x:v>
      </x:c>
      <x:c r="G837" s="8"/>
    </x:row>
    <x:row r="838">
      <x:c r="A838" s="6" t="n">
        <x:v>46054</x:v>
      </x:c>
      <x:c r="B838" s="5" t="str">
        <x:v>Professional Services</x:v>
      </x:c>
      <x:c r="C838" s="5" t="str">
        <x:v>Cost of Revenue</x:v>
      </x:c>
      <x:c r="D838" s="5" t="str">
        <x:v>US Central</x:v>
      </x:c>
      <x:c r="E838" s="10" t="n">
        <x:v>26</x:v>
      </x:c>
      <x:c r="F838" s="7" t="n">
        <x:v>365856.29</x:v>
      </x:c>
      <x:c r="G838" s="8" t="n">
        <x:v>0.6703</x:v>
      </x:c>
    </x:row>
    <x:row r="839">
      <x:c r="A839" s="6" t="n">
        <x:v>46054</x:v>
      </x:c>
      <x:c r="B839" s="5" t="str">
        <x:v>Sales</x:v>
      </x:c>
      <x:c r="C839" s="5" t="str">
        <x:v>Sales &amp; Marketing</x:v>
      </x:c>
      <x:c r="D839" s="5" t="str">
        <x:v>US Central</x:v>
      </x:c>
      <x:c r="E839" s="10" t="n">
        <x:v>18</x:v>
      </x:c>
      <x:c r="F839" s="7" t="n">
        <x:v>275487.22</x:v>
      </x:c>
      <x:c r="G839" s="8"/>
    </x:row>
    <x:row r="840">
      <x:c r="A840" s="6" t="n">
        <x:v>46054</x:v>
      </x:c>
      <x:c r="B840" s="5" t="str">
        <x:v>Marketing</x:v>
      </x:c>
      <x:c r="C840" s="5" t="str">
        <x:v>Sales &amp; Marketing</x:v>
      </x:c>
      <x:c r="D840" s="5" t="str">
        <x:v>US Central</x:v>
      </x:c>
      <x:c r="E840" s="10" t="n">
        <x:v>9</x:v>
      </x:c>
      <x:c r="F840" s="7" t="n">
        <x:v>104155.24</x:v>
      </x:c>
      <x:c r="G840" s="8"/>
    </x:row>
    <x:row r="841">
      <x:c r="A841" s="6" t="n">
        <x:v>46054</x:v>
      </x:c>
      <x:c r="B841" s="5" t="str">
        <x:v>Product &amp; Engineering</x:v>
      </x:c>
      <x:c r="C841" s="5" t="str">
        <x:v>Research &amp; Development</x:v>
      </x:c>
      <x:c r="D841" s="5" t="str">
        <x:v>US Central</x:v>
      </x:c>
      <x:c r="E841" s="10" t="n">
        <x:v>33.2</x:v>
      </x:c>
      <x:c r="F841" s="7" t="n">
        <x:v>580606.36</x:v>
      </x:c>
      <x:c r="G841" s="8"/>
    </x:row>
    <x:row r="842">
      <x:c r="A842" s="6" t="n">
        <x:v>46054</x:v>
      </x:c>
      <x:c r="B842" s="5" t="str">
        <x:v>Finance</x:v>
      </x:c>
      <x:c r="C842" s="5" t="str">
        <x:v>General &amp; Administrative</x:v>
      </x:c>
      <x:c r="D842" s="5" t="str">
        <x:v>US Central</x:v>
      </x:c>
      <x:c r="E842" s="10" t="n">
        <x:v>6</x:v>
      </x:c>
      <x:c r="F842" s="7" t="n">
        <x:v>79584.82</x:v>
      </x:c>
      <x:c r="G842" s="8"/>
    </x:row>
    <x:row r="843">
      <x:c r="A843" s="6" t="n">
        <x:v>46054</x:v>
      </x:c>
      <x:c r="B843" s="5" t="str">
        <x:v>People</x:v>
      </x:c>
      <x:c r="C843" s="5" t="str">
        <x:v>General &amp; Administrative</x:v>
      </x:c>
      <x:c r="D843" s="5" t="str">
        <x:v>US Central</x:v>
      </x:c>
      <x:c r="E843" s="10" t="n">
        <x:v>7</x:v>
      </x:c>
      <x:c r="F843" s="7" t="n">
        <x:v>79878.72</x:v>
      </x:c>
      <x:c r="G843" s="8"/>
    </x:row>
    <x:row r="844">
      <x:c r="A844" s="6" t="n">
        <x:v>46054</x:v>
      </x:c>
      <x:c r="B844" s="5" t="str">
        <x:v>Legal &amp; Compliance</x:v>
      </x:c>
      <x:c r="C844" s="5" t="str">
        <x:v>General &amp; Administrative</x:v>
      </x:c>
      <x:c r="D844" s="5" t="str">
        <x:v>US Central</x:v>
      </x:c>
      <x:c r="E844" s="10" t="n">
        <x:v>4</x:v>
      </x:c>
      <x:c r="F844" s="7" t="n">
        <x:v>72432.35</x:v>
      </x:c>
      <x:c r="G844" s="8"/>
    </x:row>
    <x:row r="845">
      <x:c r="A845" s="6" t="n">
        <x:v>46054</x:v>
      </x:c>
      <x:c r="B845" s="5" t="str">
        <x:v>Information Technology</x:v>
      </x:c>
      <x:c r="C845" s="5" t="str">
        <x:v>General &amp; Administrative</x:v>
      </x:c>
      <x:c r="D845" s="5" t="str">
        <x:v>US Central</x:v>
      </x:c>
      <x:c r="E845" s="10" t="n">
        <x:v>4</x:v>
      </x:c>
      <x:c r="F845" s="7" t="n">
        <x:v>46426.66</x:v>
      </x:c>
      <x:c r="G845" s="8"/>
    </x:row>
    <x:row r="846">
      <x:c r="A846" s="6" t="n">
        <x:v>46054</x:v>
      </x:c>
      <x:c r="B846" s="5" t="str">
        <x:v>Executive</x:v>
      </x:c>
      <x:c r="C846" s="5" t="str">
        <x:v>General &amp; Administrative</x:v>
      </x:c>
      <x:c r="D846" s="5" t="str">
        <x:v>US Central</x:v>
      </x:c>
      <x:c r="E846" s="10" t="n">
        <x:v>2</x:v>
      </x:c>
      <x:c r="F846" s="7" t="n">
        <x:v>56813.45</x:v>
      </x:c>
      <x:c r="G846" s="8"/>
    </x:row>
    <x:row r="847">
      <x:c r="A847" s="6" t="n">
        <x:v>46082</x:v>
      </x:c>
      <x:c r="B847" s="5" t="str">
        <x:v>Cloud Operations</x:v>
      </x:c>
      <x:c r="C847" s="5" t="str">
        <x:v>Cost of Revenue</x:v>
      </x:c>
      <x:c r="D847" s="5" t="str">
        <x:v>US Central</x:v>
      </x:c>
      <x:c r="E847" s="10" t="n">
        <x:v>11</x:v>
      </x:c>
      <x:c r="F847" s="7" t="n">
        <x:v>221042.11</x:v>
      </x:c>
      <x:c r="G847" s="8"/>
    </x:row>
    <x:row r="848">
      <x:c r="A848" s="6" t="n">
        <x:v>46082</x:v>
      </x:c>
      <x:c r="B848" s="5" t="str">
        <x:v>Customer Support</x:v>
      </x:c>
      <x:c r="C848" s="5" t="str">
        <x:v>Cost of Revenue</x:v>
      </x:c>
      <x:c r="D848" s="5" t="str">
        <x:v>US Central</x:v>
      </x:c>
      <x:c r="E848" s="10" t="n">
        <x:v>14</x:v>
      </x:c>
      <x:c r="F848" s="7" t="n">
        <x:v>139271.91</x:v>
      </x:c>
      <x:c r="G848" s="8"/>
    </x:row>
    <x:row r="849">
      <x:c r="A849" s="6" t="n">
        <x:v>46082</x:v>
      </x:c>
      <x:c r="B849" s="5" t="str">
        <x:v>Professional Services</x:v>
      </x:c>
      <x:c r="C849" s="5" t="str">
        <x:v>Cost of Revenue</x:v>
      </x:c>
      <x:c r="D849" s="5" t="str">
        <x:v>US Central</x:v>
      </x:c>
      <x:c r="E849" s="10" t="n">
        <x:v>25</x:v>
      </x:c>
      <x:c r="F849" s="7" t="n">
        <x:v>352980.35</x:v>
      </x:c>
      <x:c r="G849" s="8" t="n">
        <x:v>0.7311</x:v>
      </x:c>
    </x:row>
    <x:row r="850">
      <x:c r="A850" s="6" t="n">
        <x:v>46082</x:v>
      </x:c>
      <x:c r="B850" s="5" t="str">
        <x:v>Sales</x:v>
      </x:c>
      <x:c r="C850" s="5" t="str">
        <x:v>Sales &amp; Marketing</x:v>
      </x:c>
      <x:c r="D850" s="5" t="str">
        <x:v>US Central</x:v>
      </x:c>
      <x:c r="E850" s="10" t="n">
        <x:v>18</x:v>
      </x:c>
      <x:c r="F850" s="7" t="n">
        <x:v>275487.22</x:v>
      </x:c>
      <x:c r="G850" s="8"/>
    </x:row>
    <x:row r="851">
      <x:c r="A851" s="6" t="n">
        <x:v>46082</x:v>
      </x:c>
      <x:c r="B851" s="5" t="str">
        <x:v>Marketing</x:v>
      </x:c>
      <x:c r="C851" s="5" t="str">
        <x:v>Sales &amp; Marketing</x:v>
      </x:c>
      <x:c r="D851" s="5" t="str">
        <x:v>US Central</x:v>
      </x:c>
      <x:c r="E851" s="10" t="n">
        <x:v>9</x:v>
      </x:c>
      <x:c r="F851" s="7" t="n">
        <x:v>104155.24</x:v>
      </x:c>
      <x:c r="G851" s="8"/>
    </x:row>
    <x:row r="852">
      <x:c r="A852" s="6" t="n">
        <x:v>46082</x:v>
      </x:c>
      <x:c r="B852" s="5" t="str">
        <x:v>Product &amp; Engineering</x:v>
      </x:c>
      <x:c r="C852" s="5" t="str">
        <x:v>Research &amp; Development</x:v>
      </x:c>
      <x:c r="D852" s="5" t="str">
        <x:v>US Central</x:v>
      </x:c>
      <x:c r="E852" s="10" t="n">
        <x:v>33.2</x:v>
      </x:c>
      <x:c r="F852" s="7" t="n">
        <x:v>580606.36</x:v>
      </x:c>
      <x:c r="G852" s="8"/>
    </x:row>
    <x:row r="853">
      <x:c r="A853" s="6" t="n">
        <x:v>46082</x:v>
      </x:c>
      <x:c r="B853" s="5" t="str">
        <x:v>Finance</x:v>
      </x:c>
      <x:c r="C853" s="5" t="str">
        <x:v>General &amp; Administrative</x:v>
      </x:c>
      <x:c r="D853" s="5" t="str">
        <x:v>US Central</x:v>
      </x:c>
      <x:c r="E853" s="10" t="n">
        <x:v>6</x:v>
      </x:c>
      <x:c r="F853" s="7" t="n">
        <x:v>79584.82</x:v>
      </x:c>
      <x:c r="G853" s="8"/>
    </x:row>
    <x:row r="854">
      <x:c r="A854" s="6" t="n">
        <x:v>46082</x:v>
      </x:c>
      <x:c r="B854" s="5" t="str">
        <x:v>People</x:v>
      </x:c>
      <x:c r="C854" s="5" t="str">
        <x:v>General &amp; Administrative</x:v>
      </x:c>
      <x:c r="D854" s="5" t="str">
        <x:v>US Central</x:v>
      </x:c>
      <x:c r="E854" s="10" t="n">
        <x:v>6</x:v>
      </x:c>
      <x:c r="F854" s="7" t="n">
        <x:v>68134.12</x:v>
      </x:c>
      <x:c r="G854" s="8"/>
    </x:row>
    <x:row r="855">
      <x:c r="A855" s="6" t="n">
        <x:v>46082</x:v>
      </x:c>
      <x:c r="B855" s="5" t="str">
        <x:v>Legal &amp; Compliance</x:v>
      </x:c>
      <x:c r="C855" s="5" t="str">
        <x:v>General &amp; Administrative</x:v>
      </x:c>
      <x:c r="D855" s="5" t="str">
        <x:v>US Central</x:v>
      </x:c>
      <x:c r="E855" s="10" t="n">
        <x:v>4</x:v>
      </x:c>
      <x:c r="F855" s="7" t="n">
        <x:v>72432.35</x:v>
      </x:c>
      <x:c r="G855" s="8"/>
    </x:row>
    <x:row r="856">
      <x:c r="A856" s="6" t="n">
        <x:v>46082</x:v>
      </x:c>
      <x:c r="B856" s="5" t="str">
        <x:v>Information Technology</x:v>
      </x:c>
      <x:c r="C856" s="5" t="str">
        <x:v>General &amp; Administrative</x:v>
      </x:c>
      <x:c r="D856" s="5" t="str">
        <x:v>US Central</x:v>
      </x:c>
      <x:c r="E856" s="10" t="n">
        <x:v>4</x:v>
      </x:c>
      <x:c r="F856" s="7" t="n">
        <x:v>46426.66</x:v>
      </x:c>
      <x:c r="G856" s="8"/>
    </x:row>
    <x:row r="857">
      <x:c r="A857" s="6" t="n">
        <x:v>46082</x:v>
      </x:c>
      <x:c r="B857" s="5" t="str">
        <x:v>Executive</x:v>
      </x:c>
      <x:c r="C857" s="5" t="str">
        <x:v>General &amp; Administrative</x:v>
      </x:c>
      <x:c r="D857" s="5" t="str">
        <x:v>US Central</x:v>
      </x:c>
      <x:c r="E857" s="10" t="n">
        <x:v>2</x:v>
      </x:c>
      <x:c r="F857" s="7" t="n">
        <x:v>56813.45</x:v>
      </x:c>
      <x:c r="G857" s="8"/>
    </x:row>
    <x:row r="858">
      <x:c r="A858" s="6" t="n">
        <x:v>46113</x:v>
      </x:c>
      <x:c r="B858" s="5" t="str">
        <x:v>Cloud Operations</x:v>
      </x:c>
      <x:c r="C858" s="5" t="str">
        <x:v>Cost of Revenue</x:v>
      </x:c>
      <x:c r="D858" s="5" t="str">
        <x:v>US Central</x:v>
      </x:c>
      <x:c r="E858" s="10" t="n">
        <x:v>11</x:v>
      </x:c>
      <x:c r="F858" s="7" t="n">
        <x:v>221042.11</x:v>
      </x:c>
      <x:c r="G858" s="8"/>
    </x:row>
    <x:row r="859">
      <x:c r="A859" s="6" t="n">
        <x:v>46113</x:v>
      </x:c>
      <x:c r="B859" s="5" t="str">
        <x:v>Customer Support</x:v>
      </x:c>
      <x:c r="C859" s="5" t="str">
        <x:v>Cost of Revenue</x:v>
      </x:c>
      <x:c r="D859" s="5" t="str">
        <x:v>US Central</x:v>
      </x:c>
      <x:c r="E859" s="10" t="n">
        <x:v>14</x:v>
      </x:c>
      <x:c r="F859" s="7" t="n">
        <x:v>139271.91</x:v>
      </x:c>
      <x:c r="G859" s="8"/>
    </x:row>
    <x:row r="860">
      <x:c r="A860" s="6" t="n">
        <x:v>46113</x:v>
      </x:c>
      <x:c r="B860" s="5" t="str">
        <x:v>Professional Services</x:v>
      </x:c>
      <x:c r="C860" s="5" t="str">
        <x:v>Cost of Revenue</x:v>
      </x:c>
      <x:c r="D860" s="5" t="str">
        <x:v>US Central</x:v>
      </x:c>
      <x:c r="E860" s="10" t="n">
        <x:v>25</x:v>
      </x:c>
      <x:c r="F860" s="7" t="n">
        <x:v>352980.35</x:v>
      </x:c>
      <x:c r="G860" s="8" t="n">
        <x:v>0.7465</x:v>
      </x:c>
    </x:row>
    <x:row r="861">
      <x:c r="A861" s="6" t="n">
        <x:v>46113</x:v>
      </x:c>
      <x:c r="B861" s="5" t="str">
        <x:v>Sales</x:v>
      </x:c>
      <x:c r="C861" s="5" t="str">
        <x:v>Sales &amp; Marketing</x:v>
      </x:c>
      <x:c r="D861" s="5" t="str">
        <x:v>US Central</x:v>
      </x:c>
      <x:c r="E861" s="10" t="n">
        <x:v>18</x:v>
      </x:c>
      <x:c r="F861" s="7" t="n">
        <x:v>277812.26</x:v>
      </x:c>
      <x:c r="G861" s="8"/>
    </x:row>
    <x:row r="862">
      <x:c r="A862" s="6" t="n">
        <x:v>46113</x:v>
      </x:c>
      <x:c r="B862" s="5" t="str">
        <x:v>Marketing</x:v>
      </x:c>
      <x:c r="C862" s="5" t="str">
        <x:v>Sales &amp; Marketing</x:v>
      </x:c>
      <x:c r="D862" s="5" t="str">
        <x:v>US Central</x:v>
      </x:c>
      <x:c r="E862" s="10" t="n">
        <x:v>9</x:v>
      </x:c>
      <x:c r="F862" s="7" t="n">
        <x:v>104155.24</x:v>
      </x:c>
      <x:c r="G862" s="8"/>
    </x:row>
    <x:row r="863">
      <x:c r="A863" s="6" t="n">
        <x:v>46113</x:v>
      </x:c>
      <x:c r="B863" s="5" t="str">
        <x:v>Product &amp; Engineering</x:v>
      </x:c>
      <x:c r="C863" s="5" t="str">
        <x:v>Research &amp; Development</x:v>
      </x:c>
      <x:c r="D863" s="5" t="str">
        <x:v>US Central</x:v>
      </x:c>
      <x:c r="E863" s="10" t="n">
        <x:v>33.2</x:v>
      </x:c>
      <x:c r="F863" s="7" t="n">
        <x:v>580606.36</x:v>
      </x:c>
      <x:c r="G863" s="8"/>
    </x:row>
    <x:row r="864">
      <x:c r="A864" s="6" t="n">
        <x:v>46113</x:v>
      </x:c>
      <x:c r="B864" s="5" t="str">
        <x:v>Finance</x:v>
      </x:c>
      <x:c r="C864" s="5" t="str">
        <x:v>General &amp; Administrative</x:v>
      </x:c>
      <x:c r="D864" s="5" t="str">
        <x:v>US Central</x:v>
      </x:c>
      <x:c r="E864" s="10" t="n">
        <x:v>6</x:v>
      </x:c>
      <x:c r="F864" s="7" t="n">
        <x:v>79584.82</x:v>
      </x:c>
      <x:c r="G864" s="8"/>
    </x:row>
    <x:row r="865">
      <x:c r="A865" s="6" t="n">
        <x:v>46113</x:v>
      </x:c>
      <x:c r="B865" s="5" t="str">
        <x:v>People</x:v>
      </x:c>
      <x:c r="C865" s="5" t="str">
        <x:v>General &amp; Administrative</x:v>
      </x:c>
      <x:c r="D865" s="5" t="str">
        <x:v>US Central</x:v>
      </x:c>
      <x:c r="E865" s="10" t="n">
        <x:v>6</x:v>
      </x:c>
      <x:c r="F865" s="7" t="n">
        <x:v>68134.12</x:v>
      </x:c>
      <x:c r="G865" s="8"/>
    </x:row>
    <x:row r="866">
      <x:c r="A866" s="6" t="n">
        <x:v>46113</x:v>
      </x:c>
      <x:c r="B866" s="5" t="str">
        <x:v>Legal &amp; Compliance</x:v>
      </x:c>
      <x:c r="C866" s="5" t="str">
        <x:v>General &amp; Administrative</x:v>
      </x:c>
      <x:c r="D866" s="5" t="str">
        <x:v>US Central</x:v>
      </x:c>
      <x:c r="E866" s="10" t="n">
        <x:v>4</x:v>
      </x:c>
      <x:c r="F866" s="7" t="n">
        <x:v>72432.35</x:v>
      </x:c>
      <x:c r="G866" s="8"/>
    </x:row>
    <x:row r="867">
      <x:c r="A867" s="6" t="n">
        <x:v>46113</x:v>
      </x:c>
      <x:c r="B867" s="5" t="str">
        <x:v>Information Technology</x:v>
      </x:c>
      <x:c r="C867" s="5" t="str">
        <x:v>General &amp; Administrative</x:v>
      </x:c>
      <x:c r="D867" s="5" t="str">
        <x:v>US Central</x:v>
      </x:c>
      <x:c r="E867" s="10" t="n">
        <x:v>4</x:v>
      </x:c>
      <x:c r="F867" s="7" t="n">
        <x:v>46426.66</x:v>
      </x:c>
      <x:c r="G867" s="8"/>
    </x:row>
    <x:row r="868">
      <x:c r="A868" s="6" t="n">
        <x:v>46113</x:v>
      </x:c>
      <x:c r="B868" s="5" t="str">
        <x:v>Executive</x:v>
      </x:c>
      <x:c r="C868" s="5" t="str">
        <x:v>General &amp; Administrative</x:v>
      </x:c>
      <x:c r="D868" s="5" t="str">
        <x:v>US Central</x:v>
      </x:c>
      <x:c r="E868" s="10" t="n">
        <x:v>2</x:v>
      </x:c>
      <x:c r="F868" s="7" t="n">
        <x:v>56813.45</x:v>
      </x:c>
      <x:c r="G868" s="8"/>
    </x:row>
    <x:row r="869">
      <x:c r="A869" s="6" t="n">
        <x:v>46143</x:v>
      </x:c>
      <x:c r="B869" s="5" t="str">
        <x:v>Cloud Operations</x:v>
      </x:c>
      <x:c r="C869" s="5" t="str">
        <x:v>Cost of Revenue</x:v>
      </x:c>
      <x:c r="D869" s="5" t="str">
        <x:v>US Central</x:v>
      </x:c>
      <x:c r="E869" s="10" t="n">
        <x:v>11</x:v>
      </x:c>
      <x:c r="F869" s="7" t="n">
        <x:v>221042.11</x:v>
      </x:c>
      <x:c r="G869" s="8"/>
    </x:row>
    <x:row r="870">
      <x:c r="A870" s="6" t="n">
        <x:v>46143</x:v>
      </x:c>
      <x:c r="B870" s="5" t="str">
        <x:v>Customer Support</x:v>
      </x:c>
      <x:c r="C870" s="5" t="str">
        <x:v>Cost of Revenue</x:v>
      </x:c>
      <x:c r="D870" s="5" t="str">
        <x:v>US Central</x:v>
      </x:c>
      <x:c r="E870" s="10" t="n">
        <x:v>14</x:v>
      </x:c>
      <x:c r="F870" s="7" t="n">
        <x:v>139271.91</x:v>
      </x:c>
      <x:c r="G870" s="8"/>
    </x:row>
    <x:row r="871">
      <x:c r="A871" s="6" t="n">
        <x:v>46143</x:v>
      </x:c>
      <x:c r="B871" s="5" t="str">
        <x:v>Professional Services</x:v>
      </x:c>
      <x:c r="C871" s="5" t="str">
        <x:v>Cost of Revenue</x:v>
      </x:c>
      <x:c r="D871" s="5" t="str">
        <x:v>US Central</x:v>
      </x:c>
      <x:c r="E871" s="10" t="n">
        <x:v>25</x:v>
      </x:c>
      <x:c r="F871" s="7" t="n">
        <x:v>352980.35</x:v>
      </x:c>
      <x:c r="G871" s="8" t="n">
        <x:v>0.7855</x:v>
      </x:c>
    </x:row>
    <x:row r="872">
      <x:c r="A872" s="6" t="n">
        <x:v>46143</x:v>
      </x:c>
      <x:c r="B872" s="5" t="str">
        <x:v>Sales</x:v>
      </x:c>
      <x:c r="C872" s="5" t="str">
        <x:v>Sales &amp; Marketing</x:v>
      </x:c>
      <x:c r="D872" s="5" t="str">
        <x:v>US Central</x:v>
      </x:c>
      <x:c r="E872" s="10" t="n">
        <x:v>18</x:v>
      </x:c>
      <x:c r="F872" s="7" t="n">
        <x:v>277812.26</x:v>
      </x:c>
      <x:c r="G872" s="8"/>
    </x:row>
    <x:row r="873">
      <x:c r="A873" s="6" t="n">
        <x:v>46143</x:v>
      </x:c>
      <x:c r="B873" s="5" t="str">
        <x:v>Marketing</x:v>
      </x:c>
      <x:c r="C873" s="5" t="str">
        <x:v>Sales &amp; Marketing</x:v>
      </x:c>
      <x:c r="D873" s="5" t="str">
        <x:v>US Central</x:v>
      </x:c>
      <x:c r="E873" s="10" t="n">
        <x:v>9</x:v>
      </x:c>
      <x:c r="F873" s="7" t="n">
        <x:v>104155.24</x:v>
      </x:c>
      <x:c r="G873" s="8"/>
    </x:row>
    <x:row r="874">
      <x:c r="A874" s="6" t="n">
        <x:v>46143</x:v>
      </x:c>
      <x:c r="B874" s="5" t="str">
        <x:v>Product &amp; Engineering</x:v>
      </x:c>
      <x:c r="C874" s="5" t="str">
        <x:v>Research &amp; Development</x:v>
      </x:c>
      <x:c r="D874" s="5" t="str">
        <x:v>US Central</x:v>
      </x:c>
      <x:c r="E874" s="10" t="n">
        <x:v>33.2</x:v>
      </x:c>
      <x:c r="F874" s="7" t="n">
        <x:v>580606.36</x:v>
      </x:c>
      <x:c r="G874" s="8"/>
    </x:row>
    <x:row r="875">
      <x:c r="A875" s="6" t="n">
        <x:v>46143</x:v>
      </x:c>
      <x:c r="B875" s="5" t="str">
        <x:v>Finance</x:v>
      </x:c>
      <x:c r="C875" s="5" t="str">
        <x:v>General &amp; Administrative</x:v>
      </x:c>
      <x:c r="D875" s="5" t="str">
        <x:v>US Central</x:v>
      </x:c>
      <x:c r="E875" s="10" t="n">
        <x:v>6</x:v>
      </x:c>
      <x:c r="F875" s="7" t="n">
        <x:v>79584.82</x:v>
      </x:c>
      <x:c r="G875" s="8"/>
    </x:row>
    <x:row r="876">
      <x:c r="A876" s="6" t="n">
        <x:v>46143</x:v>
      </x:c>
      <x:c r="B876" s="5" t="str">
        <x:v>People</x:v>
      </x:c>
      <x:c r="C876" s="5" t="str">
        <x:v>General &amp; Administrative</x:v>
      </x:c>
      <x:c r="D876" s="5" t="str">
        <x:v>US Central</x:v>
      </x:c>
      <x:c r="E876" s="10" t="n">
        <x:v>6</x:v>
      </x:c>
      <x:c r="F876" s="7" t="n">
        <x:v>68134.12</x:v>
      </x:c>
      <x:c r="G876" s="8"/>
    </x:row>
    <x:row r="877">
      <x:c r="A877" s="6" t="n">
        <x:v>46143</x:v>
      </x:c>
      <x:c r="B877" s="5" t="str">
        <x:v>Legal &amp; Compliance</x:v>
      </x:c>
      <x:c r="C877" s="5" t="str">
        <x:v>General &amp; Administrative</x:v>
      </x:c>
      <x:c r="D877" s="5" t="str">
        <x:v>US Central</x:v>
      </x:c>
      <x:c r="E877" s="10" t="n">
        <x:v>4</x:v>
      </x:c>
      <x:c r="F877" s="7" t="n">
        <x:v>72432.35</x:v>
      </x:c>
      <x:c r="G877" s="8"/>
    </x:row>
    <x:row r="878">
      <x:c r="A878" s="6" t="n">
        <x:v>46143</x:v>
      </x:c>
      <x:c r="B878" s="5" t="str">
        <x:v>Information Technology</x:v>
      </x:c>
      <x:c r="C878" s="5" t="str">
        <x:v>General &amp; Administrative</x:v>
      </x:c>
      <x:c r="D878" s="5" t="str">
        <x:v>US Central</x:v>
      </x:c>
      <x:c r="E878" s="10" t="n">
        <x:v>4</x:v>
      </x:c>
      <x:c r="F878" s="7" t="n">
        <x:v>46426.66</x:v>
      </x:c>
      <x:c r="G878" s="8"/>
    </x:row>
    <x:row r="879">
      <x:c r="A879" s="6" t="n">
        <x:v>46143</x:v>
      </x:c>
      <x:c r="B879" s="5" t="str">
        <x:v>Executive</x:v>
      </x:c>
      <x:c r="C879" s="5" t="str">
        <x:v>General &amp; Administrative</x:v>
      </x:c>
      <x:c r="D879" s="5" t="str">
        <x:v>US Central</x:v>
      </x:c>
      <x:c r="E879" s="10" t="n">
        <x:v>2</x:v>
      </x:c>
      <x:c r="F879" s="7" t="n">
        <x:v>56813.45</x:v>
      </x:c>
      <x:c r="G879" s="8"/>
    </x:row>
    <x:row r="880">
      <x:c r="A880" s="6" t="n">
        <x:v>46174</x:v>
      </x:c>
      <x:c r="B880" s="5" t="str">
        <x:v>Cloud Operations</x:v>
      </x:c>
      <x:c r="C880" s="5" t="str">
        <x:v>Cost of Revenue</x:v>
      </x:c>
      <x:c r="D880" s="5" t="str">
        <x:v>US Central</x:v>
      </x:c>
      <x:c r="E880" s="10" t="n">
        <x:v>11</x:v>
      </x:c>
      <x:c r="F880" s="7" t="n">
        <x:v>221042.11</x:v>
      </x:c>
      <x:c r="G880" s="8"/>
    </x:row>
    <x:row r="881">
      <x:c r="A881" s="6" t="n">
        <x:v>46174</x:v>
      </x:c>
      <x:c r="B881" s="5" t="str">
        <x:v>Customer Support</x:v>
      </x:c>
      <x:c r="C881" s="5" t="str">
        <x:v>Cost of Revenue</x:v>
      </x:c>
      <x:c r="D881" s="5" t="str">
        <x:v>US Central</x:v>
      </x:c>
      <x:c r="E881" s="10" t="n">
        <x:v>13</x:v>
      </x:c>
      <x:c r="F881" s="7" t="n">
        <x:v>126668.66</x:v>
      </x:c>
      <x:c r="G881" s="8"/>
    </x:row>
    <x:row r="882">
      <x:c r="A882" s="6" t="n">
        <x:v>46174</x:v>
      </x:c>
      <x:c r="B882" s="5" t="str">
        <x:v>Professional Services</x:v>
      </x:c>
      <x:c r="C882" s="5" t="str">
        <x:v>Cost of Revenue</x:v>
      </x:c>
      <x:c r="D882" s="5" t="str">
        <x:v>US Central</x:v>
      </x:c>
      <x:c r="E882" s="10" t="n">
        <x:v>25</x:v>
      </x:c>
      <x:c r="F882" s="7" t="n">
        <x:v>352980.35</x:v>
      </x:c>
      <x:c r="G882" s="8" t="n">
        <x:v>0.7701</x:v>
      </x:c>
    </x:row>
    <x:row r="883">
      <x:c r="A883" s="6" t="n">
        <x:v>46174</x:v>
      </x:c>
      <x:c r="B883" s="5" t="str">
        <x:v>Sales</x:v>
      </x:c>
      <x:c r="C883" s="5" t="str">
        <x:v>Sales &amp; Marketing</x:v>
      </x:c>
      <x:c r="D883" s="5" t="str">
        <x:v>US Central</x:v>
      </x:c>
      <x:c r="E883" s="10" t="n">
        <x:v>19</x:v>
      </x:c>
      <x:c r="F883" s="7" t="n">
        <x:v>286384.87</x:v>
      </x:c>
      <x:c r="G883" s="8"/>
    </x:row>
    <x:row r="884">
      <x:c r="A884" s="6" t="n">
        <x:v>46174</x:v>
      </x:c>
      <x:c r="B884" s="5" t="str">
        <x:v>Marketing</x:v>
      </x:c>
      <x:c r="C884" s="5" t="str">
        <x:v>Sales &amp; Marketing</x:v>
      </x:c>
      <x:c r="D884" s="5" t="str">
        <x:v>US Central</x:v>
      </x:c>
      <x:c r="E884" s="10" t="n">
        <x:v>9</x:v>
      </x:c>
      <x:c r="F884" s="7" t="n">
        <x:v>104155.24</x:v>
      </x:c>
      <x:c r="G884" s="8"/>
    </x:row>
    <x:row r="885">
      <x:c r="A885" s="6" t="n">
        <x:v>46174</x:v>
      </x:c>
      <x:c r="B885" s="5" t="str">
        <x:v>Product &amp; Engineering</x:v>
      </x:c>
      <x:c r="C885" s="5" t="str">
        <x:v>Research &amp; Development</x:v>
      </x:c>
      <x:c r="D885" s="5" t="str">
        <x:v>US Central</x:v>
      </x:c>
      <x:c r="E885" s="10" t="n">
        <x:v>33.2</x:v>
      </x:c>
      <x:c r="F885" s="7" t="n">
        <x:v>580606.36</x:v>
      </x:c>
      <x:c r="G885" s="8"/>
    </x:row>
    <x:row r="886">
      <x:c r="A886" s="6" t="n">
        <x:v>46174</x:v>
      </x:c>
      <x:c r="B886" s="5" t="str">
        <x:v>Finance</x:v>
      </x:c>
      <x:c r="C886" s="5" t="str">
        <x:v>General &amp; Administrative</x:v>
      </x:c>
      <x:c r="D886" s="5" t="str">
        <x:v>US Central</x:v>
      </x:c>
      <x:c r="E886" s="10" t="n">
        <x:v>6</x:v>
      </x:c>
      <x:c r="F886" s="7" t="n">
        <x:v>79584.82</x:v>
      </x:c>
      <x:c r="G886" s="8"/>
    </x:row>
    <x:row r="887">
      <x:c r="A887" s="6" t="n">
        <x:v>46174</x:v>
      </x:c>
      <x:c r="B887" s="5" t="str">
        <x:v>People</x:v>
      </x:c>
      <x:c r="C887" s="5" t="str">
        <x:v>General &amp; Administrative</x:v>
      </x:c>
      <x:c r="D887" s="5" t="str">
        <x:v>US Central</x:v>
      </x:c>
      <x:c r="E887" s="10" t="n">
        <x:v>6</x:v>
      </x:c>
      <x:c r="F887" s="7" t="n">
        <x:v>68134.12</x:v>
      </x:c>
      <x:c r="G887" s="8"/>
    </x:row>
    <x:row r="888">
      <x:c r="A888" s="6" t="n">
        <x:v>46174</x:v>
      </x:c>
      <x:c r="B888" s="5" t="str">
        <x:v>Legal &amp; Compliance</x:v>
      </x:c>
      <x:c r="C888" s="5" t="str">
        <x:v>General &amp; Administrative</x:v>
      </x:c>
      <x:c r="D888" s="5" t="str">
        <x:v>US Central</x:v>
      </x:c>
      <x:c r="E888" s="10" t="n">
        <x:v>4</x:v>
      </x:c>
      <x:c r="F888" s="7" t="n">
        <x:v>72432.35</x:v>
      </x:c>
      <x:c r="G888" s="8"/>
    </x:row>
    <x:row r="889">
      <x:c r="A889" s="6" t="n">
        <x:v>46174</x:v>
      </x:c>
      <x:c r="B889" s="5" t="str">
        <x:v>Information Technology</x:v>
      </x:c>
      <x:c r="C889" s="5" t="str">
        <x:v>General &amp; Administrative</x:v>
      </x:c>
      <x:c r="D889" s="5" t="str">
        <x:v>US Central</x:v>
      </x:c>
      <x:c r="E889" s="10" t="n">
        <x:v>4</x:v>
      </x:c>
      <x:c r="F889" s="7" t="n">
        <x:v>46426.66</x:v>
      </x:c>
      <x:c r="G889" s="8"/>
    </x:row>
    <x:row r="890">
      <x:c r="A890" s="6" t="n">
        <x:v>46174</x:v>
      </x:c>
      <x:c r="B890" s="5" t="str">
        <x:v>Executive</x:v>
      </x:c>
      <x:c r="C890" s="5" t="str">
        <x:v>General &amp; Administrative</x:v>
      </x:c>
      <x:c r="D890" s="5" t="str">
        <x:v>US Central</x:v>
      </x:c>
      <x:c r="E890" s="10" t="n">
        <x:v>2</x:v>
      </x:c>
      <x:c r="F890" s="7" t="n">
        <x:v>56813.45</x:v>
      </x:c>
      <x:c r="G890" s="8"/>
    </x:row>
    <x:row r="891">
      <x:c r="A891" s="6" t="n">
        <x:v>44927</x:v>
      </x:c>
      <x:c r="B891" s="5" t="str">
        <x:v>Cloud Operations</x:v>
      </x:c>
      <x:c r="C891" s="5" t="str">
        <x:v>Cost of Revenue</x:v>
      </x:c>
      <x:c r="D891" s="5" t="str">
        <x:v>US East</x:v>
      </x:c>
      <x:c r="E891" s="10" t="n">
        <x:v>1</x:v>
      </x:c>
      <x:c r="F891" s="7" t="n">
        <x:v>13683.39</x:v>
      </x:c>
      <x:c r="G891" s="8"/>
    </x:row>
    <x:row r="892">
      <x:c r="A892" s="6" t="n">
        <x:v>44927</x:v>
      </x:c>
      <x:c r="B892" s="5" t="str">
        <x:v>Customer Support</x:v>
      </x:c>
      <x:c r="C892" s="5" t="str">
        <x:v>Cost of Revenue</x:v>
      </x:c>
      <x:c r="D892" s="5" t="str">
        <x:v>US East</x:v>
      </x:c>
      <x:c r="E892" s="10" t="n">
        <x:v>6</x:v>
      </x:c>
      <x:c r="F892" s="7" t="n">
        <x:v>72945.76</x:v>
      </x:c>
      <x:c r="G892" s="8"/>
    </x:row>
    <x:row r="893">
      <x:c r="A893" s="6" t="n">
        <x:v>44927</x:v>
      </x:c>
      <x:c r="B893" s="5" t="str">
        <x:v>Professional Services</x:v>
      </x:c>
      <x:c r="C893" s="5" t="str">
        <x:v>Cost of Revenue</x:v>
      </x:c>
      <x:c r="D893" s="5" t="str">
        <x:v>US East</x:v>
      </x:c>
      <x:c r="E893" s="10" t="n">
        <x:v>21</x:v>
      </x:c>
      <x:c r="F893" s="7" t="n">
        <x:v>304415.78</x:v>
      </x:c>
      <x:c r="G893" s="8" t="n">
        <x:v>0.7225</x:v>
      </x:c>
    </x:row>
    <x:row r="894">
      <x:c r="A894" s="6" t="n">
        <x:v>44927</x:v>
      </x:c>
      <x:c r="B894" s="5" t="str">
        <x:v>Sales</x:v>
      </x:c>
      <x:c r="C894" s="5" t="str">
        <x:v>Sales &amp; Marketing</x:v>
      </x:c>
      <x:c r="D894" s="5" t="str">
        <x:v>US East</x:v>
      </x:c>
      <x:c r="E894" s="10" t="n">
        <x:v>23.6</x:v>
      </x:c>
      <x:c r="F894" s="7" t="n">
        <x:v>457804.58</x:v>
      </x:c>
      <x:c r="G894" s="8"/>
    </x:row>
    <x:row r="895">
      <x:c r="A895" s="6" t="n">
        <x:v>44927</x:v>
      </x:c>
      <x:c r="B895" s="5" t="str">
        <x:v>Marketing</x:v>
      </x:c>
      <x:c r="C895" s="5" t="str">
        <x:v>Sales &amp; Marketing</x:v>
      </x:c>
      <x:c r="D895" s="5" t="str">
        <x:v>US East</x:v>
      </x:c>
      <x:c r="E895" s="10" t="n">
        <x:v>3</x:v>
      </x:c>
      <x:c r="F895" s="7" t="n">
        <x:v>42907.56</x:v>
      </x:c>
      <x:c r="G895" s="8"/>
    </x:row>
    <x:row r="896">
      <x:c r="A896" s="6" t="n">
        <x:v>44927</x:v>
      </x:c>
      <x:c r="B896" s="5" t="str">
        <x:v>Product &amp; Engineering</x:v>
      </x:c>
      <x:c r="C896" s="5" t="str">
        <x:v>Research &amp; Development</x:v>
      </x:c>
      <x:c r="D896" s="5" t="str">
        <x:v>US East</x:v>
      </x:c>
      <x:c r="E896" s="10" t="n">
        <x:v>13.6</x:v>
      </x:c>
      <x:c r="F896" s="7" t="n">
        <x:v>265279.29</x:v>
      </x:c>
      <x:c r="G896" s="8"/>
    </x:row>
    <x:row r="897">
      <x:c r="A897" s="6" t="n">
        <x:v>44927</x:v>
      </x:c>
      <x:c r="B897" s="5" t="str">
        <x:v>Finance</x:v>
      </x:c>
      <x:c r="C897" s="5" t="str">
        <x:v>General &amp; Administrative</x:v>
      </x:c>
      <x:c r="D897" s="5" t="str">
        <x:v>US East</x:v>
      </x:c>
      <x:c r="E897" s="10" t="n">
        <x:v>2</x:v>
      </x:c>
      <x:c r="F897" s="7" t="n">
        <x:v>45928.92</x:v>
      </x:c>
      <x:c r="G897" s="8"/>
    </x:row>
    <x:row r="898">
      <x:c r="A898" s="6" t="n">
        <x:v>44927</x:v>
      </x:c>
      <x:c r="B898" s="5" t="str">
        <x:v>People</x:v>
      </x:c>
      <x:c r="C898" s="5" t="str">
        <x:v>General &amp; Administrative</x:v>
      </x:c>
      <x:c r="D898" s="5" t="str">
        <x:v>US East</x:v>
      </x:c>
      <x:c r="E898" s="10" t="n">
        <x:v>2</x:v>
      </x:c>
      <x:c r="F898" s="7" t="n">
        <x:v>30746.44</x:v>
      </x:c>
      <x:c r="G898" s="8"/>
    </x:row>
    <x:row r="899">
      <x:c r="A899" s="6" t="n">
        <x:v>44927</x:v>
      </x:c>
      <x:c r="B899" s="5" t="str">
        <x:v>Legal &amp; Compliance</x:v>
      </x:c>
      <x:c r="C899" s="5" t="str">
        <x:v>General &amp; Administrative</x:v>
      </x:c>
      <x:c r="D899" s="5" t="str">
        <x:v>US East</x:v>
      </x:c>
      <x:c r="E899" s="10" t="n">
        <x:v>2</x:v>
      </x:c>
      <x:c r="F899" s="7" t="n">
        <x:v>83108.75</x:v>
      </x:c>
      <x:c r="G899" s="8"/>
    </x:row>
    <x:row r="900">
      <x:c r="A900" s="6" t="n">
        <x:v>44927</x:v>
      </x:c>
      <x:c r="B900" s="5" t="str">
        <x:v>Information Technology</x:v>
      </x:c>
      <x:c r="C900" s="5" t="str">
        <x:v>General &amp; Administrative</x:v>
      </x:c>
      <x:c r="D900" s="5" t="str">
        <x:v>US East</x:v>
      </x:c>
      <x:c r="E900" s="10" t="n">
        <x:v>3</x:v>
      </x:c>
      <x:c r="F900" s="7" t="n">
        <x:v>44340.94</x:v>
      </x:c>
      <x:c r="G900" s="8"/>
    </x:row>
    <x:row r="901">
      <x:c r="A901" s="6" t="n">
        <x:v>44958</x:v>
      </x:c>
      <x:c r="B901" s="5" t="str">
        <x:v>Cloud Operations</x:v>
      </x:c>
      <x:c r="C901" s="5" t="str">
        <x:v>Cost of Revenue</x:v>
      </x:c>
      <x:c r="D901" s="5" t="str">
        <x:v>US East</x:v>
      </x:c>
      <x:c r="E901" s="10" t="n">
        <x:v>1</x:v>
      </x:c>
      <x:c r="F901" s="7" t="n">
        <x:v>13683.39</x:v>
      </x:c>
      <x:c r="G901" s="8"/>
    </x:row>
    <x:row r="902">
      <x:c r="A902" s="6" t="n">
        <x:v>44958</x:v>
      </x:c>
      <x:c r="B902" s="5" t="str">
        <x:v>Customer Support</x:v>
      </x:c>
      <x:c r="C902" s="5" t="str">
        <x:v>Cost of Revenue</x:v>
      </x:c>
      <x:c r="D902" s="5" t="str">
        <x:v>US East</x:v>
      </x:c>
      <x:c r="E902" s="10" t="n">
        <x:v>6</x:v>
      </x:c>
      <x:c r="F902" s="7" t="n">
        <x:v>72945.76</x:v>
      </x:c>
      <x:c r="G902" s="8"/>
    </x:row>
    <x:row r="903">
      <x:c r="A903" s="6" t="n">
        <x:v>44958</x:v>
      </x:c>
      <x:c r="B903" s="5" t="str">
        <x:v>Professional Services</x:v>
      </x:c>
      <x:c r="C903" s="5" t="str">
        <x:v>Cost of Revenue</x:v>
      </x:c>
      <x:c r="D903" s="5" t="str">
        <x:v>US East</x:v>
      </x:c>
      <x:c r="E903" s="10" t="n">
        <x:v>21</x:v>
      </x:c>
      <x:c r="F903" s="7" t="n">
        <x:v>304415.78</x:v>
      </x:c>
      <x:c r="G903" s="8" t="n">
        <x:v>0.7281</x:v>
      </x:c>
    </x:row>
    <x:row r="904">
      <x:c r="A904" s="6" t="n">
        <x:v>44958</x:v>
      </x:c>
      <x:c r="B904" s="5" t="str">
        <x:v>Sales</x:v>
      </x:c>
      <x:c r="C904" s="5" t="str">
        <x:v>Sales &amp; Marketing</x:v>
      </x:c>
      <x:c r="D904" s="5" t="str">
        <x:v>US East</x:v>
      </x:c>
      <x:c r="E904" s="10" t="n">
        <x:v>24.6</x:v>
      </x:c>
      <x:c r="F904" s="7" t="n">
        <x:v>467725.74</x:v>
      </x:c>
      <x:c r="G904" s="8"/>
    </x:row>
    <x:row r="905">
      <x:c r="A905" s="6" t="n">
        <x:v>44958</x:v>
      </x:c>
      <x:c r="B905" s="5" t="str">
        <x:v>Marketing</x:v>
      </x:c>
      <x:c r="C905" s="5" t="str">
        <x:v>Sales &amp; Marketing</x:v>
      </x:c>
      <x:c r="D905" s="5" t="str">
        <x:v>US East</x:v>
      </x:c>
      <x:c r="E905" s="10" t="n">
        <x:v>3</x:v>
      </x:c>
      <x:c r="F905" s="7" t="n">
        <x:v>42907.56</x:v>
      </x:c>
      <x:c r="G905" s="8"/>
    </x:row>
    <x:row r="906">
      <x:c r="A906" s="6" t="n">
        <x:v>44958</x:v>
      </x:c>
      <x:c r="B906" s="5" t="str">
        <x:v>Product &amp; Engineering</x:v>
      </x:c>
      <x:c r="C906" s="5" t="str">
        <x:v>Research &amp; Development</x:v>
      </x:c>
      <x:c r="D906" s="5" t="str">
        <x:v>US East</x:v>
      </x:c>
      <x:c r="E906" s="10" t="n">
        <x:v>13.6</x:v>
      </x:c>
      <x:c r="F906" s="7" t="n">
        <x:v>265279.29</x:v>
      </x:c>
      <x:c r="G906" s="8"/>
    </x:row>
    <x:row r="907">
      <x:c r="A907" s="6" t="n">
        <x:v>44958</x:v>
      </x:c>
      <x:c r="B907" s="5" t="str">
        <x:v>Finance</x:v>
      </x:c>
      <x:c r="C907" s="5" t="str">
        <x:v>General &amp; Administrative</x:v>
      </x:c>
      <x:c r="D907" s="5" t="str">
        <x:v>US East</x:v>
      </x:c>
      <x:c r="E907" s="10" t="n">
        <x:v>2</x:v>
      </x:c>
      <x:c r="F907" s="7" t="n">
        <x:v>45928.92</x:v>
      </x:c>
      <x:c r="G907" s="8"/>
    </x:row>
    <x:row r="908">
      <x:c r="A908" s="6" t="n">
        <x:v>44958</x:v>
      </x:c>
      <x:c r="B908" s="5" t="str">
        <x:v>People</x:v>
      </x:c>
      <x:c r="C908" s="5" t="str">
        <x:v>General &amp; Administrative</x:v>
      </x:c>
      <x:c r="D908" s="5" t="str">
        <x:v>US East</x:v>
      </x:c>
      <x:c r="E908" s="10" t="n">
        <x:v>3</x:v>
      </x:c>
      <x:c r="F908" s="7" t="n">
        <x:v>40571.98</x:v>
      </x:c>
      <x:c r="G908" s="8"/>
    </x:row>
    <x:row r="909">
      <x:c r="A909" s="6" t="n">
        <x:v>44958</x:v>
      </x:c>
      <x:c r="B909" s="5" t="str">
        <x:v>Legal &amp; Compliance</x:v>
      </x:c>
      <x:c r="C909" s="5" t="str">
        <x:v>General &amp; Administrative</x:v>
      </x:c>
      <x:c r="D909" s="5" t="str">
        <x:v>US East</x:v>
      </x:c>
      <x:c r="E909" s="10" t="n">
        <x:v>2</x:v>
      </x:c>
      <x:c r="F909" s="7" t="n">
        <x:v>83108.75</x:v>
      </x:c>
      <x:c r="G909" s="8"/>
    </x:row>
    <x:row r="910">
      <x:c r="A910" s="6" t="n">
        <x:v>44958</x:v>
      </x:c>
      <x:c r="B910" s="5" t="str">
        <x:v>Information Technology</x:v>
      </x:c>
      <x:c r="C910" s="5" t="str">
        <x:v>General &amp; Administrative</x:v>
      </x:c>
      <x:c r="D910" s="5" t="str">
        <x:v>US East</x:v>
      </x:c>
      <x:c r="E910" s="10" t="n">
        <x:v>3</x:v>
      </x:c>
      <x:c r="F910" s="7" t="n">
        <x:v>44340.94</x:v>
      </x:c>
      <x:c r="G910" s="8"/>
    </x:row>
    <x:row r="911">
      <x:c r="A911" s="6" t="n">
        <x:v>44986</x:v>
      </x:c>
      <x:c r="B911" s="5" t="str">
        <x:v>Cloud Operations</x:v>
      </x:c>
      <x:c r="C911" s="5" t="str">
        <x:v>Cost of Revenue</x:v>
      </x:c>
      <x:c r="D911" s="5" t="str">
        <x:v>US East</x:v>
      </x:c>
      <x:c r="E911" s="10" t="n">
        <x:v>1</x:v>
      </x:c>
      <x:c r="F911" s="7" t="n">
        <x:v>13683.39</x:v>
      </x:c>
      <x:c r="G911" s="8"/>
    </x:row>
    <x:row r="912">
      <x:c r="A912" s="6" t="n">
        <x:v>44986</x:v>
      </x:c>
      <x:c r="B912" s="5" t="str">
        <x:v>Customer Support</x:v>
      </x:c>
      <x:c r="C912" s="5" t="str">
        <x:v>Cost of Revenue</x:v>
      </x:c>
      <x:c r="D912" s="5" t="str">
        <x:v>US East</x:v>
      </x:c>
      <x:c r="E912" s="10" t="n">
        <x:v>6</x:v>
      </x:c>
      <x:c r="F912" s="7" t="n">
        <x:v>72945.76</x:v>
      </x:c>
      <x:c r="G912" s="8"/>
    </x:row>
    <x:row r="913">
      <x:c r="A913" s="6" t="n">
        <x:v>44986</x:v>
      </x:c>
      <x:c r="B913" s="5" t="str">
        <x:v>Professional Services</x:v>
      </x:c>
      <x:c r="C913" s="5" t="str">
        <x:v>Cost of Revenue</x:v>
      </x:c>
      <x:c r="D913" s="5" t="str">
        <x:v>US East</x:v>
      </x:c>
      <x:c r="E913" s="10" t="n">
        <x:v>21</x:v>
      </x:c>
      <x:c r="F913" s="7" t="n">
        <x:v>304415.78</x:v>
      </x:c>
      <x:c r="G913" s="8" t="n">
        <x:v>0.7494</x:v>
      </x:c>
    </x:row>
    <x:row r="914">
      <x:c r="A914" s="6" t="n">
        <x:v>44986</x:v>
      </x:c>
      <x:c r="B914" s="5" t="str">
        <x:v>Sales</x:v>
      </x:c>
      <x:c r="C914" s="5" t="str">
        <x:v>Sales &amp; Marketing</x:v>
      </x:c>
      <x:c r="D914" s="5" t="str">
        <x:v>US East</x:v>
      </x:c>
      <x:c r="E914" s="10" t="n">
        <x:v>24.6</x:v>
      </x:c>
      <x:c r="F914" s="7" t="n">
        <x:v>467725.74</x:v>
      </x:c>
      <x:c r="G914" s="8"/>
    </x:row>
    <x:row r="915">
      <x:c r="A915" s="6" t="n">
        <x:v>44986</x:v>
      </x:c>
      <x:c r="B915" s="5" t="str">
        <x:v>Marketing</x:v>
      </x:c>
      <x:c r="C915" s="5" t="str">
        <x:v>Sales &amp; Marketing</x:v>
      </x:c>
      <x:c r="D915" s="5" t="str">
        <x:v>US East</x:v>
      </x:c>
      <x:c r="E915" s="10" t="n">
        <x:v>3</x:v>
      </x:c>
      <x:c r="F915" s="7" t="n">
        <x:v>42907.56</x:v>
      </x:c>
      <x:c r="G915" s="8"/>
    </x:row>
    <x:row r="916">
      <x:c r="A916" s="6" t="n">
        <x:v>44986</x:v>
      </x:c>
      <x:c r="B916" s="5" t="str">
        <x:v>Product &amp; Engineering</x:v>
      </x:c>
      <x:c r="C916" s="5" t="str">
        <x:v>Research &amp; Development</x:v>
      </x:c>
      <x:c r="D916" s="5" t="str">
        <x:v>US East</x:v>
      </x:c>
      <x:c r="E916" s="10" t="n">
        <x:v>13.6</x:v>
      </x:c>
      <x:c r="F916" s="7" t="n">
        <x:v>265279.29</x:v>
      </x:c>
      <x:c r="G916" s="8"/>
    </x:row>
    <x:row r="917">
      <x:c r="A917" s="6" t="n">
        <x:v>44986</x:v>
      </x:c>
      <x:c r="B917" s="5" t="str">
        <x:v>Finance</x:v>
      </x:c>
      <x:c r="C917" s="5" t="str">
        <x:v>General &amp; Administrative</x:v>
      </x:c>
      <x:c r="D917" s="5" t="str">
        <x:v>US East</x:v>
      </x:c>
      <x:c r="E917" s="10" t="n">
        <x:v>2</x:v>
      </x:c>
      <x:c r="F917" s="7" t="n">
        <x:v>45928.92</x:v>
      </x:c>
      <x:c r="G917" s="8"/>
    </x:row>
    <x:row r="918">
      <x:c r="A918" s="6" t="n">
        <x:v>44986</x:v>
      </x:c>
      <x:c r="B918" s="5" t="str">
        <x:v>People</x:v>
      </x:c>
      <x:c r="C918" s="5" t="str">
        <x:v>General &amp; Administrative</x:v>
      </x:c>
      <x:c r="D918" s="5" t="str">
        <x:v>US East</x:v>
      </x:c>
      <x:c r="E918" s="10" t="n">
        <x:v>3</x:v>
      </x:c>
      <x:c r="F918" s="7" t="n">
        <x:v>40571.98</x:v>
      </x:c>
      <x:c r="G918" s="8"/>
    </x:row>
    <x:row r="919">
      <x:c r="A919" s="6" t="n">
        <x:v>44986</x:v>
      </x:c>
      <x:c r="B919" s="5" t="str">
        <x:v>Legal &amp; Compliance</x:v>
      </x:c>
      <x:c r="C919" s="5" t="str">
        <x:v>General &amp; Administrative</x:v>
      </x:c>
      <x:c r="D919" s="5" t="str">
        <x:v>US East</x:v>
      </x:c>
      <x:c r="E919" s="10" t="n">
        <x:v>2</x:v>
      </x:c>
      <x:c r="F919" s="7" t="n">
        <x:v>83108.75</x:v>
      </x:c>
      <x:c r="G919" s="8"/>
    </x:row>
    <x:row r="920">
      <x:c r="A920" s="6" t="n">
        <x:v>44986</x:v>
      </x:c>
      <x:c r="B920" s="5" t="str">
        <x:v>Information Technology</x:v>
      </x:c>
      <x:c r="C920" s="5" t="str">
        <x:v>General &amp; Administrative</x:v>
      </x:c>
      <x:c r="D920" s="5" t="str">
        <x:v>US East</x:v>
      </x:c>
      <x:c r="E920" s="10" t="n">
        <x:v>3</x:v>
      </x:c>
      <x:c r="F920" s="7" t="n">
        <x:v>44340.94</x:v>
      </x:c>
      <x:c r="G920" s="8"/>
    </x:row>
    <x:row r="921">
      <x:c r="A921" s="6" t="n">
        <x:v>45017</x:v>
      </x:c>
      <x:c r="B921" s="5" t="str">
        <x:v>Cloud Operations</x:v>
      </x:c>
      <x:c r="C921" s="5" t="str">
        <x:v>Cost of Revenue</x:v>
      </x:c>
      <x:c r="D921" s="5" t="str">
        <x:v>US East</x:v>
      </x:c>
      <x:c r="E921" s="10" t="n">
        <x:v>1</x:v>
      </x:c>
      <x:c r="F921" s="7" t="n">
        <x:v>13683.39</x:v>
      </x:c>
      <x:c r="G921" s="8"/>
    </x:row>
    <x:row r="922">
      <x:c r="A922" s="6" t="n">
        <x:v>45017</x:v>
      </x:c>
      <x:c r="B922" s="5" t="str">
        <x:v>Customer Support</x:v>
      </x:c>
      <x:c r="C922" s="5" t="str">
        <x:v>Cost of Revenue</x:v>
      </x:c>
      <x:c r="D922" s="5" t="str">
        <x:v>US East</x:v>
      </x:c>
      <x:c r="E922" s="10" t="n">
        <x:v>6</x:v>
      </x:c>
      <x:c r="F922" s="7" t="n">
        <x:v>72945.76</x:v>
      </x:c>
      <x:c r="G922" s="8"/>
    </x:row>
    <x:row r="923">
      <x:c r="A923" s="6" t="n">
        <x:v>45017</x:v>
      </x:c>
      <x:c r="B923" s="5" t="str">
        <x:v>Professional Services</x:v>
      </x:c>
      <x:c r="C923" s="5" t="str">
        <x:v>Cost of Revenue</x:v>
      </x:c>
      <x:c r="D923" s="5" t="str">
        <x:v>US East</x:v>
      </x:c>
      <x:c r="E923" s="10" t="n">
        <x:v>22</x:v>
      </x:c>
      <x:c r="F923" s="7" t="n">
        <x:v>315084.21</x:v>
      </x:c>
      <x:c r="G923" s="8" t="n">
        <x:v>0.7443</x:v>
      </x:c>
    </x:row>
    <x:row r="924">
      <x:c r="A924" s="6" t="n">
        <x:v>45017</x:v>
      </x:c>
      <x:c r="B924" s="5" t="str">
        <x:v>Sales</x:v>
      </x:c>
      <x:c r="C924" s="5" t="str">
        <x:v>Sales &amp; Marketing</x:v>
      </x:c>
      <x:c r="D924" s="5" t="str">
        <x:v>US East</x:v>
      </x:c>
      <x:c r="E924" s="10" t="n">
        <x:v>24.6</x:v>
      </x:c>
      <x:c r="F924" s="7" t="n">
        <x:v>467725.74</x:v>
      </x:c>
      <x:c r="G924" s="8"/>
    </x:row>
    <x:row r="925">
      <x:c r="A925" s="6" t="n">
        <x:v>45017</x:v>
      </x:c>
      <x:c r="B925" s="5" t="str">
        <x:v>Marketing</x:v>
      </x:c>
      <x:c r="C925" s="5" t="str">
        <x:v>Sales &amp; Marketing</x:v>
      </x:c>
      <x:c r="D925" s="5" t="str">
        <x:v>US East</x:v>
      </x:c>
      <x:c r="E925" s="10" t="n">
        <x:v>3</x:v>
      </x:c>
      <x:c r="F925" s="7" t="n">
        <x:v>42907.56</x:v>
      </x:c>
      <x:c r="G925" s="8"/>
    </x:row>
    <x:row r="926">
      <x:c r="A926" s="6" t="n">
        <x:v>45017</x:v>
      </x:c>
      <x:c r="B926" s="5" t="str">
        <x:v>Product &amp; Engineering</x:v>
      </x:c>
      <x:c r="C926" s="5" t="str">
        <x:v>Research &amp; Development</x:v>
      </x:c>
      <x:c r="D926" s="5" t="str">
        <x:v>US East</x:v>
      </x:c>
      <x:c r="E926" s="10" t="n">
        <x:v>13.6</x:v>
      </x:c>
      <x:c r="F926" s="7" t="n">
        <x:v>265279.29</x:v>
      </x:c>
      <x:c r="G926" s="8"/>
    </x:row>
    <x:row r="927">
      <x:c r="A927" s="6" t="n">
        <x:v>45017</x:v>
      </x:c>
      <x:c r="B927" s="5" t="str">
        <x:v>Finance</x:v>
      </x:c>
      <x:c r="C927" s="5" t="str">
        <x:v>General &amp; Administrative</x:v>
      </x:c>
      <x:c r="D927" s="5" t="str">
        <x:v>US East</x:v>
      </x:c>
      <x:c r="E927" s="10" t="n">
        <x:v>2</x:v>
      </x:c>
      <x:c r="F927" s="7" t="n">
        <x:v>45928.92</x:v>
      </x:c>
      <x:c r="G927" s="8"/>
    </x:row>
    <x:row r="928">
      <x:c r="A928" s="6" t="n">
        <x:v>45017</x:v>
      </x:c>
      <x:c r="B928" s="5" t="str">
        <x:v>People</x:v>
      </x:c>
      <x:c r="C928" s="5" t="str">
        <x:v>General &amp; Administrative</x:v>
      </x:c>
      <x:c r="D928" s="5" t="str">
        <x:v>US East</x:v>
      </x:c>
      <x:c r="E928" s="10" t="n">
        <x:v>4</x:v>
      </x:c>
      <x:c r="F928" s="7" t="n">
        <x:v>51255.15</x:v>
      </x:c>
      <x:c r="G928" s="8"/>
    </x:row>
    <x:row r="929">
      <x:c r="A929" s="6" t="n">
        <x:v>45017</x:v>
      </x:c>
      <x:c r="B929" s="5" t="str">
        <x:v>Legal &amp; Compliance</x:v>
      </x:c>
      <x:c r="C929" s="5" t="str">
        <x:v>General &amp; Administrative</x:v>
      </x:c>
      <x:c r="D929" s="5" t="str">
        <x:v>US East</x:v>
      </x:c>
      <x:c r="E929" s="10" t="n">
        <x:v>2</x:v>
      </x:c>
      <x:c r="F929" s="7" t="n">
        <x:v>83108.75</x:v>
      </x:c>
      <x:c r="G929" s="8"/>
    </x:row>
    <x:row r="930">
      <x:c r="A930" s="6" t="n">
        <x:v>45017</x:v>
      </x:c>
      <x:c r="B930" s="5" t="str">
        <x:v>Information Technology</x:v>
      </x:c>
      <x:c r="C930" s="5" t="str">
        <x:v>General &amp; Administrative</x:v>
      </x:c>
      <x:c r="D930" s="5" t="str">
        <x:v>US East</x:v>
      </x:c>
      <x:c r="E930" s="10" t="n">
        <x:v>3</x:v>
      </x:c>
      <x:c r="F930" s="7" t="n">
        <x:v>44340.94</x:v>
      </x:c>
      <x:c r="G930" s="8"/>
    </x:row>
    <x:row r="931">
      <x:c r="A931" s="6" t="n">
        <x:v>45047</x:v>
      </x:c>
      <x:c r="B931" s="5" t="str">
        <x:v>Cloud Operations</x:v>
      </x:c>
      <x:c r="C931" s="5" t="str">
        <x:v>Cost of Revenue</x:v>
      </x:c>
      <x:c r="D931" s="5" t="str">
        <x:v>US East</x:v>
      </x:c>
      <x:c r="E931" s="10" t="n">
        <x:v>1</x:v>
      </x:c>
      <x:c r="F931" s="7" t="n">
        <x:v>13683.39</x:v>
      </x:c>
      <x:c r="G931" s="8"/>
    </x:row>
    <x:row r="932">
      <x:c r="A932" s="6" t="n">
        <x:v>45047</x:v>
      </x:c>
      <x:c r="B932" s="5" t="str">
        <x:v>Customer Support</x:v>
      </x:c>
      <x:c r="C932" s="5" t="str">
        <x:v>Cost of Revenue</x:v>
      </x:c>
      <x:c r="D932" s="5" t="str">
        <x:v>US East</x:v>
      </x:c>
      <x:c r="E932" s="10" t="n">
        <x:v>6</x:v>
      </x:c>
      <x:c r="F932" s="7" t="n">
        <x:v>72945.76</x:v>
      </x:c>
      <x:c r="G932" s="8"/>
    </x:row>
    <x:row r="933">
      <x:c r="A933" s="6" t="n">
        <x:v>45047</x:v>
      </x:c>
      <x:c r="B933" s="5" t="str">
        <x:v>Professional Services</x:v>
      </x:c>
      <x:c r="C933" s="5" t="str">
        <x:v>Cost of Revenue</x:v>
      </x:c>
      <x:c r="D933" s="5" t="str">
        <x:v>US East</x:v>
      </x:c>
      <x:c r="E933" s="10" t="n">
        <x:v>22</x:v>
      </x:c>
      <x:c r="F933" s="7" t="n">
        <x:v>315084.21</x:v>
      </x:c>
      <x:c r="G933" s="8" t="n">
        <x:v>0.7538</x:v>
      </x:c>
    </x:row>
    <x:row r="934">
      <x:c r="A934" s="6" t="n">
        <x:v>45047</x:v>
      </x:c>
      <x:c r="B934" s="5" t="str">
        <x:v>Sales</x:v>
      </x:c>
      <x:c r="C934" s="5" t="str">
        <x:v>Sales &amp; Marketing</x:v>
      </x:c>
      <x:c r="D934" s="5" t="str">
        <x:v>US East</x:v>
      </x:c>
      <x:c r="E934" s="10" t="n">
        <x:v>24.6</x:v>
      </x:c>
      <x:c r="F934" s="7" t="n">
        <x:v>467725.74</x:v>
      </x:c>
      <x:c r="G934" s="8"/>
    </x:row>
    <x:row r="935">
      <x:c r="A935" s="6" t="n">
        <x:v>45047</x:v>
      </x:c>
      <x:c r="B935" s="5" t="str">
        <x:v>Marketing</x:v>
      </x:c>
      <x:c r="C935" s="5" t="str">
        <x:v>Sales &amp; Marketing</x:v>
      </x:c>
      <x:c r="D935" s="5" t="str">
        <x:v>US East</x:v>
      </x:c>
      <x:c r="E935" s="10" t="n">
        <x:v>3</x:v>
      </x:c>
      <x:c r="F935" s="7" t="n">
        <x:v>42907.56</x:v>
      </x:c>
      <x:c r="G935" s="8"/>
    </x:row>
    <x:row r="936">
      <x:c r="A936" s="6" t="n">
        <x:v>45047</x:v>
      </x:c>
      <x:c r="B936" s="5" t="str">
        <x:v>Product &amp; Engineering</x:v>
      </x:c>
      <x:c r="C936" s="5" t="str">
        <x:v>Research &amp; Development</x:v>
      </x:c>
      <x:c r="D936" s="5" t="str">
        <x:v>US East</x:v>
      </x:c>
      <x:c r="E936" s="10" t="n">
        <x:v>13.6</x:v>
      </x:c>
      <x:c r="F936" s="7" t="n">
        <x:v>265279.29</x:v>
      </x:c>
      <x:c r="G936" s="8"/>
    </x:row>
    <x:row r="937">
      <x:c r="A937" s="6" t="n">
        <x:v>45047</x:v>
      </x:c>
      <x:c r="B937" s="5" t="str">
        <x:v>Finance</x:v>
      </x:c>
      <x:c r="C937" s="5" t="str">
        <x:v>General &amp; Administrative</x:v>
      </x:c>
      <x:c r="D937" s="5" t="str">
        <x:v>US East</x:v>
      </x:c>
      <x:c r="E937" s="10" t="n">
        <x:v>3</x:v>
      </x:c>
      <x:c r="F937" s="7" t="n">
        <x:v>59253.06</x:v>
      </x:c>
      <x:c r="G937" s="8"/>
    </x:row>
    <x:row r="938">
      <x:c r="A938" s="6" t="n">
        <x:v>45047</x:v>
      </x:c>
      <x:c r="B938" s="5" t="str">
        <x:v>People</x:v>
      </x:c>
      <x:c r="C938" s="5" t="str">
        <x:v>General &amp; Administrative</x:v>
      </x:c>
      <x:c r="D938" s="5" t="str">
        <x:v>US East</x:v>
      </x:c>
      <x:c r="E938" s="10" t="n">
        <x:v>4</x:v>
      </x:c>
      <x:c r="F938" s="7" t="n">
        <x:v>51255.15</x:v>
      </x:c>
      <x:c r="G938" s="8"/>
    </x:row>
    <x:row r="939">
      <x:c r="A939" s="6" t="n">
        <x:v>45047</x:v>
      </x:c>
      <x:c r="B939" s="5" t="str">
        <x:v>Legal &amp; Compliance</x:v>
      </x:c>
      <x:c r="C939" s="5" t="str">
        <x:v>General &amp; Administrative</x:v>
      </x:c>
      <x:c r="D939" s="5" t="str">
        <x:v>US East</x:v>
      </x:c>
      <x:c r="E939" s="10" t="n">
        <x:v>2</x:v>
      </x:c>
      <x:c r="F939" s="7" t="n">
        <x:v>83108.75</x:v>
      </x:c>
      <x:c r="G939" s="8"/>
    </x:row>
    <x:row r="940">
      <x:c r="A940" s="6" t="n">
        <x:v>45047</x:v>
      </x:c>
      <x:c r="B940" s="5" t="str">
        <x:v>Information Technology</x:v>
      </x:c>
      <x:c r="C940" s="5" t="str">
        <x:v>General &amp; Administrative</x:v>
      </x:c>
      <x:c r="D940" s="5" t="str">
        <x:v>US East</x:v>
      </x:c>
      <x:c r="E940" s="10" t="n">
        <x:v>3</x:v>
      </x:c>
      <x:c r="F940" s="7" t="n">
        <x:v>44340.94</x:v>
      </x:c>
      <x:c r="G940" s="8"/>
    </x:row>
    <x:row r="941">
      <x:c r="A941" s="6" t="n">
        <x:v>45078</x:v>
      </x:c>
      <x:c r="B941" s="5" t="str">
        <x:v>Cloud Operations</x:v>
      </x:c>
      <x:c r="C941" s="5" t="str">
        <x:v>Cost of Revenue</x:v>
      </x:c>
      <x:c r="D941" s="5" t="str">
        <x:v>US East</x:v>
      </x:c>
      <x:c r="E941" s="10" t="n">
        <x:v>1</x:v>
      </x:c>
      <x:c r="F941" s="7" t="n">
        <x:v>13683.39</x:v>
      </x:c>
      <x:c r="G941" s="8"/>
    </x:row>
    <x:row r="942">
      <x:c r="A942" s="6" t="n">
        <x:v>45078</x:v>
      </x:c>
      <x:c r="B942" s="5" t="str">
        <x:v>Customer Support</x:v>
      </x:c>
      <x:c r="C942" s="5" t="str">
        <x:v>Cost of Revenue</x:v>
      </x:c>
      <x:c r="D942" s="5" t="str">
        <x:v>US East</x:v>
      </x:c>
      <x:c r="E942" s="10" t="n">
        <x:v>6</x:v>
      </x:c>
      <x:c r="F942" s="7" t="n">
        <x:v>72945.76</x:v>
      </x:c>
      <x:c r="G942" s="8"/>
    </x:row>
    <x:row r="943">
      <x:c r="A943" s="6" t="n">
        <x:v>45078</x:v>
      </x:c>
      <x:c r="B943" s="5" t="str">
        <x:v>Professional Services</x:v>
      </x:c>
      <x:c r="C943" s="5" t="str">
        <x:v>Cost of Revenue</x:v>
      </x:c>
      <x:c r="D943" s="5" t="str">
        <x:v>US East</x:v>
      </x:c>
      <x:c r="E943" s="10" t="n">
        <x:v>22</x:v>
      </x:c>
      <x:c r="F943" s="7" t="n">
        <x:v>315084.21</x:v>
      </x:c>
      <x:c r="G943" s="8" t="n">
        <x:v>0.7576</x:v>
      </x:c>
    </x:row>
    <x:row r="944">
      <x:c r="A944" s="6" t="n">
        <x:v>45078</x:v>
      </x:c>
      <x:c r="B944" s="5" t="str">
        <x:v>Sales</x:v>
      </x:c>
      <x:c r="C944" s="5" t="str">
        <x:v>Sales &amp; Marketing</x:v>
      </x:c>
      <x:c r="D944" s="5" t="str">
        <x:v>US East</x:v>
      </x:c>
      <x:c r="E944" s="10" t="n">
        <x:v>24.6</x:v>
      </x:c>
      <x:c r="F944" s="7" t="n">
        <x:v>467725.74</x:v>
      </x:c>
      <x:c r="G944" s="8"/>
    </x:row>
    <x:row r="945">
      <x:c r="A945" s="6" t="n">
        <x:v>45078</x:v>
      </x:c>
      <x:c r="B945" s="5" t="str">
        <x:v>Marketing</x:v>
      </x:c>
      <x:c r="C945" s="5" t="str">
        <x:v>Sales &amp; Marketing</x:v>
      </x:c>
      <x:c r="D945" s="5" t="str">
        <x:v>US East</x:v>
      </x:c>
      <x:c r="E945" s="10" t="n">
        <x:v>3</x:v>
      </x:c>
      <x:c r="F945" s="7" t="n">
        <x:v>42907.56</x:v>
      </x:c>
      <x:c r="G945" s="8"/>
    </x:row>
    <x:row r="946">
      <x:c r="A946" s="6" t="n">
        <x:v>45078</x:v>
      </x:c>
      <x:c r="B946" s="5" t="str">
        <x:v>Product &amp; Engineering</x:v>
      </x:c>
      <x:c r="C946" s="5" t="str">
        <x:v>Research &amp; Development</x:v>
      </x:c>
      <x:c r="D946" s="5" t="str">
        <x:v>US East</x:v>
      </x:c>
      <x:c r="E946" s="10" t="n">
        <x:v>13.6</x:v>
      </x:c>
      <x:c r="F946" s="7" t="n">
        <x:v>265279.29</x:v>
      </x:c>
      <x:c r="G946" s="8"/>
    </x:row>
    <x:row r="947">
      <x:c r="A947" s="6" t="n">
        <x:v>45078</x:v>
      </x:c>
      <x:c r="B947" s="5" t="str">
        <x:v>Finance</x:v>
      </x:c>
      <x:c r="C947" s="5" t="str">
        <x:v>General &amp; Administrative</x:v>
      </x:c>
      <x:c r="D947" s="5" t="str">
        <x:v>US East</x:v>
      </x:c>
      <x:c r="E947" s="10" t="n">
        <x:v>3</x:v>
      </x:c>
      <x:c r="F947" s="7" t="n">
        <x:v>59253.06</x:v>
      </x:c>
      <x:c r="G947" s="8"/>
    </x:row>
    <x:row r="948">
      <x:c r="A948" s="6" t="n">
        <x:v>45078</x:v>
      </x:c>
      <x:c r="B948" s="5" t="str">
        <x:v>People</x:v>
      </x:c>
      <x:c r="C948" s="5" t="str">
        <x:v>General &amp; Administrative</x:v>
      </x:c>
      <x:c r="D948" s="5" t="str">
        <x:v>US East</x:v>
      </x:c>
      <x:c r="E948" s="10" t="n">
        <x:v>4</x:v>
      </x:c>
      <x:c r="F948" s="7" t="n">
        <x:v>51255.15</x:v>
      </x:c>
      <x:c r="G948" s="8"/>
    </x:row>
    <x:row r="949">
      <x:c r="A949" s="6" t="n">
        <x:v>45078</x:v>
      </x:c>
      <x:c r="B949" s="5" t="str">
        <x:v>Legal &amp; Compliance</x:v>
      </x:c>
      <x:c r="C949" s="5" t="str">
        <x:v>General &amp; Administrative</x:v>
      </x:c>
      <x:c r="D949" s="5" t="str">
        <x:v>US East</x:v>
      </x:c>
      <x:c r="E949" s="10" t="n">
        <x:v>2</x:v>
      </x:c>
      <x:c r="F949" s="7" t="n">
        <x:v>83108.75</x:v>
      </x:c>
      <x:c r="G949" s="8"/>
    </x:row>
    <x:row r="950">
      <x:c r="A950" s="6" t="n">
        <x:v>45078</x:v>
      </x:c>
      <x:c r="B950" s="5" t="str">
        <x:v>Information Technology</x:v>
      </x:c>
      <x:c r="C950" s="5" t="str">
        <x:v>General &amp; Administrative</x:v>
      </x:c>
      <x:c r="D950" s="5" t="str">
        <x:v>US East</x:v>
      </x:c>
      <x:c r="E950" s="10" t="n">
        <x:v>3</x:v>
      </x:c>
      <x:c r="F950" s="7" t="n">
        <x:v>44340.94</x:v>
      </x:c>
      <x:c r="G950" s="8"/>
    </x:row>
    <x:row r="951">
      <x:c r="A951" s="6" t="n">
        <x:v>45108</x:v>
      </x:c>
      <x:c r="B951" s="5" t="str">
        <x:v>Cloud Operations</x:v>
      </x:c>
      <x:c r="C951" s="5" t="str">
        <x:v>Cost of Revenue</x:v>
      </x:c>
      <x:c r="D951" s="5" t="str">
        <x:v>US East</x:v>
      </x:c>
      <x:c r="E951" s="10" t="n">
        <x:v>1</x:v>
      </x:c>
      <x:c r="F951" s="7" t="n">
        <x:v>13683.39</x:v>
      </x:c>
      <x:c r="G951" s="8"/>
    </x:row>
    <x:row r="952">
      <x:c r="A952" s="6" t="n">
        <x:v>45108</x:v>
      </x:c>
      <x:c r="B952" s="5" t="str">
        <x:v>Customer Support</x:v>
      </x:c>
      <x:c r="C952" s="5" t="str">
        <x:v>Cost of Revenue</x:v>
      </x:c>
      <x:c r="D952" s="5" t="str">
        <x:v>US East</x:v>
      </x:c>
      <x:c r="E952" s="10" t="n">
        <x:v>6</x:v>
      </x:c>
      <x:c r="F952" s="7" t="n">
        <x:v>72945.76</x:v>
      </x:c>
      <x:c r="G952" s="8"/>
    </x:row>
    <x:row r="953">
      <x:c r="A953" s="6" t="n">
        <x:v>45108</x:v>
      </x:c>
      <x:c r="B953" s="5" t="str">
        <x:v>Professional Services</x:v>
      </x:c>
      <x:c r="C953" s="5" t="str">
        <x:v>Cost of Revenue</x:v>
      </x:c>
      <x:c r="D953" s="5" t="str">
        <x:v>US East</x:v>
      </x:c>
      <x:c r="E953" s="10" t="n">
        <x:v>22</x:v>
      </x:c>
      <x:c r="F953" s="7" t="n">
        <x:v>315084.21</x:v>
      </x:c>
      <x:c r="G953" s="8" t="n">
        <x:v>0.7726</x:v>
      </x:c>
    </x:row>
    <x:row r="954">
      <x:c r="A954" s="6" t="n">
        <x:v>45108</x:v>
      </x:c>
      <x:c r="B954" s="5" t="str">
        <x:v>Sales</x:v>
      </x:c>
      <x:c r="C954" s="5" t="str">
        <x:v>Sales &amp; Marketing</x:v>
      </x:c>
      <x:c r="D954" s="5" t="str">
        <x:v>US East</x:v>
      </x:c>
      <x:c r="E954" s="10" t="n">
        <x:v>24.6</x:v>
      </x:c>
      <x:c r="F954" s="7" t="n">
        <x:v>467725.74</x:v>
      </x:c>
      <x:c r="G954" s="8"/>
    </x:row>
    <x:row r="955">
      <x:c r="A955" s="6" t="n">
        <x:v>45108</x:v>
      </x:c>
      <x:c r="B955" s="5" t="str">
        <x:v>Marketing</x:v>
      </x:c>
      <x:c r="C955" s="5" t="str">
        <x:v>Sales &amp; Marketing</x:v>
      </x:c>
      <x:c r="D955" s="5" t="str">
        <x:v>US East</x:v>
      </x:c>
      <x:c r="E955" s="10" t="n">
        <x:v>3</x:v>
      </x:c>
      <x:c r="F955" s="7" t="n">
        <x:v>42907.56</x:v>
      </x:c>
      <x:c r="G955" s="8"/>
    </x:row>
    <x:row r="956">
      <x:c r="A956" s="6" t="n">
        <x:v>45108</x:v>
      </x:c>
      <x:c r="B956" s="5" t="str">
        <x:v>Product &amp; Engineering</x:v>
      </x:c>
      <x:c r="C956" s="5" t="str">
        <x:v>Research &amp; Development</x:v>
      </x:c>
      <x:c r="D956" s="5" t="str">
        <x:v>US East</x:v>
      </x:c>
      <x:c r="E956" s="10" t="n">
        <x:v>14.6</x:v>
      </x:c>
      <x:c r="F956" s="7" t="n">
        <x:v>279763.28</x:v>
      </x:c>
      <x:c r="G956" s="8"/>
    </x:row>
    <x:row r="957">
      <x:c r="A957" s="6" t="n">
        <x:v>45108</x:v>
      </x:c>
      <x:c r="B957" s="5" t="str">
        <x:v>Finance</x:v>
      </x:c>
      <x:c r="C957" s="5" t="str">
        <x:v>General &amp; Administrative</x:v>
      </x:c>
      <x:c r="D957" s="5" t="str">
        <x:v>US East</x:v>
      </x:c>
      <x:c r="E957" s="10" t="n">
        <x:v>3</x:v>
      </x:c>
      <x:c r="F957" s="7" t="n">
        <x:v>59253.06</x:v>
      </x:c>
      <x:c r="G957" s="8"/>
    </x:row>
    <x:row r="958">
      <x:c r="A958" s="6" t="n">
        <x:v>45108</x:v>
      </x:c>
      <x:c r="B958" s="5" t="str">
        <x:v>People</x:v>
      </x:c>
      <x:c r="C958" s="5" t="str">
        <x:v>General &amp; Administrative</x:v>
      </x:c>
      <x:c r="D958" s="5" t="str">
        <x:v>US East</x:v>
      </x:c>
      <x:c r="E958" s="10" t="n">
        <x:v>4</x:v>
      </x:c>
      <x:c r="F958" s="7" t="n">
        <x:v>51255.15</x:v>
      </x:c>
      <x:c r="G958" s="8"/>
    </x:row>
    <x:row r="959">
      <x:c r="A959" s="6" t="n">
        <x:v>45108</x:v>
      </x:c>
      <x:c r="B959" s="5" t="str">
        <x:v>Legal &amp; Compliance</x:v>
      </x:c>
      <x:c r="C959" s="5" t="str">
        <x:v>General &amp; Administrative</x:v>
      </x:c>
      <x:c r="D959" s="5" t="str">
        <x:v>US East</x:v>
      </x:c>
      <x:c r="E959" s="10" t="n">
        <x:v>2</x:v>
      </x:c>
      <x:c r="F959" s="7" t="n">
        <x:v>83108.75</x:v>
      </x:c>
      <x:c r="G959" s="8"/>
    </x:row>
    <x:row r="960">
      <x:c r="A960" s="6" t="n">
        <x:v>45108</x:v>
      </x:c>
      <x:c r="B960" s="5" t="str">
        <x:v>Information Technology</x:v>
      </x:c>
      <x:c r="C960" s="5" t="str">
        <x:v>General &amp; Administrative</x:v>
      </x:c>
      <x:c r="D960" s="5" t="str">
        <x:v>US East</x:v>
      </x:c>
      <x:c r="E960" s="10" t="n">
        <x:v>3</x:v>
      </x:c>
      <x:c r="F960" s="7" t="n">
        <x:v>44340.94</x:v>
      </x:c>
      <x:c r="G960" s="8"/>
    </x:row>
    <x:row r="961">
      <x:c r="A961" s="6" t="n">
        <x:v>45139</x:v>
      </x:c>
      <x:c r="B961" s="5" t="str">
        <x:v>Cloud Operations</x:v>
      </x:c>
      <x:c r="C961" s="5" t="str">
        <x:v>Cost of Revenue</x:v>
      </x:c>
      <x:c r="D961" s="5" t="str">
        <x:v>US East</x:v>
      </x:c>
      <x:c r="E961" s="10" t="n">
        <x:v>1</x:v>
      </x:c>
      <x:c r="F961" s="7" t="n">
        <x:v>13683.39</x:v>
      </x:c>
      <x:c r="G961" s="8"/>
    </x:row>
    <x:row r="962">
      <x:c r="A962" s="6" t="n">
        <x:v>45139</x:v>
      </x:c>
      <x:c r="B962" s="5" t="str">
        <x:v>Customer Support</x:v>
      </x:c>
      <x:c r="C962" s="5" t="str">
        <x:v>Cost of Revenue</x:v>
      </x:c>
      <x:c r="D962" s="5" t="str">
        <x:v>US East</x:v>
      </x:c>
      <x:c r="E962" s="10" t="n">
        <x:v>6</x:v>
      </x:c>
      <x:c r="F962" s="7" t="n">
        <x:v>72945.76</x:v>
      </x:c>
      <x:c r="G962" s="8"/>
    </x:row>
    <x:row r="963">
      <x:c r="A963" s="6" t="n">
        <x:v>45139</x:v>
      </x:c>
      <x:c r="B963" s="5" t="str">
        <x:v>Professional Services</x:v>
      </x:c>
      <x:c r="C963" s="5" t="str">
        <x:v>Cost of Revenue</x:v>
      </x:c>
      <x:c r="D963" s="5" t="str">
        <x:v>US East</x:v>
      </x:c>
      <x:c r="E963" s="10" t="n">
        <x:v>21</x:v>
      </x:c>
      <x:c r="F963" s="7" t="n">
        <x:v>300622</x:v>
      </x:c>
      <x:c r="G963" s="8" t="n">
        <x:v>0.762</x:v>
      </x:c>
    </x:row>
    <x:row r="964">
      <x:c r="A964" s="6" t="n">
        <x:v>45139</x:v>
      </x:c>
      <x:c r="B964" s="5" t="str">
        <x:v>Sales</x:v>
      </x:c>
      <x:c r="C964" s="5" t="str">
        <x:v>Sales &amp; Marketing</x:v>
      </x:c>
      <x:c r="D964" s="5" t="str">
        <x:v>US East</x:v>
      </x:c>
      <x:c r="E964" s="10" t="n">
        <x:v>24.6</x:v>
      </x:c>
      <x:c r="F964" s="7" t="n">
        <x:v>468668.23</x:v>
      </x:c>
      <x:c r="G964" s="8"/>
    </x:row>
    <x:row r="965">
      <x:c r="A965" s="6" t="n">
        <x:v>45139</x:v>
      </x:c>
      <x:c r="B965" s="5" t="str">
        <x:v>Marketing</x:v>
      </x:c>
      <x:c r="C965" s="5" t="str">
        <x:v>Sales &amp; Marketing</x:v>
      </x:c>
      <x:c r="D965" s="5" t="str">
        <x:v>US East</x:v>
      </x:c>
      <x:c r="E965" s="10" t="n">
        <x:v>3</x:v>
      </x:c>
      <x:c r="F965" s="7" t="n">
        <x:v>42907.56</x:v>
      </x:c>
      <x:c r="G965" s="8"/>
    </x:row>
    <x:row r="966">
      <x:c r="A966" s="6" t="n">
        <x:v>45139</x:v>
      </x:c>
      <x:c r="B966" s="5" t="str">
        <x:v>Product &amp; Engineering</x:v>
      </x:c>
      <x:c r="C966" s="5" t="str">
        <x:v>Research &amp; Development</x:v>
      </x:c>
      <x:c r="D966" s="5" t="str">
        <x:v>US East</x:v>
      </x:c>
      <x:c r="E966" s="10" t="n">
        <x:v>14.6</x:v>
      </x:c>
      <x:c r="F966" s="7" t="n">
        <x:v>279763.28</x:v>
      </x:c>
      <x:c r="G966" s="8"/>
    </x:row>
    <x:row r="967">
      <x:c r="A967" s="6" t="n">
        <x:v>45139</x:v>
      </x:c>
      <x:c r="B967" s="5" t="str">
        <x:v>Finance</x:v>
      </x:c>
      <x:c r="C967" s="5" t="str">
        <x:v>General &amp; Administrative</x:v>
      </x:c>
      <x:c r="D967" s="5" t="str">
        <x:v>US East</x:v>
      </x:c>
      <x:c r="E967" s="10" t="n">
        <x:v>3</x:v>
      </x:c>
      <x:c r="F967" s="7" t="n">
        <x:v>59253.06</x:v>
      </x:c>
      <x:c r="G967" s="8"/>
    </x:row>
    <x:row r="968">
      <x:c r="A968" s="6" t="n">
        <x:v>45139</x:v>
      </x:c>
      <x:c r="B968" s="5" t="str">
        <x:v>People</x:v>
      </x:c>
      <x:c r="C968" s="5" t="str">
        <x:v>General &amp; Administrative</x:v>
      </x:c>
      <x:c r="D968" s="5" t="str">
        <x:v>US East</x:v>
      </x:c>
      <x:c r="E968" s="10" t="n">
        <x:v>4</x:v>
      </x:c>
      <x:c r="F968" s="7" t="n">
        <x:v>51255.15</x:v>
      </x:c>
      <x:c r="G968" s="8"/>
    </x:row>
    <x:row r="969">
      <x:c r="A969" s="6" t="n">
        <x:v>45139</x:v>
      </x:c>
      <x:c r="B969" s="5" t="str">
        <x:v>Legal &amp; Compliance</x:v>
      </x:c>
      <x:c r="C969" s="5" t="str">
        <x:v>General &amp; Administrative</x:v>
      </x:c>
      <x:c r="D969" s="5" t="str">
        <x:v>US East</x:v>
      </x:c>
      <x:c r="E969" s="10" t="n">
        <x:v>2</x:v>
      </x:c>
      <x:c r="F969" s="7" t="n">
        <x:v>83108.75</x:v>
      </x:c>
      <x:c r="G969" s="8"/>
    </x:row>
    <x:row r="970">
      <x:c r="A970" s="6" t="n">
        <x:v>45139</x:v>
      </x:c>
      <x:c r="B970" s="5" t="str">
        <x:v>Information Technology</x:v>
      </x:c>
      <x:c r="C970" s="5" t="str">
        <x:v>General &amp; Administrative</x:v>
      </x:c>
      <x:c r="D970" s="5" t="str">
        <x:v>US East</x:v>
      </x:c>
      <x:c r="E970" s="10" t="n">
        <x:v>3</x:v>
      </x:c>
      <x:c r="F970" s="7" t="n">
        <x:v>44340.94</x:v>
      </x:c>
      <x:c r="G970" s="8"/>
    </x:row>
    <x:row r="971">
      <x:c r="A971" s="6" t="n">
        <x:v>45170</x:v>
      </x:c>
      <x:c r="B971" s="5" t="str">
        <x:v>Cloud Operations</x:v>
      </x:c>
      <x:c r="C971" s="5" t="str">
        <x:v>Cost of Revenue</x:v>
      </x:c>
      <x:c r="D971" s="5" t="str">
        <x:v>US East</x:v>
      </x:c>
      <x:c r="E971" s="10" t="n">
        <x:v>1</x:v>
      </x:c>
      <x:c r="F971" s="7" t="n">
        <x:v>13683.39</x:v>
      </x:c>
      <x:c r="G971" s="8"/>
    </x:row>
    <x:row r="972">
      <x:c r="A972" s="6" t="n">
        <x:v>45170</x:v>
      </x:c>
      <x:c r="B972" s="5" t="str">
        <x:v>Customer Support</x:v>
      </x:c>
      <x:c r="C972" s="5" t="str">
        <x:v>Cost of Revenue</x:v>
      </x:c>
      <x:c r="D972" s="5" t="str">
        <x:v>US East</x:v>
      </x:c>
      <x:c r="E972" s="10" t="n">
        <x:v>6</x:v>
      </x:c>
      <x:c r="F972" s="7" t="n">
        <x:v>72945.76</x:v>
      </x:c>
      <x:c r="G972" s="8"/>
    </x:row>
    <x:row r="973">
      <x:c r="A973" s="6" t="n">
        <x:v>45170</x:v>
      </x:c>
      <x:c r="B973" s="5" t="str">
        <x:v>Professional Services</x:v>
      </x:c>
      <x:c r="C973" s="5" t="str">
        <x:v>Cost of Revenue</x:v>
      </x:c>
      <x:c r="D973" s="5" t="str">
        <x:v>US East</x:v>
      </x:c>
      <x:c r="E973" s="10" t="n">
        <x:v>21</x:v>
      </x:c>
      <x:c r="F973" s="7" t="n">
        <x:v>300622</x:v>
      </x:c>
      <x:c r="G973" s="8" t="n">
        <x:v>0.7469</x:v>
      </x:c>
    </x:row>
    <x:row r="974">
      <x:c r="A974" s="6" t="n">
        <x:v>45170</x:v>
      </x:c>
      <x:c r="B974" s="5" t="str">
        <x:v>Sales</x:v>
      </x:c>
      <x:c r="C974" s="5" t="str">
        <x:v>Sales &amp; Marketing</x:v>
      </x:c>
      <x:c r="D974" s="5" t="str">
        <x:v>US East</x:v>
      </x:c>
      <x:c r="E974" s="10" t="n">
        <x:v>24.6</x:v>
      </x:c>
      <x:c r="F974" s="7" t="n">
        <x:v>468668.23</x:v>
      </x:c>
      <x:c r="G974" s="8"/>
    </x:row>
    <x:row r="975">
      <x:c r="A975" s="6" t="n">
        <x:v>45170</x:v>
      </x:c>
      <x:c r="B975" s="5" t="str">
        <x:v>Marketing</x:v>
      </x:c>
      <x:c r="C975" s="5" t="str">
        <x:v>Sales &amp; Marketing</x:v>
      </x:c>
      <x:c r="D975" s="5" t="str">
        <x:v>US East</x:v>
      </x:c>
      <x:c r="E975" s="10" t="n">
        <x:v>3</x:v>
      </x:c>
      <x:c r="F975" s="7" t="n">
        <x:v>42907.56</x:v>
      </x:c>
      <x:c r="G975" s="8"/>
    </x:row>
    <x:row r="976">
      <x:c r="A976" s="6" t="n">
        <x:v>45170</x:v>
      </x:c>
      <x:c r="B976" s="5" t="str">
        <x:v>Product &amp; Engineering</x:v>
      </x:c>
      <x:c r="C976" s="5" t="str">
        <x:v>Research &amp; Development</x:v>
      </x:c>
      <x:c r="D976" s="5" t="str">
        <x:v>US East</x:v>
      </x:c>
      <x:c r="E976" s="10" t="n">
        <x:v>14.6</x:v>
      </x:c>
      <x:c r="F976" s="7" t="n">
        <x:v>279763.28</x:v>
      </x:c>
      <x:c r="G976" s="8"/>
    </x:row>
    <x:row r="977">
      <x:c r="A977" s="6" t="n">
        <x:v>45170</x:v>
      </x:c>
      <x:c r="B977" s="5" t="str">
        <x:v>Finance</x:v>
      </x:c>
      <x:c r="C977" s="5" t="str">
        <x:v>General &amp; Administrative</x:v>
      </x:c>
      <x:c r="D977" s="5" t="str">
        <x:v>US East</x:v>
      </x:c>
      <x:c r="E977" s="10" t="n">
        <x:v>3</x:v>
      </x:c>
      <x:c r="F977" s="7" t="n">
        <x:v>59253.06</x:v>
      </x:c>
      <x:c r="G977" s="8"/>
    </x:row>
    <x:row r="978">
      <x:c r="A978" s="6" t="n">
        <x:v>45170</x:v>
      </x:c>
      <x:c r="B978" s="5" t="str">
        <x:v>People</x:v>
      </x:c>
      <x:c r="C978" s="5" t="str">
        <x:v>General &amp; Administrative</x:v>
      </x:c>
      <x:c r="D978" s="5" t="str">
        <x:v>US East</x:v>
      </x:c>
      <x:c r="E978" s="10" t="n">
        <x:v>4</x:v>
      </x:c>
      <x:c r="F978" s="7" t="n">
        <x:v>51255.15</x:v>
      </x:c>
      <x:c r="G978" s="8"/>
    </x:row>
    <x:row r="979">
      <x:c r="A979" s="6" t="n">
        <x:v>45170</x:v>
      </x:c>
      <x:c r="B979" s="5" t="str">
        <x:v>Legal &amp; Compliance</x:v>
      </x:c>
      <x:c r="C979" s="5" t="str">
        <x:v>General &amp; Administrative</x:v>
      </x:c>
      <x:c r="D979" s="5" t="str">
        <x:v>US East</x:v>
      </x:c>
      <x:c r="E979" s="10" t="n">
        <x:v>2</x:v>
      </x:c>
      <x:c r="F979" s="7" t="n">
        <x:v>83108.75</x:v>
      </x:c>
      <x:c r="G979" s="8"/>
    </x:row>
    <x:row r="980">
      <x:c r="A980" s="6" t="n">
        <x:v>45170</x:v>
      </x:c>
      <x:c r="B980" s="5" t="str">
        <x:v>Information Technology</x:v>
      </x:c>
      <x:c r="C980" s="5" t="str">
        <x:v>General &amp; Administrative</x:v>
      </x:c>
      <x:c r="D980" s="5" t="str">
        <x:v>US East</x:v>
      </x:c>
      <x:c r="E980" s="10" t="n">
        <x:v>3</x:v>
      </x:c>
      <x:c r="F980" s="7" t="n">
        <x:v>44340.94</x:v>
      </x:c>
      <x:c r="G980" s="8"/>
    </x:row>
    <x:row r="981">
      <x:c r="A981" s="6" t="n">
        <x:v>45200</x:v>
      </x:c>
      <x:c r="B981" s="5" t="str">
        <x:v>Cloud Operations</x:v>
      </x:c>
      <x:c r="C981" s="5" t="str">
        <x:v>Cost of Revenue</x:v>
      </x:c>
      <x:c r="D981" s="5" t="str">
        <x:v>US East</x:v>
      </x:c>
      <x:c r="E981" s="10" t="n">
        <x:v>1</x:v>
      </x:c>
      <x:c r="F981" s="7" t="n">
        <x:v>13683.39</x:v>
      </x:c>
      <x:c r="G981" s="8"/>
    </x:row>
    <x:row r="982">
      <x:c r="A982" s="6" t="n">
        <x:v>45200</x:v>
      </x:c>
      <x:c r="B982" s="5" t="str">
        <x:v>Customer Support</x:v>
      </x:c>
      <x:c r="C982" s="5" t="str">
        <x:v>Cost of Revenue</x:v>
      </x:c>
      <x:c r="D982" s="5" t="str">
        <x:v>US East</x:v>
      </x:c>
      <x:c r="E982" s="10" t="n">
        <x:v>6</x:v>
      </x:c>
      <x:c r="F982" s="7" t="n">
        <x:v>72945.76</x:v>
      </x:c>
      <x:c r="G982" s="8"/>
    </x:row>
    <x:row r="983">
      <x:c r="A983" s="6" t="n">
        <x:v>45200</x:v>
      </x:c>
      <x:c r="B983" s="5" t="str">
        <x:v>Professional Services</x:v>
      </x:c>
      <x:c r="C983" s="5" t="str">
        <x:v>Cost of Revenue</x:v>
      </x:c>
      <x:c r="D983" s="5" t="str">
        <x:v>US East</x:v>
      </x:c>
      <x:c r="E983" s="10" t="n">
        <x:v>21</x:v>
      </x:c>
      <x:c r="F983" s="7" t="n">
        <x:v>300622</x:v>
      </x:c>
      <x:c r="G983" s="8" t="n">
        <x:v>0.7714</x:v>
      </x:c>
    </x:row>
    <x:row r="984">
      <x:c r="A984" s="6" t="n">
        <x:v>45200</x:v>
      </x:c>
      <x:c r="B984" s="5" t="str">
        <x:v>Sales</x:v>
      </x:c>
      <x:c r="C984" s="5" t="str">
        <x:v>Sales &amp; Marketing</x:v>
      </x:c>
      <x:c r="D984" s="5" t="str">
        <x:v>US East</x:v>
      </x:c>
      <x:c r="E984" s="10" t="n">
        <x:v>24.6</x:v>
      </x:c>
      <x:c r="F984" s="7" t="n">
        <x:v>468668.23</x:v>
      </x:c>
      <x:c r="G984" s="8"/>
    </x:row>
    <x:row r="985">
      <x:c r="A985" s="6" t="n">
        <x:v>45200</x:v>
      </x:c>
      <x:c r="B985" s="5" t="str">
        <x:v>Marketing</x:v>
      </x:c>
      <x:c r="C985" s="5" t="str">
        <x:v>Sales &amp; Marketing</x:v>
      </x:c>
      <x:c r="D985" s="5" t="str">
        <x:v>US East</x:v>
      </x:c>
      <x:c r="E985" s="10" t="n">
        <x:v>3</x:v>
      </x:c>
      <x:c r="F985" s="7" t="n">
        <x:v>42907.56</x:v>
      </x:c>
      <x:c r="G985" s="8"/>
    </x:row>
    <x:row r="986">
      <x:c r="A986" s="6" t="n">
        <x:v>45200</x:v>
      </x:c>
      <x:c r="B986" s="5" t="str">
        <x:v>Product &amp; Engineering</x:v>
      </x:c>
      <x:c r="C986" s="5" t="str">
        <x:v>Research &amp; Development</x:v>
      </x:c>
      <x:c r="D986" s="5" t="str">
        <x:v>US East</x:v>
      </x:c>
      <x:c r="E986" s="10" t="n">
        <x:v>13.6</x:v>
      </x:c>
      <x:c r="F986" s="7" t="n">
        <x:v>261756.22</x:v>
      </x:c>
      <x:c r="G986" s="8"/>
    </x:row>
    <x:row r="987">
      <x:c r="A987" s="6" t="n">
        <x:v>45200</x:v>
      </x:c>
      <x:c r="B987" s="5" t="str">
        <x:v>Finance</x:v>
      </x:c>
      <x:c r="C987" s="5" t="str">
        <x:v>General &amp; Administrative</x:v>
      </x:c>
      <x:c r="D987" s="5" t="str">
        <x:v>US East</x:v>
      </x:c>
      <x:c r="E987" s="10" t="n">
        <x:v>3</x:v>
      </x:c>
      <x:c r="F987" s="7" t="n">
        <x:v>59253.06</x:v>
      </x:c>
      <x:c r="G987" s="8"/>
    </x:row>
    <x:row r="988">
      <x:c r="A988" s="6" t="n">
        <x:v>45200</x:v>
      </x:c>
      <x:c r="B988" s="5" t="str">
        <x:v>People</x:v>
      </x:c>
      <x:c r="C988" s="5" t="str">
        <x:v>General &amp; Administrative</x:v>
      </x:c>
      <x:c r="D988" s="5" t="str">
        <x:v>US East</x:v>
      </x:c>
      <x:c r="E988" s="10" t="n">
        <x:v>4</x:v>
      </x:c>
      <x:c r="F988" s="7" t="n">
        <x:v>51255.15</x:v>
      </x:c>
      <x:c r="G988" s="8"/>
    </x:row>
    <x:row r="989">
      <x:c r="A989" s="6" t="n">
        <x:v>45200</x:v>
      </x:c>
      <x:c r="B989" s="5" t="str">
        <x:v>Legal &amp; Compliance</x:v>
      </x:c>
      <x:c r="C989" s="5" t="str">
        <x:v>General &amp; Administrative</x:v>
      </x:c>
      <x:c r="D989" s="5" t="str">
        <x:v>US East</x:v>
      </x:c>
      <x:c r="E989" s="10" t="n">
        <x:v>2</x:v>
      </x:c>
      <x:c r="F989" s="7" t="n">
        <x:v>83108.75</x:v>
      </x:c>
      <x:c r="G989" s="8"/>
    </x:row>
    <x:row r="990">
      <x:c r="A990" s="6" t="n">
        <x:v>45200</x:v>
      </x:c>
      <x:c r="B990" s="5" t="str">
        <x:v>Information Technology</x:v>
      </x:c>
      <x:c r="C990" s="5" t="str">
        <x:v>General &amp; Administrative</x:v>
      </x:c>
      <x:c r="D990" s="5" t="str">
        <x:v>US East</x:v>
      </x:c>
      <x:c r="E990" s="10" t="n">
        <x:v>3</x:v>
      </x:c>
      <x:c r="F990" s="7" t="n">
        <x:v>44340.94</x:v>
      </x:c>
      <x:c r="G990" s="8"/>
    </x:row>
    <x:row r="991">
      <x:c r="A991" s="6" t="n">
        <x:v>45231</x:v>
      </x:c>
      <x:c r="B991" s="5" t="str">
        <x:v>Cloud Operations</x:v>
      </x:c>
      <x:c r="C991" s="5" t="str">
        <x:v>Cost of Revenue</x:v>
      </x:c>
      <x:c r="D991" s="5" t="str">
        <x:v>US East</x:v>
      </x:c>
      <x:c r="E991" s="10" t="n">
        <x:v>1</x:v>
      </x:c>
      <x:c r="F991" s="7" t="n">
        <x:v>13683.39</x:v>
      </x:c>
      <x:c r="G991" s="8"/>
    </x:row>
    <x:row r="992">
      <x:c r="A992" s="6" t="n">
        <x:v>45231</x:v>
      </x:c>
      <x:c r="B992" s="5" t="str">
        <x:v>Customer Support</x:v>
      </x:c>
      <x:c r="C992" s="5" t="str">
        <x:v>Cost of Revenue</x:v>
      </x:c>
      <x:c r="D992" s="5" t="str">
        <x:v>US East</x:v>
      </x:c>
      <x:c r="E992" s="10" t="n">
        <x:v>6</x:v>
      </x:c>
      <x:c r="F992" s="7" t="n">
        <x:v>72945.76</x:v>
      </x:c>
      <x:c r="G992" s="8"/>
    </x:row>
    <x:row r="993">
      <x:c r="A993" s="6" t="n">
        <x:v>45231</x:v>
      </x:c>
      <x:c r="B993" s="5" t="str">
        <x:v>Professional Services</x:v>
      </x:c>
      <x:c r="C993" s="5" t="str">
        <x:v>Cost of Revenue</x:v>
      </x:c>
      <x:c r="D993" s="5" t="str">
        <x:v>US East</x:v>
      </x:c>
      <x:c r="E993" s="10" t="n">
        <x:v>21</x:v>
      </x:c>
      <x:c r="F993" s="7" t="n">
        <x:v>300622</x:v>
      </x:c>
      <x:c r="G993" s="8" t="n">
        <x:v>0.7603</x:v>
      </x:c>
    </x:row>
    <x:row r="994">
      <x:c r="A994" s="6" t="n">
        <x:v>45231</x:v>
      </x:c>
      <x:c r="B994" s="5" t="str">
        <x:v>Sales</x:v>
      </x:c>
      <x:c r="C994" s="5" t="str">
        <x:v>Sales &amp; Marketing</x:v>
      </x:c>
      <x:c r="D994" s="5" t="str">
        <x:v>US East</x:v>
      </x:c>
      <x:c r="E994" s="10" t="n">
        <x:v>24.6</x:v>
      </x:c>
      <x:c r="F994" s="7" t="n">
        <x:v>468668.23</x:v>
      </x:c>
      <x:c r="G994" s="8"/>
    </x:row>
    <x:row r="995">
      <x:c r="A995" s="6" t="n">
        <x:v>45231</x:v>
      </x:c>
      <x:c r="B995" s="5" t="str">
        <x:v>Marketing</x:v>
      </x:c>
      <x:c r="C995" s="5" t="str">
        <x:v>Sales &amp; Marketing</x:v>
      </x:c>
      <x:c r="D995" s="5" t="str">
        <x:v>US East</x:v>
      </x:c>
      <x:c r="E995" s="10" t="n">
        <x:v>3</x:v>
      </x:c>
      <x:c r="F995" s="7" t="n">
        <x:v>42907.56</x:v>
      </x:c>
      <x:c r="G995" s="8"/>
    </x:row>
    <x:row r="996">
      <x:c r="A996" s="6" t="n">
        <x:v>45231</x:v>
      </x:c>
      <x:c r="B996" s="5" t="str">
        <x:v>Product &amp; Engineering</x:v>
      </x:c>
      <x:c r="C996" s="5" t="str">
        <x:v>Research &amp; Development</x:v>
      </x:c>
      <x:c r="D996" s="5" t="str">
        <x:v>US East</x:v>
      </x:c>
      <x:c r="E996" s="10" t="n">
        <x:v>13.6</x:v>
      </x:c>
      <x:c r="F996" s="7" t="n">
        <x:v>261756.22</x:v>
      </x:c>
      <x:c r="G996" s="8"/>
    </x:row>
    <x:row r="997">
      <x:c r="A997" s="6" t="n">
        <x:v>45231</x:v>
      </x:c>
      <x:c r="B997" s="5" t="str">
        <x:v>Finance</x:v>
      </x:c>
      <x:c r="C997" s="5" t="str">
        <x:v>General &amp; Administrative</x:v>
      </x:c>
      <x:c r="D997" s="5" t="str">
        <x:v>US East</x:v>
      </x:c>
      <x:c r="E997" s="10" t="n">
        <x:v>3</x:v>
      </x:c>
      <x:c r="F997" s="7" t="n">
        <x:v>59253.06</x:v>
      </x:c>
      <x:c r="G997" s="8"/>
    </x:row>
    <x:row r="998">
      <x:c r="A998" s="6" t="n">
        <x:v>45231</x:v>
      </x:c>
      <x:c r="B998" s="5" t="str">
        <x:v>People</x:v>
      </x:c>
      <x:c r="C998" s="5" t="str">
        <x:v>General &amp; Administrative</x:v>
      </x:c>
      <x:c r="D998" s="5" t="str">
        <x:v>US East</x:v>
      </x:c>
      <x:c r="E998" s="10" t="n">
        <x:v>4</x:v>
      </x:c>
      <x:c r="F998" s="7" t="n">
        <x:v>51255.15</x:v>
      </x:c>
      <x:c r="G998" s="8"/>
    </x:row>
    <x:row r="999">
      <x:c r="A999" s="6" t="n">
        <x:v>45231</x:v>
      </x:c>
      <x:c r="B999" s="5" t="str">
        <x:v>Legal &amp; Compliance</x:v>
      </x:c>
      <x:c r="C999" s="5" t="str">
        <x:v>General &amp; Administrative</x:v>
      </x:c>
      <x:c r="D999" s="5" t="str">
        <x:v>US East</x:v>
      </x:c>
      <x:c r="E999" s="10" t="n">
        <x:v>2</x:v>
      </x:c>
      <x:c r="F999" s="7" t="n">
        <x:v>83108.75</x:v>
      </x:c>
      <x:c r="G999" s="8"/>
    </x:row>
    <x:row r="1000">
      <x:c r="A1000" s="6" t="n">
        <x:v>45231</x:v>
      </x:c>
      <x:c r="B1000" s="5" t="str">
        <x:v>Information Technology</x:v>
      </x:c>
      <x:c r="C1000" s="5" t="str">
        <x:v>General &amp; Administrative</x:v>
      </x:c>
      <x:c r="D1000" s="5" t="str">
        <x:v>US East</x:v>
      </x:c>
      <x:c r="E1000" s="10" t="n">
        <x:v>3</x:v>
      </x:c>
      <x:c r="F1000" s="7" t="n">
        <x:v>44340.94</x:v>
      </x:c>
      <x:c r="G1000" s="8"/>
    </x:row>
    <x:row r="1001">
      <x:c r="A1001" s="6" t="n">
        <x:v>45261</x:v>
      </x:c>
      <x:c r="B1001" s="5" t="str">
        <x:v>Cloud Operations</x:v>
      </x:c>
      <x:c r="C1001" s="5" t="str">
        <x:v>Cost of Revenue</x:v>
      </x:c>
      <x:c r="D1001" s="5" t="str">
        <x:v>US East</x:v>
      </x:c>
      <x:c r="E1001" s="10" t="n">
        <x:v>1</x:v>
      </x:c>
      <x:c r="F1001" s="7" t="n">
        <x:v>13683.39</x:v>
      </x:c>
      <x:c r="G1001" s="8"/>
    </x:row>
    <x:row r="1002">
      <x:c r="A1002" s="6" t="n">
        <x:v>45261</x:v>
      </x:c>
      <x:c r="B1002" s="5" t="str">
        <x:v>Customer Support</x:v>
      </x:c>
      <x:c r="C1002" s="5" t="str">
        <x:v>Cost of Revenue</x:v>
      </x:c>
      <x:c r="D1002" s="5" t="str">
        <x:v>US East</x:v>
      </x:c>
      <x:c r="E1002" s="10" t="n">
        <x:v>6</x:v>
      </x:c>
      <x:c r="F1002" s="7" t="n">
        <x:v>72945.76</x:v>
      </x:c>
      <x:c r="G1002" s="8"/>
    </x:row>
    <x:row r="1003">
      <x:c r="A1003" s="6" t="n">
        <x:v>45261</x:v>
      </x:c>
      <x:c r="B1003" s="5" t="str">
        <x:v>Professional Services</x:v>
      </x:c>
      <x:c r="C1003" s="5" t="str">
        <x:v>Cost of Revenue</x:v>
      </x:c>
      <x:c r="D1003" s="5" t="str">
        <x:v>US East</x:v>
      </x:c>
      <x:c r="E1003" s="10" t="n">
        <x:v>20</x:v>
      </x:c>
      <x:c r="F1003" s="7" t="n">
        <x:v>286248.36</x:v>
      </x:c>
      <x:c r="G1003" s="8" t="n">
        <x:v>0.7158</x:v>
      </x:c>
    </x:row>
    <x:row r="1004">
      <x:c r="A1004" s="6" t="n">
        <x:v>45261</x:v>
      </x:c>
      <x:c r="B1004" s="5" t="str">
        <x:v>Sales</x:v>
      </x:c>
      <x:c r="C1004" s="5" t="str">
        <x:v>Sales &amp; Marketing</x:v>
      </x:c>
      <x:c r="D1004" s="5" t="str">
        <x:v>US East</x:v>
      </x:c>
      <x:c r="E1004" s="10" t="n">
        <x:v>25.6</x:v>
      </x:c>
      <x:c r="F1004" s="7" t="n">
        <x:v>485139.34</x:v>
      </x:c>
      <x:c r="G1004" s="8"/>
    </x:row>
    <x:row r="1005">
      <x:c r="A1005" s="6" t="n">
        <x:v>45261</x:v>
      </x:c>
      <x:c r="B1005" s="5" t="str">
        <x:v>Marketing</x:v>
      </x:c>
      <x:c r="C1005" s="5" t="str">
        <x:v>Sales &amp; Marketing</x:v>
      </x:c>
      <x:c r="D1005" s="5" t="str">
        <x:v>US East</x:v>
      </x:c>
      <x:c r="E1005" s="10" t="n">
        <x:v>3</x:v>
      </x:c>
      <x:c r="F1005" s="7" t="n">
        <x:v>42907.56</x:v>
      </x:c>
      <x:c r="G1005" s="8"/>
    </x:row>
    <x:row r="1006">
      <x:c r="A1006" s="6" t="n">
        <x:v>45261</x:v>
      </x:c>
      <x:c r="B1006" s="5" t="str">
        <x:v>Product &amp; Engineering</x:v>
      </x:c>
      <x:c r="C1006" s="5" t="str">
        <x:v>Research &amp; Development</x:v>
      </x:c>
      <x:c r="D1006" s="5" t="str">
        <x:v>US East</x:v>
      </x:c>
      <x:c r="E1006" s="10" t="n">
        <x:v>13.6</x:v>
      </x:c>
      <x:c r="F1006" s="7" t="n">
        <x:v>261756.22</x:v>
      </x:c>
      <x:c r="G1006" s="8"/>
    </x:row>
    <x:row r="1007">
      <x:c r="A1007" s="6" t="n">
        <x:v>45261</x:v>
      </x:c>
      <x:c r="B1007" s="5" t="str">
        <x:v>Finance</x:v>
      </x:c>
      <x:c r="C1007" s="5" t="str">
        <x:v>General &amp; Administrative</x:v>
      </x:c>
      <x:c r="D1007" s="5" t="str">
        <x:v>US East</x:v>
      </x:c>
      <x:c r="E1007" s="10" t="n">
        <x:v>3</x:v>
      </x:c>
      <x:c r="F1007" s="7" t="n">
        <x:v>59253.06</x:v>
      </x:c>
      <x:c r="G1007" s="8"/>
    </x:row>
    <x:row r="1008">
      <x:c r="A1008" s="6" t="n">
        <x:v>45261</x:v>
      </x:c>
      <x:c r="B1008" s="5" t="str">
        <x:v>People</x:v>
      </x:c>
      <x:c r="C1008" s="5" t="str">
        <x:v>General &amp; Administrative</x:v>
      </x:c>
      <x:c r="D1008" s="5" t="str">
        <x:v>US East</x:v>
      </x:c>
      <x:c r="E1008" s="10" t="n">
        <x:v>4</x:v>
      </x:c>
      <x:c r="F1008" s="7" t="n">
        <x:v>51255.15</x:v>
      </x:c>
      <x:c r="G1008" s="8"/>
    </x:row>
    <x:row r="1009">
      <x:c r="A1009" s="6" t="n">
        <x:v>45261</x:v>
      </x:c>
      <x:c r="B1009" s="5" t="str">
        <x:v>Legal &amp; Compliance</x:v>
      </x:c>
      <x:c r="C1009" s="5" t="str">
        <x:v>General &amp; Administrative</x:v>
      </x:c>
      <x:c r="D1009" s="5" t="str">
        <x:v>US East</x:v>
      </x:c>
      <x:c r="E1009" s="10" t="n">
        <x:v>2</x:v>
      </x:c>
      <x:c r="F1009" s="7" t="n">
        <x:v>83108.75</x:v>
      </x:c>
      <x:c r="G1009" s="8"/>
    </x:row>
    <x:row r="1010">
      <x:c r="A1010" s="6" t="n">
        <x:v>45261</x:v>
      </x:c>
      <x:c r="B1010" s="5" t="str">
        <x:v>Information Technology</x:v>
      </x:c>
      <x:c r="C1010" s="5" t="str">
        <x:v>General &amp; Administrative</x:v>
      </x:c>
      <x:c r="D1010" s="5" t="str">
        <x:v>US East</x:v>
      </x:c>
      <x:c r="E1010" s="10" t="n">
        <x:v>3</x:v>
      </x:c>
      <x:c r="F1010" s="7" t="n">
        <x:v>44340.94</x:v>
      </x:c>
      <x:c r="G1010" s="8"/>
    </x:row>
    <x:row r="1011">
      <x:c r="A1011" s="6" t="n">
        <x:v>45292</x:v>
      </x:c>
      <x:c r="B1011" s="5" t="str">
        <x:v>Cloud Operations</x:v>
      </x:c>
      <x:c r="C1011" s="5" t="str">
        <x:v>Cost of Revenue</x:v>
      </x:c>
      <x:c r="D1011" s="5" t="str">
        <x:v>US East</x:v>
      </x:c>
      <x:c r="E1011" s="10" t="n">
        <x:v>1</x:v>
      </x:c>
      <x:c r="F1011" s="7" t="n">
        <x:v>14162.31</x:v>
      </x:c>
      <x:c r="G1011" s="8"/>
    </x:row>
    <x:row r="1012">
      <x:c r="A1012" s="6" t="n">
        <x:v>45292</x:v>
      </x:c>
      <x:c r="B1012" s="5" t="str">
        <x:v>Customer Support</x:v>
      </x:c>
      <x:c r="C1012" s="5" t="str">
        <x:v>Cost of Revenue</x:v>
      </x:c>
      <x:c r="D1012" s="5" t="str">
        <x:v>US East</x:v>
      </x:c>
      <x:c r="E1012" s="10" t="n">
        <x:v>6</x:v>
      </x:c>
      <x:c r="F1012" s="7" t="n">
        <x:v>75498.85</x:v>
      </x:c>
      <x:c r="G1012" s="8"/>
    </x:row>
    <x:row r="1013">
      <x:c r="A1013" s="6" t="n">
        <x:v>45292</x:v>
      </x:c>
      <x:c r="B1013" s="5" t="str">
        <x:v>Professional Services</x:v>
      </x:c>
      <x:c r="C1013" s="5" t="str">
        <x:v>Cost of Revenue</x:v>
      </x:c>
      <x:c r="D1013" s="5" t="str">
        <x:v>US East</x:v>
      </x:c>
      <x:c r="E1013" s="10" t="n">
        <x:v>20</x:v>
      </x:c>
      <x:c r="F1013" s="7" t="n">
        <x:v>296267.07</x:v>
      </x:c>
      <x:c r="G1013" s="8" t="n">
        <x:v>0.7416</x:v>
      </x:c>
    </x:row>
    <x:row r="1014">
      <x:c r="A1014" s="6" t="n">
        <x:v>45292</x:v>
      </x:c>
      <x:c r="B1014" s="5" t="str">
        <x:v>Sales</x:v>
      </x:c>
      <x:c r="C1014" s="5" t="str">
        <x:v>Sales &amp; Marketing</x:v>
      </x:c>
      <x:c r="D1014" s="5" t="str">
        <x:v>US East</x:v>
      </x:c>
      <x:c r="E1014" s="10" t="n">
        <x:v>26.6</x:v>
      </x:c>
      <x:c r="F1014" s="7" t="n">
        <x:v>516692.65</x:v>
      </x:c>
      <x:c r="G1014" s="8"/>
    </x:row>
    <x:row r="1015">
      <x:c r="A1015" s="6" t="n">
        <x:v>45292</x:v>
      </x:c>
      <x:c r="B1015" s="5" t="str">
        <x:v>Marketing</x:v>
      </x:c>
      <x:c r="C1015" s="5" t="str">
        <x:v>Sales &amp; Marketing</x:v>
      </x:c>
      <x:c r="D1015" s="5" t="str">
        <x:v>US East</x:v>
      </x:c>
      <x:c r="E1015" s="10" t="n">
        <x:v>2</x:v>
      </x:c>
      <x:c r="F1015" s="7" t="n">
        <x:v>27604.81</x:v>
      </x:c>
      <x:c r="G1015" s="8"/>
    </x:row>
    <x:row r="1016">
      <x:c r="A1016" s="6" t="n">
        <x:v>45292</x:v>
      </x:c>
      <x:c r="B1016" s="5" t="str">
        <x:v>Product &amp; Engineering</x:v>
      </x:c>
      <x:c r="C1016" s="5" t="str">
        <x:v>Research &amp; Development</x:v>
      </x:c>
      <x:c r="D1016" s="5" t="str">
        <x:v>US East</x:v>
      </x:c>
      <x:c r="E1016" s="10" t="n">
        <x:v>13.6</x:v>
      </x:c>
      <x:c r="F1016" s="7" t="n">
        <x:v>270917.7</x:v>
      </x:c>
      <x:c r="G1016" s="8"/>
    </x:row>
    <x:row r="1017">
      <x:c r="A1017" s="6" t="n">
        <x:v>45292</x:v>
      </x:c>
      <x:c r="B1017" s="5" t="str">
        <x:v>Finance</x:v>
      </x:c>
      <x:c r="C1017" s="5" t="str">
        <x:v>General &amp; Administrative</x:v>
      </x:c>
      <x:c r="D1017" s="5" t="str">
        <x:v>US East</x:v>
      </x:c>
      <x:c r="E1017" s="10" t="n">
        <x:v>3</x:v>
      </x:c>
      <x:c r="F1017" s="7" t="n">
        <x:v>61326.92</x:v>
      </x:c>
      <x:c r="G1017" s="8"/>
    </x:row>
    <x:row r="1018">
      <x:c r="A1018" s="6" t="n">
        <x:v>45292</x:v>
      </x:c>
      <x:c r="B1018" s="5" t="str">
        <x:v>People</x:v>
      </x:c>
      <x:c r="C1018" s="5" t="str">
        <x:v>General &amp; Administrative</x:v>
      </x:c>
      <x:c r="D1018" s="5" t="str">
        <x:v>US East</x:v>
      </x:c>
      <x:c r="E1018" s="10" t="n">
        <x:v>4</x:v>
      </x:c>
      <x:c r="F1018" s="7" t="n">
        <x:v>53049.09</x:v>
      </x:c>
      <x:c r="G1018" s="8"/>
    </x:row>
    <x:row r="1019">
      <x:c r="A1019" s="6" t="n">
        <x:v>45292</x:v>
      </x:c>
      <x:c r="B1019" s="5" t="str">
        <x:v>Legal &amp; Compliance</x:v>
      </x:c>
      <x:c r="C1019" s="5" t="str">
        <x:v>General &amp; Administrative</x:v>
      </x:c>
      <x:c r="D1019" s="5" t="str">
        <x:v>US East</x:v>
      </x:c>
      <x:c r="E1019" s="10" t="n">
        <x:v>2</x:v>
      </x:c>
      <x:c r="F1019" s="7" t="n">
        <x:v>86017.54</x:v>
      </x:c>
      <x:c r="G1019" s="8"/>
    </x:row>
    <x:row r="1020">
      <x:c r="A1020" s="6" t="n">
        <x:v>45292</x:v>
      </x:c>
      <x:c r="B1020" s="5" t="str">
        <x:v>Information Technology</x:v>
      </x:c>
      <x:c r="C1020" s="5" t="str">
        <x:v>General &amp; Administrative</x:v>
      </x:c>
      <x:c r="D1020" s="5" t="str">
        <x:v>US East</x:v>
      </x:c>
      <x:c r="E1020" s="10" t="n">
        <x:v>3</x:v>
      </x:c>
      <x:c r="F1020" s="7" t="n">
        <x:v>45892.87</x:v>
      </x:c>
      <x:c r="G1020" s="8"/>
    </x:row>
    <x:row r="1021">
      <x:c r="A1021" s="6" t="n">
        <x:v>45323</x:v>
      </x:c>
      <x:c r="B1021" s="5" t="str">
        <x:v>Cloud Operations</x:v>
      </x:c>
      <x:c r="C1021" s="5" t="str">
        <x:v>Cost of Revenue</x:v>
      </x:c>
      <x:c r="D1021" s="5" t="str">
        <x:v>US East</x:v>
      </x:c>
      <x:c r="E1021" s="10" t="n">
        <x:v>1</x:v>
      </x:c>
      <x:c r="F1021" s="7" t="n">
        <x:v>14162.31</x:v>
      </x:c>
      <x:c r="G1021" s="8"/>
    </x:row>
    <x:row r="1022">
      <x:c r="A1022" s="6" t="n">
        <x:v>45323</x:v>
      </x:c>
      <x:c r="B1022" s="5" t="str">
        <x:v>Customer Support</x:v>
      </x:c>
      <x:c r="C1022" s="5" t="str">
        <x:v>Cost of Revenue</x:v>
      </x:c>
      <x:c r="D1022" s="5" t="str">
        <x:v>US East</x:v>
      </x:c>
      <x:c r="E1022" s="10" t="n">
        <x:v>7</x:v>
      </x:c>
      <x:c r="F1022" s="7" t="n">
        <x:v>82294.96</x:v>
      </x:c>
      <x:c r="G1022" s="8"/>
    </x:row>
    <x:row r="1023">
      <x:c r="A1023" s="6" t="n">
        <x:v>45323</x:v>
      </x:c>
      <x:c r="B1023" s="5" t="str">
        <x:v>Professional Services</x:v>
      </x:c>
      <x:c r="C1023" s="5" t="str">
        <x:v>Cost of Revenue</x:v>
      </x:c>
      <x:c r="D1023" s="5" t="str">
        <x:v>US East</x:v>
      </x:c>
      <x:c r="E1023" s="10" t="n">
        <x:v>20</x:v>
      </x:c>
      <x:c r="F1023" s="7" t="n">
        <x:v>296267.07</x:v>
      </x:c>
      <x:c r="G1023" s="8" t="n">
        <x:v>0.7432</x:v>
      </x:c>
    </x:row>
    <x:row r="1024">
      <x:c r="A1024" s="6" t="n">
        <x:v>45323</x:v>
      </x:c>
      <x:c r="B1024" s="5" t="str">
        <x:v>Sales</x:v>
      </x:c>
      <x:c r="C1024" s="5" t="str">
        <x:v>Sales &amp; Marketing</x:v>
      </x:c>
      <x:c r="D1024" s="5" t="str">
        <x:v>US East</x:v>
      </x:c>
      <x:c r="E1024" s="10" t="n">
        <x:v>26.6</x:v>
      </x:c>
      <x:c r="F1024" s="7" t="n">
        <x:v>516692.65</x:v>
      </x:c>
      <x:c r="G1024" s="8"/>
    </x:row>
    <x:row r="1025">
      <x:c r="A1025" s="6" t="n">
        <x:v>45323</x:v>
      </x:c>
      <x:c r="B1025" s="5" t="str">
        <x:v>Marketing</x:v>
      </x:c>
      <x:c r="C1025" s="5" t="str">
        <x:v>Sales &amp; Marketing</x:v>
      </x:c>
      <x:c r="D1025" s="5" t="str">
        <x:v>US East</x:v>
      </x:c>
      <x:c r="E1025" s="10" t="n">
        <x:v>2</x:v>
      </x:c>
      <x:c r="F1025" s="7" t="n">
        <x:v>27604.81</x:v>
      </x:c>
      <x:c r="G1025" s="8"/>
    </x:row>
    <x:row r="1026">
      <x:c r="A1026" s="6" t="n">
        <x:v>45323</x:v>
      </x:c>
      <x:c r="B1026" s="5" t="str">
        <x:v>Product &amp; Engineering</x:v>
      </x:c>
      <x:c r="C1026" s="5" t="str">
        <x:v>Research &amp; Development</x:v>
      </x:c>
      <x:c r="D1026" s="5" t="str">
        <x:v>US East</x:v>
      </x:c>
      <x:c r="E1026" s="10" t="n">
        <x:v>13.6</x:v>
      </x:c>
      <x:c r="F1026" s="7" t="n">
        <x:v>270917.7</x:v>
      </x:c>
      <x:c r="G1026" s="8"/>
    </x:row>
    <x:row r="1027">
      <x:c r="A1027" s="6" t="n">
        <x:v>45323</x:v>
      </x:c>
      <x:c r="B1027" s="5" t="str">
        <x:v>Finance</x:v>
      </x:c>
      <x:c r="C1027" s="5" t="str">
        <x:v>General &amp; Administrative</x:v>
      </x:c>
      <x:c r="D1027" s="5" t="str">
        <x:v>US East</x:v>
      </x:c>
      <x:c r="E1027" s="10" t="n">
        <x:v>3</x:v>
      </x:c>
      <x:c r="F1027" s="7" t="n">
        <x:v>61326.92</x:v>
      </x:c>
      <x:c r="G1027" s="8"/>
    </x:row>
    <x:row r="1028">
      <x:c r="A1028" s="6" t="n">
        <x:v>45323</x:v>
      </x:c>
      <x:c r="B1028" s="5" t="str">
        <x:v>People</x:v>
      </x:c>
      <x:c r="C1028" s="5" t="str">
        <x:v>General &amp; Administrative</x:v>
      </x:c>
      <x:c r="D1028" s="5" t="str">
        <x:v>US East</x:v>
      </x:c>
      <x:c r="E1028" s="10" t="n">
        <x:v>4</x:v>
      </x:c>
      <x:c r="F1028" s="7" t="n">
        <x:v>53049.09</x:v>
      </x:c>
      <x:c r="G1028" s="8"/>
    </x:row>
    <x:row r="1029">
      <x:c r="A1029" s="6" t="n">
        <x:v>45323</x:v>
      </x:c>
      <x:c r="B1029" s="5" t="str">
        <x:v>Legal &amp; Compliance</x:v>
      </x:c>
      <x:c r="C1029" s="5" t="str">
        <x:v>General &amp; Administrative</x:v>
      </x:c>
      <x:c r="D1029" s="5" t="str">
        <x:v>US East</x:v>
      </x:c>
      <x:c r="E1029" s="10" t="n">
        <x:v>2</x:v>
      </x:c>
      <x:c r="F1029" s="7" t="n">
        <x:v>86017.54</x:v>
      </x:c>
      <x:c r="G1029" s="8"/>
    </x:row>
    <x:row r="1030">
      <x:c r="A1030" s="6" t="n">
        <x:v>45323</x:v>
      </x:c>
      <x:c r="B1030" s="5" t="str">
        <x:v>Information Technology</x:v>
      </x:c>
      <x:c r="C1030" s="5" t="str">
        <x:v>General &amp; Administrative</x:v>
      </x:c>
      <x:c r="D1030" s="5" t="str">
        <x:v>US East</x:v>
      </x:c>
      <x:c r="E1030" s="10" t="n">
        <x:v>3</x:v>
      </x:c>
      <x:c r="F1030" s="7" t="n">
        <x:v>45892.87</x:v>
      </x:c>
      <x:c r="G1030" s="8"/>
    </x:row>
    <x:row r="1031">
      <x:c r="A1031" s="6" t="n">
        <x:v>45352</x:v>
      </x:c>
      <x:c r="B1031" s="5" t="str">
        <x:v>Cloud Operations</x:v>
      </x:c>
      <x:c r="C1031" s="5" t="str">
        <x:v>Cost of Revenue</x:v>
      </x:c>
      <x:c r="D1031" s="5" t="str">
        <x:v>US East</x:v>
      </x:c>
      <x:c r="E1031" s="10" t="n">
        <x:v>1</x:v>
      </x:c>
      <x:c r="F1031" s="7" t="n">
        <x:v>14162.31</x:v>
      </x:c>
      <x:c r="G1031" s="8"/>
    </x:row>
    <x:row r="1032">
      <x:c r="A1032" s="6" t="n">
        <x:v>45352</x:v>
      </x:c>
      <x:c r="B1032" s="5" t="str">
        <x:v>Customer Support</x:v>
      </x:c>
      <x:c r="C1032" s="5" t="str">
        <x:v>Cost of Revenue</x:v>
      </x:c>
      <x:c r="D1032" s="5" t="str">
        <x:v>US East</x:v>
      </x:c>
      <x:c r="E1032" s="10" t="n">
        <x:v>7</x:v>
      </x:c>
      <x:c r="F1032" s="7" t="n">
        <x:v>82294.96</x:v>
      </x:c>
      <x:c r="G1032" s="8"/>
    </x:row>
    <x:row r="1033">
      <x:c r="A1033" s="6" t="n">
        <x:v>45352</x:v>
      </x:c>
      <x:c r="B1033" s="5" t="str">
        <x:v>Professional Services</x:v>
      </x:c>
      <x:c r="C1033" s="5" t="str">
        <x:v>Cost of Revenue</x:v>
      </x:c>
      <x:c r="D1033" s="5" t="str">
        <x:v>US East</x:v>
      </x:c>
      <x:c r="E1033" s="10" t="n">
        <x:v>20</x:v>
      </x:c>
      <x:c r="F1033" s="7" t="n">
        <x:v>296267.07</x:v>
      </x:c>
      <x:c r="G1033" s="8" t="n">
        <x:v>0.7702</x:v>
      </x:c>
    </x:row>
    <x:row r="1034">
      <x:c r="A1034" s="6" t="n">
        <x:v>45352</x:v>
      </x:c>
      <x:c r="B1034" s="5" t="str">
        <x:v>Sales</x:v>
      </x:c>
      <x:c r="C1034" s="5" t="str">
        <x:v>Sales &amp; Marketing</x:v>
      </x:c>
      <x:c r="D1034" s="5" t="str">
        <x:v>US East</x:v>
      </x:c>
      <x:c r="E1034" s="10" t="n">
        <x:v>27.6</x:v>
      </x:c>
      <x:c r="F1034" s="7" t="n">
        <x:v>534402.25</x:v>
      </x:c>
      <x:c r="G1034" s="8"/>
    </x:row>
    <x:row r="1035">
      <x:c r="A1035" s="6" t="n">
        <x:v>45352</x:v>
      </x:c>
      <x:c r="B1035" s="5" t="str">
        <x:v>Marketing</x:v>
      </x:c>
      <x:c r="C1035" s="5" t="str">
        <x:v>Sales &amp; Marketing</x:v>
      </x:c>
      <x:c r="D1035" s="5" t="str">
        <x:v>US East</x:v>
      </x:c>
      <x:c r="E1035" s="10" t="n">
        <x:v>2</x:v>
      </x:c>
      <x:c r="F1035" s="7" t="n">
        <x:v>27604.81</x:v>
      </x:c>
      <x:c r="G1035" s="8"/>
    </x:row>
    <x:row r="1036">
      <x:c r="A1036" s="6" t="n">
        <x:v>45352</x:v>
      </x:c>
      <x:c r="B1036" s="5" t="str">
        <x:v>Product &amp; Engineering</x:v>
      </x:c>
      <x:c r="C1036" s="5" t="str">
        <x:v>Research &amp; Development</x:v>
      </x:c>
      <x:c r="D1036" s="5" t="str">
        <x:v>US East</x:v>
      </x:c>
      <x:c r="E1036" s="10" t="n">
        <x:v>14.6</x:v>
      </x:c>
      <x:c r="F1036" s="7" t="n">
        <x:v>288812.08</x:v>
      </x:c>
      <x:c r="G1036" s="8"/>
    </x:row>
    <x:row r="1037">
      <x:c r="A1037" s="6" t="n">
        <x:v>45352</x:v>
      </x:c>
      <x:c r="B1037" s="5" t="str">
        <x:v>Finance</x:v>
      </x:c>
      <x:c r="C1037" s="5" t="str">
        <x:v>General &amp; Administrative</x:v>
      </x:c>
      <x:c r="D1037" s="5" t="str">
        <x:v>US East</x:v>
      </x:c>
      <x:c r="E1037" s="10" t="n">
        <x:v>3</x:v>
      </x:c>
      <x:c r="F1037" s="7" t="n">
        <x:v>61326.92</x:v>
      </x:c>
      <x:c r="G1037" s="8"/>
    </x:row>
    <x:row r="1038">
      <x:c r="A1038" s="6" t="n">
        <x:v>45352</x:v>
      </x:c>
      <x:c r="B1038" s="5" t="str">
        <x:v>People</x:v>
      </x:c>
      <x:c r="C1038" s="5" t="str">
        <x:v>General &amp; Administrative</x:v>
      </x:c>
      <x:c r="D1038" s="5" t="str">
        <x:v>US East</x:v>
      </x:c>
      <x:c r="E1038" s="10" t="n">
        <x:v>4</x:v>
      </x:c>
      <x:c r="F1038" s="7" t="n">
        <x:v>53049.09</x:v>
      </x:c>
      <x:c r="G1038" s="8"/>
    </x:row>
    <x:row r="1039">
      <x:c r="A1039" s="6" t="n">
        <x:v>45352</x:v>
      </x:c>
      <x:c r="B1039" s="5" t="str">
        <x:v>Legal &amp; Compliance</x:v>
      </x:c>
      <x:c r="C1039" s="5" t="str">
        <x:v>General &amp; Administrative</x:v>
      </x:c>
      <x:c r="D1039" s="5" t="str">
        <x:v>US East</x:v>
      </x:c>
      <x:c r="E1039" s="10" t="n">
        <x:v>2</x:v>
      </x:c>
      <x:c r="F1039" s="7" t="n">
        <x:v>86017.54</x:v>
      </x:c>
      <x:c r="G1039" s="8"/>
    </x:row>
    <x:row r="1040">
      <x:c r="A1040" s="6" t="n">
        <x:v>45352</x:v>
      </x:c>
      <x:c r="B1040" s="5" t="str">
        <x:v>Information Technology</x:v>
      </x:c>
      <x:c r="C1040" s="5" t="str">
        <x:v>General &amp; Administrative</x:v>
      </x:c>
      <x:c r="D1040" s="5" t="str">
        <x:v>US East</x:v>
      </x:c>
      <x:c r="E1040" s="10" t="n">
        <x:v>3</x:v>
      </x:c>
      <x:c r="F1040" s="7" t="n">
        <x:v>45892.87</x:v>
      </x:c>
      <x:c r="G1040" s="8"/>
    </x:row>
    <x:row r="1041">
      <x:c r="A1041" s="6" t="n">
        <x:v>45383</x:v>
      </x:c>
      <x:c r="B1041" s="5" t="str">
        <x:v>Cloud Operations</x:v>
      </x:c>
      <x:c r="C1041" s="5" t="str">
        <x:v>Cost of Revenue</x:v>
      </x:c>
      <x:c r="D1041" s="5" t="str">
        <x:v>US East</x:v>
      </x:c>
      <x:c r="E1041" s="10" t="n">
        <x:v>1</x:v>
      </x:c>
      <x:c r="F1041" s="7" t="n">
        <x:v>14162.31</x:v>
      </x:c>
      <x:c r="G1041" s="8"/>
    </x:row>
    <x:row r="1042">
      <x:c r="A1042" s="6" t="n">
        <x:v>45383</x:v>
      </x:c>
      <x:c r="B1042" s="5" t="str">
        <x:v>Customer Support</x:v>
      </x:c>
      <x:c r="C1042" s="5" t="str">
        <x:v>Cost of Revenue</x:v>
      </x:c>
      <x:c r="D1042" s="5" t="str">
        <x:v>US East</x:v>
      </x:c>
      <x:c r="E1042" s="10" t="n">
        <x:v>7</x:v>
      </x:c>
      <x:c r="F1042" s="7" t="n">
        <x:v>82294.96</x:v>
      </x:c>
      <x:c r="G1042" s="8"/>
    </x:row>
    <x:row r="1043">
      <x:c r="A1043" s="6" t="n">
        <x:v>45383</x:v>
      </x:c>
      <x:c r="B1043" s="5" t="str">
        <x:v>Professional Services</x:v>
      </x:c>
      <x:c r="C1043" s="5" t="str">
        <x:v>Cost of Revenue</x:v>
      </x:c>
      <x:c r="D1043" s="5" t="str">
        <x:v>US East</x:v>
      </x:c>
      <x:c r="E1043" s="10" t="n">
        <x:v>20</x:v>
      </x:c>
      <x:c r="F1043" s="7" t="n">
        <x:v>296267.07</x:v>
      </x:c>
      <x:c r="G1043" s="8" t="n">
        <x:v>0.7525</x:v>
      </x:c>
    </x:row>
    <x:row r="1044">
      <x:c r="A1044" s="6" t="n">
        <x:v>45383</x:v>
      </x:c>
      <x:c r="B1044" s="5" t="str">
        <x:v>Sales</x:v>
      </x:c>
      <x:c r="C1044" s="5" t="str">
        <x:v>Sales &amp; Marketing</x:v>
      </x:c>
      <x:c r="D1044" s="5" t="str">
        <x:v>US East</x:v>
      </x:c>
      <x:c r="E1044" s="10" t="n">
        <x:v>26.6</x:v>
      </x:c>
      <x:c r="F1044" s="7" t="n">
        <x:v>506487.69</x:v>
      </x:c>
      <x:c r="G1044" s="8"/>
    </x:row>
    <x:row r="1045">
      <x:c r="A1045" s="6" t="n">
        <x:v>45383</x:v>
      </x:c>
      <x:c r="B1045" s="5" t="str">
        <x:v>Marketing</x:v>
      </x:c>
      <x:c r="C1045" s="5" t="str">
        <x:v>Sales &amp; Marketing</x:v>
      </x:c>
      <x:c r="D1045" s="5" t="str">
        <x:v>US East</x:v>
      </x:c>
      <x:c r="E1045" s="10" t="n">
        <x:v>2</x:v>
      </x:c>
      <x:c r="F1045" s="7" t="n">
        <x:v>27604.81</x:v>
      </x:c>
      <x:c r="G1045" s="8"/>
    </x:row>
    <x:row r="1046">
      <x:c r="A1046" s="6" t="n">
        <x:v>45383</x:v>
      </x:c>
      <x:c r="B1046" s="5" t="str">
        <x:v>Product &amp; Engineering</x:v>
      </x:c>
      <x:c r="C1046" s="5" t="str">
        <x:v>Research &amp; Development</x:v>
      </x:c>
      <x:c r="D1046" s="5" t="str">
        <x:v>US East</x:v>
      </x:c>
      <x:c r="E1046" s="10" t="n">
        <x:v>15.6</x:v>
      </x:c>
      <x:c r="F1046" s="7" t="n">
        <x:v>305866.66</x:v>
      </x:c>
      <x:c r="G1046" s="8"/>
    </x:row>
    <x:row r="1047">
      <x:c r="A1047" s="6" t="n">
        <x:v>45383</x:v>
      </x:c>
      <x:c r="B1047" s="5" t="str">
        <x:v>Finance</x:v>
      </x:c>
      <x:c r="C1047" s="5" t="str">
        <x:v>General &amp; Administrative</x:v>
      </x:c>
      <x:c r="D1047" s="5" t="str">
        <x:v>US East</x:v>
      </x:c>
      <x:c r="E1047" s="10" t="n">
        <x:v>3</x:v>
      </x:c>
      <x:c r="F1047" s="7" t="n">
        <x:v>61326.92</x:v>
      </x:c>
      <x:c r="G1047" s="8"/>
    </x:row>
    <x:row r="1048">
      <x:c r="A1048" s="6" t="n">
        <x:v>45383</x:v>
      </x:c>
      <x:c r="B1048" s="5" t="str">
        <x:v>People</x:v>
      </x:c>
      <x:c r="C1048" s="5" t="str">
        <x:v>General &amp; Administrative</x:v>
      </x:c>
      <x:c r="D1048" s="5" t="str">
        <x:v>US East</x:v>
      </x:c>
      <x:c r="E1048" s="10" t="n">
        <x:v>4</x:v>
      </x:c>
      <x:c r="F1048" s="7" t="n">
        <x:v>53049.09</x:v>
      </x:c>
      <x:c r="G1048" s="8"/>
    </x:row>
    <x:row r="1049">
      <x:c r="A1049" s="6" t="n">
        <x:v>45383</x:v>
      </x:c>
      <x:c r="B1049" s="5" t="str">
        <x:v>Legal &amp; Compliance</x:v>
      </x:c>
      <x:c r="C1049" s="5" t="str">
        <x:v>General &amp; Administrative</x:v>
      </x:c>
      <x:c r="D1049" s="5" t="str">
        <x:v>US East</x:v>
      </x:c>
      <x:c r="E1049" s="10" t="n">
        <x:v>2</x:v>
      </x:c>
      <x:c r="F1049" s="7" t="n">
        <x:v>86017.54</x:v>
      </x:c>
      <x:c r="G1049" s="8"/>
    </x:row>
    <x:row r="1050">
      <x:c r="A1050" s="6" t="n">
        <x:v>45383</x:v>
      </x:c>
      <x:c r="B1050" s="5" t="str">
        <x:v>Information Technology</x:v>
      </x:c>
      <x:c r="C1050" s="5" t="str">
        <x:v>General &amp; Administrative</x:v>
      </x:c>
      <x:c r="D1050" s="5" t="str">
        <x:v>US East</x:v>
      </x:c>
      <x:c r="E1050" s="10" t="n">
        <x:v>3</x:v>
      </x:c>
      <x:c r="F1050" s="7" t="n">
        <x:v>45892.87</x:v>
      </x:c>
      <x:c r="G1050" s="8"/>
    </x:row>
    <x:row r="1051">
      <x:c r="A1051" s="6" t="n">
        <x:v>45413</x:v>
      </x:c>
      <x:c r="B1051" s="5" t="str">
        <x:v>Cloud Operations</x:v>
      </x:c>
      <x:c r="C1051" s="5" t="str">
        <x:v>Cost of Revenue</x:v>
      </x:c>
      <x:c r="D1051" s="5" t="str">
        <x:v>US East</x:v>
      </x:c>
      <x:c r="E1051" s="10" t="n">
        <x:v>1</x:v>
      </x:c>
      <x:c r="F1051" s="7" t="n">
        <x:v>14162.31</x:v>
      </x:c>
      <x:c r="G1051" s="8"/>
    </x:row>
    <x:row r="1052">
      <x:c r="A1052" s="6" t="n">
        <x:v>45413</x:v>
      </x:c>
      <x:c r="B1052" s="5" t="str">
        <x:v>Customer Support</x:v>
      </x:c>
      <x:c r="C1052" s="5" t="str">
        <x:v>Cost of Revenue</x:v>
      </x:c>
      <x:c r="D1052" s="5" t="str">
        <x:v>US East</x:v>
      </x:c>
      <x:c r="E1052" s="10" t="n">
        <x:v>7</x:v>
      </x:c>
      <x:c r="F1052" s="7" t="n">
        <x:v>82294.96</x:v>
      </x:c>
      <x:c r="G1052" s="8"/>
    </x:row>
    <x:row r="1053">
      <x:c r="A1053" s="6" t="n">
        <x:v>45413</x:v>
      </x:c>
      <x:c r="B1053" s="5" t="str">
        <x:v>Professional Services</x:v>
      </x:c>
      <x:c r="C1053" s="5" t="str">
        <x:v>Cost of Revenue</x:v>
      </x:c>
      <x:c r="D1053" s="5" t="str">
        <x:v>US East</x:v>
      </x:c>
      <x:c r="E1053" s="10" t="n">
        <x:v>20</x:v>
      </x:c>
      <x:c r="F1053" s="7" t="n">
        <x:v>296267.07</x:v>
      </x:c>
      <x:c r="G1053" s="8" t="n">
        <x:v>0.7463</x:v>
      </x:c>
    </x:row>
    <x:row r="1054">
      <x:c r="A1054" s="6" t="n">
        <x:v>45413</x:v>
      </x:c>
      <x:c r="B1054" s="5" t="str">
        <x:v>Sales</x:v>
      </x:c>
      <x:c r="C1054" s="5" t="str">
        <x:v>Sales &amp; Marketing</x:v>
      </x:c>
      <x:c r="D1054" s="5" t="str">
        <x:v>US East</x:v>
      </x:c>
      <x:c r="E1054" s="10" t="n">
        <x:v>26.6</x:v>
      </x:c>
      <x:c r="F1054" s="7" t="n">
        <x:v>506487.69</x:v>
      </x:c>
      <x:c r="G1054" s="8"/>
    </x:row>
    <x:row r="1055">
      <x:c r="A1055" s="6" t="n">
        <x:v>45413</x:v>
      </x:c>
      <x:c r="B1055" s="5" t="str">
        <x:v>Marketing</x:v>
      </x:c>
      <x:c r="C1055" s="5" t="str">
        <x:v>Sales &amp; Marketing</x:v>
      </x:c>
      <x:c r="D1055" s="5" t="str">
        <x:v>US East</x:v>
      </x:c>
      <x:c r="E1055" s="10" t="n">
        <x:v>2</x:v>
      </x:c>
      <x:c r="F1055" s="7" t="n">
        <x:v>27604.81</x:v>
      </x:c>
      <x:c r="G1055" s="8"/>
    </x:row>
    <x:row r="1056">
      <x:c r="A1056" s="6" t="n">
        <x:v>45413</x:v>
      </x:c>
      <x:c r="B1056" s="5" t="str">
        <x:v>Product &amp; Engineering</x:v>
      </x:c>
      <x:c r="C1056" s="5" t="str">
        <x:v>Research &amp; Development</x:v>
      </x:c>
      <x:c r="D1056" s="5" t="str">
        <x:v>US East</x:v>
      </x:c>
      <x:c r="E1056" s="10" t="n">
        <x:v>15.6</x:v>
      </x:c>
      <x:c r="F1056" s="7" t="n">
        <x:v>305866.66</x:v>
      </x:c>
      <x:c r="G1056" s="8"/>
    </x:row>
    <x:row r="1057">
      <x:c r="A1057" s="6" t="n">
        <x:v>45413</x:v>
      </x:c>
      <x:c r="B1057" s="5" t="str">
        <x:v>Finance</x:v>
      </x:c>
      <x:c r="C1057" s="5" t="str">
        <x:v>General &amp; Administrative</x:v>
      </x:c>
      <x:c r="D1057" s="5" t="str">
        <x:v>US East</x:v>
      </x:c>
      <x:c r="E1057" s="10" t="n">
        <x:v>3</x:v>
      </x:c>
      <x:c r="F1057" s="7" t="n">
        <x:v>61326.92</x:v>
      </x:c>
      <x:c r="G1057" s="8"/>
    </x:row>
    <x:row r="1058">
      <x:c r="A1058" s="6" t="n">
        <x:v>45413</x:v>
      </x:c>
      <x:c r="B1058" s="5" t="str">
        <x:v>People</x:v>
      </x:c>
      <x:c r="C1058" s="5" t="str">
        <x:v>General &amp; Administrative</x:v>
      </x:c>
      <x:c r="D1058" s="5" t="str">
        <x:v>US East</x:v>
      </x:c>
      <x:c r="E1058" s="10" t="n">
        <x:v>4</x:v>
      </x:c>
      <x:c r="F1058" s="7" t="n">
        <x:v>53049.09</x:v>
      </x:c>
      <x:c r="G1058" s="8"/>
    </x:row>
    <x:row r="1059">
      <x:c r="A1059" s="6" t="n">
        <x:v>45413</x:v>
      </x:c>
      <x:c r="B1059" s="5" t="str">
        <x:v>Legal &amp; Compliance</x:v>
      </x:c>
      <x:c r="C1059" s="5" t="str">
        <x:v>General &amp; Administrative</x:v>
      </x:c>
      <x:c r="D1059" s="5" t="str">
        <x:v>US East</x:v>
      </x:c>
      <x:c r="E1059" s="10" t="n">
        <x:v>2</x:v>
      </x:c>
      <x:c r="F1059" s="7" t="n">
        <x:v>86017.54</x:v>
      </x:c>
      <x:c r="G1059" s="8"/>
    </x:row>
    <x:row r="1060">
      <x:c r="A1060" s="6" t="n">
        <x:v>45413</x:v>
      </x:c>
      <x:c r="B1060" s="5" t="str">
        <x:v>Information Technology</x:v>
      </x:c>
      <x:c r="C1060" s="5" t="str">
        <x:v>General &amp; Administrative</x:v>
      </x:c>
      <x:c r="D1060" s="5" t="str">
        <x:v>US East</x:v>
      </x:c>
      <x:c r="E1060" s="10" t="n">
        <x:v>3</x:v>
      </x:c>
      <x:c r="F1060" s="7" t="n">
        <x:v>45892.87</x:v>
      </x:c>
      <x:c r="G1060" s="8"/>
    </x:row>
    <x:row r="1061">
      <x:c r="A1061" s="6" t="n">
        <x:v>45444</x:v>
      </x:c>
      <x:c r="B1061" s="5" t="str">
        <x:v>Cloud Operations</x:v>
      </x:c>
      <x:c r="C1061" s="5" t="str">
        <x:v>Cost of Revenue</x:v>
      </x:c>
      <x:c r="D1061" s="5" t="str">
        <x:v>US East</x:v>
      </x:c>
      <x:c r="E1061" s="10" t="n">
        <x:v>1</x:v>
      </x:c>
      <x:c r="F1061" s="7" t="n">
        <x:v>14162.31</x:v>
      </x:c>
      <x:c r="G1061" s="8"/>
    </x:row>
    <x:row r="1062">
      <x:c r="A1062" s="6" t="n">
        <x:v>45444</x:v>
      </x:c>
      <x:c r="B1062" s="5" t="str">
        <x:v>Customer Support</x:v>
      </x:c>
      <x:c r="C1062" s="5" t="str">
        <x:v>Cost of Revenue</x:v>
      </x:c>
      <x:c r="D1062" s="5" t="str">
        <x:v>US East</x:v>
      </x:c>
      <x:c r="E1062" s="10" t="n">
        <x:v>7</x:v>
      </x:c>
      <x:c r="F1062" s="7" t="n">
        <x:v>82294.96</x:v>
      </x:c>
      <x:c r="G1062" s="8"/>
    </x:row>
    <x:row r="1063">
      <x:c r="A1063" s="6" t="n">
        <x:v>45444</x:v>
      </x:c>
      <x:c r="B1063" s="5" t="str">
        <x:v>Professional Services</x:v>
      </x:c>
      <x:c r="C1063" s="5" t="str">
        <x:v>Cost of Revenue</x:v>
      </x:c>
      <x:c r="D1063" s="5" t="str">
        <x:v>US East</x:v>
      </x:c>
      <x:c r="E1063" s="10" t="n">
        <x:v>21</x:v>
      </x:c>
      <x:c r="F1063" s="7" t="n">
        <x:v>310571</x:v>
      </x:c>
      <x:c r="G1063" s="8" t="n">
        <x:v>0.7551</x:v>
      </x:c>
    </x:row>
    <x:row r="1064">
      <x:c r="A1064" s="6" t="n">
        <x:v>45444</x:v>
      </x:c>
      <x:c r="B1064" s="5" t="str">
        <x:v>Sales</x:v>
      </x:c>
      <x:c r="C1064" s="5" t="str">
        <x:v>Sales &amp; Marketing</x:v>
      </x:c>
      <x:c r="D1064" s="5" t="str">
        <x:v>US East</x:v>
      </x:c>
      <x:c r="E1064" s="10" t="n">
        <x:v>27.6</x:v>
      </x:c>
      <x:c r="F1064" s="7" t="n">
        <x:v>520116.73</x:v>
      </x:c>
      <x:c r="G1064" s="8"/>
    </x:row>
    <x:row r="1065">
      <x:c r="A1065" s="6" t="n">
        <x:v>45444</x:v>
      </x:c>
      <x:c r="B1065" s="5" t="str">
        <x:v>Marketing</x:v>
      </x:c>
      <x:c r="C1065" s="5" t="str">
        <x:v>Sales &amp; Marketing</x:v>
      </x:c>
      <x:c r="D1065" s="5" t="str">
        <x:v>US East</x:v>
      </x:c>
      <x:c r="E1065" s="10" t="n">
        <x:v>2</x:v>
      </x:c>
      <x:c r="F1065" s="7" t="n">
        <x:v>27604.81</x:v>
      </x:c>
      <x:c r="G1065" s="8"/>
    </x:row>
    <x:row r="1066">
      <x:c r="A1066" s="6" t="n">
        <x:v>45444</x:v>
      </x:c>
      <x:c r="B1066" s="5" t="str">
        <x:v>Product &amp; Engineering</x:v>
      </x:c>
      <x:c r="C1066" s="5" t="str">
        <x:v>Research &amp; Development</x:v>
      </x:c>
      <x:c r="D1066" s="5" t="str">
        <x:v>US East</x:v>
      </x:c>
      <x:c r="E1066" s="10" t="n">
        <x:v>15.6</x:v>
      </x:c>
      <x:c r="F1066" s="7" t="n">
        <x:v>305866.66</x:v>
      </x:c>
      <x:c r="G1066" s="8"/>
    </x:row>
    <x:row r="1067">
      <x:c r="A1067" s="6" t="n">
        <x:v>45444</x:v>
      </x:c>
      <x:c r="B1067" s="5" t="str">
        <x:v>Finance</x:v>
      </x:c>
      <x:c r="C1067" s="5" t="str">
        <x:v>General &amp; Administrative</x:v>
      </x:c>
      <x:c r="D1067" s="5" t="str">
        <x:v>US East</x:v>
      </x:c>
      <x:c r="E1067" s="10" t="n">
        <x:v>3</x:v>
      </x:c>
      <x:c r="F1067" s="7" t="n">
        <x:v>61326.92</x:v>
      </x:c>
      <x:c r="G1067" s="8"/>
    </x:row>
    <x:row r="1068">
      <x:c r="A1068" s="6" t="n">
        <x:v>45444</x:v>
      </x:c>
      <x:c r="B1068" s="5" t="str">
        <x:v>People</x:v>
      </x:c>
      <x:c r="C1068" s="5" t="str">
        <x:v>General &amp; Administrative</x:v>
      </x:c>
      <x:c r="D1068" s="5" t="str">
        <x:v>US East</x:v>
      </x:c>
      <x:c r="E1068" s="10" t="n">
        <x:v>4</x:v>
      </x:c>
      <x:c r="F1068" s="7" t="n">
        <x:v>53049.09</x:v>
      </x:c>
      <x:c r="G1068" s="8"/>
    </x:row>
    <x:row r="1069">
      <x:c r="A1069" s="6" t="n">
        <x:v>45444</x:v>
      </x:c>
      <x:c r="B1069" s="5" t="str">
        <x:v>Legal &amp; Compliance</x:v>
      </x:c>
      <x:c r="C1069" s="5" t="str">
        <x:v>General &amp; Administrative</x:v>
      </x:c>
      <x:c r="D1069" s="5" t="str">
        <x:v>US East</x:v>
      </x:c>
      <x:c r="E1069" s="10" t="n">
        <x:v>2</x:v>
      </x:c>
      <x:c r="F1069" s="7" t="n">
        <x:v>86017.54</x:v>
      </x:c>
      <x:c r="G1069" s="8"/>
    </x:row>
    <x:row r="1070">
      <x:c r="A1070" s="6" t="n">
        <x:v>45444</x:v>
      </x:c>
      <x:c r="B1070" s="5" t="str">
        <x:v>Information Technology</x:v>
      </x:c>
      <x:c r="C1070" s="5" t="str">
        <x:v>General &amp; Administrative</x:v>
      </x:c>
      <x:c r="D1070" s="5" t="str">
        <x:v>US East</x:v>
      </x:c>
      <x:c r="E1070" s="10" t="n">
        <x:v>3</x:v>
      </x:c>
      <x:c r="F1070" s="7" t="n">
        <x:v>45892.87</x:v>
      </x:c>
      <x:c r="G1070" s="8"/>
    </x:row>
    <x:row r="1071">
      <x:c r="A1071" s="6" t="n">
        <x:v>45474</x:v>
      </x:c>
      <x:c r="B1071" s="5" t="str">
        <x:v>Cloud Operations</x:v>
      </x:c>
      <x:c r="C1071" s="5" t="str">
        <x:v>Cost of Revenue</x:v>
      </x:c>
      <x:c r="D1071" s="5" t="str">
        <x:v>US East</x:v>
      </x:c>
      <x:c r="E1071" s="10" t="n">
        <x:v>1</x:v>
      </x:c>
      <x:c r="F1071" s="7" t="n">
        <x:v>14162.31</x:v>
      </x:c>
      <x:c r="G1071" s="8"/>
    </x:row>
    <x:row r="1072">
      <x:c r="A1072" s="6" t="n">
        <x:v>45474</x:v>
      </x:c>
      <x:c r="B1072" s="5" t="str">
        <x:v>Customer Support</x:v>
      </x:c>
      <x:c r="C1072" s="5" t="str">
        <x:v>Cost of Revenue</x:v>
      </x:c>
      <x:c r="D1072" s="5" t="str">
        <x:v>US East</x:v>
      </x:c>
      <x:c r="E1072" s="10" t="n">
        <x:v>7</x:v>
      </x:c>
      <x:c r="F1072" s="7" t="n">
        <x:v>82294.96</x:v>
      </x:c>
      <x:c r="G1072" s="8"/>
    </x:row>
    <x:row r="1073">
      <x:c r="A1073" s="6" t="n">
        <x:v>45474</x:v>
      </x:c>
      <x:c r="B1073" s="5" t="str">
        <x:v>Professional Services</x:v>
      </x:c>
      <x:c r="C1073" s="5" t="str">
        <x:v>Cost of Revenue</x:v>
      </x:c>
      <x:c r="D1073" s="5" t="str">
        <x:v>US East</x:v>
      </x:c>
      <x:c r="E1073" s="10" t="n">
        <x:v>22</x:v>
      </x:c>
      <x:c r="F1073" s="7" t="n">
        <x:v>321616.53</x:v>
      </x:c>
      <x:c r="G1073" s="8" t="n">
        <x:v>0.7514</x:v>
      </x:c>
    </x:row>
    <x:row r="1074">
      <x:c r="A1074" s="6" t="n">
        <x:v>45474</x:v>
      </x:c>
      <x:c r="B1074" s="5" t="str">
        <x:v>Sales</x:v>
      </x:c>
      <x:c r="C1074" s="5" t="str">
        <x:v>Sales &amp; Marketing</x:v>
      </x:c>
      <x:c r="D1074" s="5" t="str">
        <x:v>US East</x:v>
      </x:c>
      <x:c r="E1074" s="10" t="n">
        <x:v>27.6</x:v>
      </x:c>
      <x:c r="F1074" s="7" t="n">
        <x:v>520116.73</x:v>
      </x:c>
      <x:c r="G1074" s="8"/>
    </x:row>
    <x:row r="1075">
      <x:c r="A1075" s="6" t="n">
        <x:v>45474</x:v>
      </x:c>
      <x:c r="B1075" s="5" t="str">
        <x:v>Marketing</x:v>
      </x:c>
      <x:c r="C1075" s="5" t="str">
        <x:v>Sales &amp; Marketing</x:v>
      </x:c>
      <x:c r="D1075" s="5" t="str">
        <x:v>US East</x:v>
      </x:c>
      <x:c r="E1075" s="10" t="n">
        <x:v>2</x:v>
      </x:c>
      <x:c r="F1075" s="7" t="n">
        <x:v>27604.81</x:v>
      </x:c>
      <x:c r="G1075" s="8"/>
    </x:row>
    <x:row r="1076">
      <x:c r="A1076" s="6" t="n">
        <x:v>45474</x:v>
      </x:c>
      <x:c r="B1076" s="5" t="str">
        <x:v>Product &amp; Engineering</x:v>
      </x:c>
      <x:c r="C1076" s="5" t="str">
        <x:v>Research &amp; Development</x:v>
      </x:c>
      <x:c r="D1076" s="5" t="str">
        <x:v>US East</x:v>
      </x:c>
      <x:c r="E1076" s="10" t="n">
        <x:v>15.6</x:v>
      </x:c>
      <x:c r="F1076" s="7" t="n">
        <x:v>305866.66</x:v>
      </x:c>
      <x:c r="G1076" s="8"/>
    </x:row>
    <x:row r="1077">
      <x:c r="A1077" s="6" t="n">
        <x:v>45474</x:v>
      </x:c>
      <x:c r="B1077" s="5" t="str">
        <x:v>Finance</x:v>
      </x:c>
      <x:c r="C1077" s="5" t="str">
        <x:v>General &amp; Administrative</x:v>
      </x:c>
      <x:c r="D1077" s="5" t="str">
        <x:v>US East</x:v>
      </x:c>
      <x:c r="E1077" s="10" t="n">
        <x:v>3</x:v>
      </x:c>
      <x:c r="F1077" s="7" t="n">
        <x:v>61326.92</x:v>
      </x:c>
      <x:c r="G1077" s="8"/>
    </x:row>
    <x:row r="1078">
      <x:c r="A1078" s="6" t="n">
        <x:v>45474</x:v>
      </x:c>
      <x:c r="B1078" s="5" t="str">
        <x:v>People</x:v>
      </x:c>
      <x:c r="C1078" s="5" t="str">
        <x:v>General &amp; Administrative</x:v>
      </x:c>
      <x:c r="D1078" s="5" t="str">
        <x:v>US East</x:v>
      </x:c>
      <x:c r="E1078" s="10" t="n">
        <x:v>5</x:v>
      </x:c>
      <x:c r="F1078" s="7" t="n">
        <x:v>68006.05</x:v>
      </x:c>
      <x:c r="G1078" s="8"/>
    </x:row>
    <x:row r="1079">
      <x:c r="A1079" s="6" t="n">
        <x:v>45474</x:v>
      </x:c>
      <x:c r="B1079" s="5" t="str">
        <x:v>Legal &amp; Compliance</x:v>
      </x:c>
      <x:c r="C1079" s="5" t="str">
        <x:v>General &amp; Administrative</x:v>
      </x:c>
      <x:c r="D1079" s="5" t="str">
        <x:v>US East</x:v>
      </x:c>
      <x:c r="E1079" s="10" t="n">
        <x:v>2</x:v>
      </x:c>
      <x:c r="F1079" s="7" t="n">
        <x:v>86017.54</x:v>
      </x:c>
      <x:c r="G1079" s="8"/>
    </x:row>
    <x:row r="1080">
      <x:c r="A1080" s="6" t="n">
        <x:v>45474</x:v>
      </x:c>
      <x:c r="B1080" s="5" t="str">
        <x:v>Information Technology</x:v>
      </x:c>
      <x:c r="C1080" s="5" t="str">
        <x:v>General &amp; Administrative</x:v>
      </x:c>
      <x:c r="D1080" s="5" t="str">
        <x:v>US East</x:v>
      </x:c>
      <x:c r="E1080" s="10" t="n">
        <x:v>4</x:v>
      </x:c>
      <x:c r="F1080" s="7" t="n">
        <x:v>56322.27</x:v>
      </x:c>
      <x:c r="G1080" s="8"/>
    </x:row>
    <x:row r="1081">
      <x:c r="A1081" s="6" t="n">
        <x:v>45505</x:v>
      </x:c>
      <x:c r="B1081" s="5" t="str">
        <x:v>Cloud Operations</x:v>
      </x:c>
      <x:c r="C1081" s="5" t="str">
        <x:v>Cost of Revenue</x:v>
      </x:c>
      <x:c r="D1081" s="5" t="str">
        <x:v>US East</x:v>
      </x:c>
      <x:c r="E1081" s="10" t="n">
        <x:v>1</x:v>
      </x:c>
      <x:c r="F1081" s="7" t="n">
        <x:v>14162.31</x:v>
      </x:c>
      <x:c r="G1081" s="8"/>
    </x:row>
    <x:row r="1082">
      <x:c r="A1082" s="6" t="n">
        <x:v>45505</x:v>
      </x:c>
      <x:c r="B1082" s="5" t="str">
        <x:v>Customer Support</x:v>
      </x:c>
      <x:c r="C1082" s="5" t="str">
        <x:v>Cost of Revenue</x:v>
      </x:c>
      <x:c r="D1082" s="5" t="str">
        <x:v>US East</x:v>
      </x:c>
      <x:c r="E1082" s="10" t="n">
        <x:v>7</x:v>
      </x:c>
      <x:c r="F1082" s="7" t="n">
        <x:v>82294.96</x:v>
      </x:c>
      <x:c r="G1082" s="8"/>
    </x:row>
    <x:row r="1083">
      <x:c r="A1083" s="6" t="n">
        <x:v>45505</x:v>
      </x:c>
      <x:c r="B1083" s="5" t="str">
        <x:v>Professional Services</x:v>
      </x:c>
      <x:c r="C1083" s="5" t="str">
        <x:v>Cost of Revenue</x:v>
      </x:c>
      <x:c r="D1083" s="5" t="str">
        <x:v>US East</x:v>
      </x:c>
      <x:c r="E1083" s="10" t="n">
        <x:v>22</x:v>
      </x:c>
      <x:c r="F1083" s="7" t="n">
        <x:v>321616.53</x:v>
      </x:c>
      <x:c r="G1083" s="8" t="n">
        <x:v>0.748</x:v>
      </x:c>
    </x:row>
    <x:row r="1084">
      <x:c r="A1084" s="6" t="n">
        <x:v>45505</x:v>
      </x:c>
      <x:c r="B1084" s="5" t="str">
        <x:v>Sales</x:v>
      </x:c>
      <x:c r="C1084" s="5" t="str">
        <x:v>Sales &amp; Marketing</x:v>
      </x:c>
      <x:c r="D1084" s="5" t="str">
        <x:v>US East</x:v>
      </x:c>
      <x:c r="E1084" s="10" t="n">
        <x:v>27.6</x:v>
      </x:c>
      <x:c r="F1084" s="7" t="n">
        <x:v>520116.73</x:v>
      </x:c>
      <x:c r="G1084" s="8"/>
    </x:row>
    <x:row r="1085">
      <x:c r="A1085" s="6" t="n">
        <x:v>45505</x:v>
      </x:c>
      <x:c r="B1085" s="5" t="str">
        <x:v>Marketing</x:v>
      </x:c>
      <x:c r="C1085" s="5" t="str">
        <x:v>Sales &amp; Marketing</x:v>
      </x:c>
      <x:c r="D1085" s="5" t="str">
        <x:v>US East</x:v>
      </x:c>
      <x:c r="E1085" s="10" t="n">
        <x:v>2</x:v>
      </x:c>
      <x:c r="F1085" s="7" t="n">
        <x:v>27604.81</x:v>
      </x:c>
      <x:c r="G1085" s="8"/>
    </x:row>
    <x:row r="1086">
      <x:c r="A1086" s="6" t="n">
        <x:v>45505</x:v>
      </x:c>
      <x:c r="B1086" s="5" t="str">
        <x:v>Product &amp; Engineering</x:v>
      </x:c>
      <x:c r="C1086" s="5" t="str">
        <x:v>Research &amp; Development</x:v>
      </x:c>
      <x:c r="D1086" s="5" t="str">
        <x:v>US East</x:v>
      </x:c>
      <x:c r="E1086" s="10" t="n">
        <x:v>15.6</x:v>
      </x:c>
      <x:c r="F1086" s="7" t="n">
        <x:v>305866.66</x:v>
      </x:c>
      <x:c r="G1086" s="8"/>
    </x:row>
    <x:row r="1087">
      <x:c r="A1087" s="6" t="n">
        <x:v>45505</x:v>
      </x:c>
      <x:c r="B1087" s="5" t="str">
        <x:v>Finance</x:v>
      </x:c>
      <x:c r="C1087" s="5" t="str">
        <x:v>General &amp; Administrative</x:v>
      </x:c>
      <x:c r="D1087" s="5" t="str">
        <x:v>US East</x:v>
      </x:c>
      <x:c r="E1087" s="10" t="n">
        <x:v>3</x:v>
      </x:c>
      <x:c r="F1087" s="7" t="n">
        <x:v>61326.92</x:v>
      </x:c>
      <x:c r="G1087" s="8"/>
    </x:row>
    <x:row r="1088">
      <x:c r="A1088" s="6" t="n">
        <x:v>45505</x:v>
      </x:c>
      <x:c r="B1088" s="5" t="str">
        <x:v>People</x:v>
      </x:c>
      <x:c r="C1088" s="5" t="str">
        <x:v>General &amp; Administrative</x:v>
      </x:c>
      <x:c r="D1088" s="5" t="str">
        <x:v>US East</x:v>
      </x:c>
      <x:c r="E1088" s="10" t="n">
        <x:v>5</x:v>
      </x:c>
      <x:c r="F1088" s="7" t="n">
        <x:v>68006.05</x:v>
      </x:c>
      <x:c r="G1088" s="8"/>
    </x:row>
    <x:row r="1089">
      <x:c r="A1089" s="6" t="n">
        <x:v>45505</x:v>
      </x:c>
      <x:c r="B1089" s="5" t="str">
        <x:v>Legal &amp; Compliance</x:v>
      </x:c>
      <x:c r="C1089" s="5" t="str">
        <x:v>General &amp; Administrative</x:v>
      </x:c>
      <x:c r="D1089" s="5" t="str">
        <x:v>US East</x:v>
      </x:c>
      <x:c r="E1089" s="10" t="n">
        <x:v>2</x:v>
      </x:c>
      <x:c r="F1089" s="7" t="n">
        <x:v>86017.54</x:v>
      </x:c>
      <x:c r="G1089" s="8"/>
    </x:row>
    <x:row r="1090">
      <x:c r="A1090" s="6" t="n">
        <x:v>45505</x:v>
      </x:c>
      <x:c r="B1090" s="5" t="str">
        <x:v>Information Technology</x:v>
      </x:c>
      <x:c r="C1090" s="5" t="str">
        <x:v>General &amp; Administrative</x:v>
      </x:c>
      <x:c r="D1090" s="5" t="str">
        <x:v>US East</x:v>
      </x:c>
      <x:c r="E1090" s="10" t="n">
        <x:v>4</x:v>
      </x:c>
      <x:c r="F1090" s="7" t="n">
        <x:v>56322.27</x:v>
      </x:c>
      <x:c r="G1090" s="8"/>
    </x:row>
    <x:row r="1091">
      <x:c r="A1091" s="6" t="n">
        <x:v>45536</x:v>
      </x:c>
      <x:c r="B1091" s="5" t="str">
        <x:v>Cloud Operations</x:v>
      </x:c>
      <x:c r="C1091" s="5" t="str">
        <x:v>Cost of Revenue</x:v>
      </x:c>
      <x:c r="D1091" s="5" t="str">
        <x:v>US East</x:v>
      </x:c>
      <x:c r="E1091" s="10" t="n">
        <x:v>1</x:v>
      </x:c>
      <x:c r="F1091" s="7" t="n">
        <x:v>14162.31</x:v>
      </x:c>
      <x:c r="G1091" s="8"/>
    </x:row>
    <x:row r="1092">
      <x:c r="A1092" s="6" t="n">
        <x:v>45536</x:v>
      </x:c>
      <x:c r="B1092" s="5" t="str">
        <x:v>Customer Support</x:v>
      </x:c>
      <x:c r="C1092" s="5" t="str">
        <x:v>Cost of Revenue</x:v>
      </x:c>
      <x:c r="D1092" s="5" t="str">
        <x:v>US East</x:v>
      </x:c>
      <x:c r="E1092" s="10" t="n">
        <x:v>7</x:v>
      </x:c>
      <x:c r="F1092" s="7" t="n">
        <x:v>82294.96</x:v>
      </x:c>
      <x:c r="G1092" s="8"/>
    </x:row>
    <x:row r="1093">
      <x:c r="A1093" s="6" t="n">
        <x:v>45536</x:v>
      </x:c>
      <x:c r="B1093" s="5" t="str">
        <x:v>Professional Services</x:v>
      </x:c>
      <x:c r="C1093" s="5" t="str">
        <x:v>Cost of Revenue</x:v>
      </x:c>
      <x:c r="D1093" s="5" t="str">
        <x:v>US East</x:v>
      </x:c>
      <x:c r="E1093" s="10" t="n">
        <x:v>22</x:v>
      </x:c>
      <x:c r="F1093" s="7" t="n">
        <x:v>321616.53</x:v>
      </x:c>
      <x:c r="G1093" s="8" t="n">
        <x:v>0.7452</x:v>
      </x:c>
    </x:row>
    <x:row r="1094">
      <x:c r="A1094" s="6" t="n">
        <x:v>45536</x:v>
      </x:c>
      <x:c r="B1094" s="5" t="str">
        <x:v>Sales</x:v>
      </x:c>
      <x:c r="C1094" s="5" t="str">
        <x:v>Sales &amp; Marketing</x:v>
      </x:c>
      <x:c r="D1094" s="5" t="str">
        <x:v>US East</x:v>
      </x:c>
      <x:c r="E1094" s="10" t="n">
        <x:v>27.6</x:v>
      </x:c>
      <x:c r="F1094" s="7" t="n">
        <x:v>520116.73</x:v>
      </x:c>
      <x:c r="G1094" s="8"/>
    </x:row>
    <x:row r="1095">
      <x:c r="A1095" s="6" t="n">
        <x:v>45536</x:v>
      </x:c>
      <x:c r="B1095" s="5" t="str">
        <x:v>Marketing</x:v>
      </x:c>
      <x:c r="C1095" s="5" t="str">
        <x:v>Sales &amp; Marketing</x:v>
      </x:c>
      <x:c r="D1095" s="5" t="str">
        <x:v>US East</x:v>
      </x:c>
      <x:c r="E1095" s="10" t="n">
        <x:v>2</x:v>
      </x:c>
      <x:c r="F1095" s="7" t="n">
        <x:v>27604.81</x:v>
      </x:c>
      <x:c r="G1095" s="8"/>
    </x:row>
    <x:row r="1096">
      <x:c r="A1096" s="6" t="n">
        <x:v>45536</x:v>
      </x:c>
      <x:c r="B1096" s="5" t="str">
        <x:v>Product &amp; Engineering</x:v>
      </x:c>
      <x:c r="C1096" s="5" t="str">
        <x:v>Research &amp; Development</x:v>
      </x:c>
      <x:c r="D1096" s="5" t="str">
        <x:v>US East</x:v>
      </x:c>
      <x:c r="E1096" s="10" t="n">
        <x:v>15.6</x:v>
      </x:c>
      <x:c r="F1096" s="7" t="n">
        <x:v>305866.66</x:v>
      </x:c>
      <x:c r="G1096" s="8"/>
    </x:row>
    <x:row r="1097">
      <x:c r="A1097" s="6" t="n">
        <x:v>45536</x:v>
      </x:c>
      <x:c r="B1097" s="5" t="str">
        <x:v>Finance</x:v>
      </x:c>
      <x:c r="C1097" s="5" t="str">
        <x:v>General &amp; Administrative</x:v>
      </x:c>
      <x:c r="D1097" s="5" t="str">
        <x:v>US East</x:v>
      </x:c>
      <x:c r="E1097" s="10" t="n">
        <x:v>4</x:v>
      </x:c>
      <x:c r="F1097" s="7" t="n">
        <x:v>84878.71</x:v>
      </x:c>
      <x:c r="G1097" s="8"/>
    </x:row>
    <x:row r="1098">
      <x:c r="A1098" s="6" t="n">
        <x:v>45536</x:v>
      </x:c>
      <x:c r="B1098" s="5" t="str">
        <x:v>People</x:v>
      </x:c>
      <x:c r="C1098" s="5" t="str">
        <x:v>General &amp; Administrative</x:v>
      </x:c>
      <x:c r="D1098" s="5" t="str">
        <x:v>US East</x:v>
      </x:c>
      <x:c r="E1098" s="10" t="n">
        <x:v>5</x:v>
      </x:c>
      <x:c r="F1098" s="7" t="n">
        <x:v>68006.05</x:v>
      </x:c>
      <x:c r="G1098" s="8"/>
    </x:row>
    <x:row r="1099">
      <x:c r="A1099" s="6" t="n">
        <x:v>45536</x:v>
      </x:c>
      <x:c r="B1099" s="5" t="str">
        <x:v>Legal &amp; Compliance</x:v>
      </x:c>
      <x:c r="C1099" s="5" t="str">
        <x:v>General &amp; Administrative</x:v>
      </x:c>
      <x:c r="D1099" s="5" t="str">
        <x:v>US East</x:v>
      </x:c>
      <x:c r="E1099" s="10" t="n">
        <x:v>2</x:v>
      </x:c>
      <x:c r="F1099" s="7" t="n">
        <x:v>86017.54</x:v>
      </x:c>
      <x:c r="G1099" s="8"/>
    </x:row>
    <x:row r="1100">
      <x:c r="A1100" s="6" t="n">
        <x:v>45536</x:v>
      </x:c>
      <x:c r="B1100" s="5" t="str">
        <x:v>Information Technology</x:v>
      </x:c>
      <x:c r="C1100" s="5" t="str">
        <x:v>General &amp; Administrative</x:v>
      </x:c>
      <x:c r="D1100" s="5" t="str">
        <x:v>US East</x:v>
      </x:c>
      <x:c r="E1100" s="10" t="n">
        <x:v>4</x:v>
      </x:c>
      <x:c r="F1100" s="7" t="n">
        <x:v>56322.27</x:v>
      </x:c>
      <x:c r="G1100" s="8"/>
    </x:row>
    <x:row r="1101">
      <x:c r="A1101" s="6" t="n">
        <x:v>45566</x:v>
      </x:c>
      <x:c r="B1101" s="5" t="str">
        <x:v>Cloud Operations</x:v>
      </x:c>
      <x:c r="C1101" s="5" t="str">
        <x:v>Cost of Revenue</x:v>
      </x:c>
      <x:c r="D1101" s="5" t="str">
        <x:v>US East</x:v>
      </x:c>
      <x:c r="E1101" s="10" t="n">
        <x:v>1</x:v>
      </x:c>
      <x:c r="F1101" s="7" t="n">
        <x:v>14162.31</x:v>
      </x:c>
      <x:c r="G1101" s="8"/>
    </x:row>
    <x:row r="1102">
      <x:c r="A1102" s="6" t="n">
        <x:v>45566</x:v>
      </x:c>
      <x:c r="B1102" s="5" t="str">
        <x:v>Customer Support</x:v>
      </x:c>
      <x:c r="C1102" s="5" t="str">
        <x:v>Cost of Revenue</x:v>
      </x:c>
      <x:c r="D1102" s="5" t="str">
        <x:v>US East</x:v>
      </x:c>
      <x:c r="E1102" s="10" t="n">
        <x:v>7</x:v>
      </x:c>
      <x:c r="F1102" s="7" t="n">
        <x:v>82294.96</x:v>
      </x:c>
      <x:c r="G1102" s="8"/>
    </x:row>
    <x:row r="1103">
      <x:c r="A1103" s="6" t="n">
        <x:v>45566</x:v>
      </x:c>
      <x:c r="B1103" s="5" t="str">
        <x:v>Professional Services</x:v>
      </x:c>
      <x:c r="C1103" s="5" t="str">
        <x:v>Cost of Revenue</x:v>
      </x:c>
      <x:c r="D1103" s="5" t="str">
        <x:v>US East</x:v>
      </x:c>
      <x:c r="E1103" s="10" t="n">
        <x:v>22</x:v>
      </x:c>
      <x:c r="F1103" s="7" t="n">
        <x:v>321616.53</x:v>
      </x:c>
      <x:c r="G1103" s="8" t="n">
        <x:v>0.7308</x:v>
      </x:c>
    </x:row>
    <x:row r="1104">
      <x:c r="A1104" s="6" t="n">
        <x:v>45566</x:v>
      </x:c>
      <x:c r="B1104" s="5" t="str">
        <x:v>Sales</x:v>
      </x:c>
      <x:c r="C1104" s="5" t="str">
        <x:v>Sales &amp; Marketing</x:v>
      </x:c>
      <x:c r="D1104" s="5" t="str">
        <x:v>US East</x:v>
      </x:c>
      <x:c r="E1104" s="10" t="n">
        <x:v>28.6</x:v>
      </x:c>
      <x:c r="F1104" s="7" t="n">
        <x:v>534393.86</x:v>
      </x:c>
      <x:c r="G1104" s="8"/>
    </x:row>
    <x:row r="1105">
      <x:c r="A1105" s="6" t="n">
        <x:v>45566</x:v>
      </x:c>
      <x:c r="B1105" s="5" t="str">
        <x:v>Marketing</x:v>
      </x:c>
      <x:c r="C1105" s="5" t="str">
        <x:v>Sales &amp; Marketing</x:v>
      </x:c>
      <x:c r="D1105" s="5" t="str">
        <x:v>US East</x:v>
      </x:c>
      <x:c r="E1105" s="10" t="n">
        <x:v>2</x:v>
      </x:c>
      <x:c r="F1105" s="7" t="n">
        <x:v>27604.81</x:v>
      </x:c>
      <x:c r="G1105" s="8"/>
    </x:row>
    <x:row r="1106">
      <x:c r="A1106" s="6" t="n">
        <x:v>45566</x:v>
      </x:c>
      <x:c r="B1106" s="5" t="str">
        <x:v>Product &amp; Engineering</x:v>
      </x:c>
      <x:c r="C1106" s="5" t="str">
        <x:v>Research &amp; Development</x:v>
      </x:c>
      <x:c r="D1106" s="5" t="str">
        <x:v>US East</x:v>
      </x:c>
      <x:c r="E1106" s="10" t="n">
        <x:v>15.6</x:v>
      </x:c>
      <x:c r="F1106" s="7" t="n">
        <x:v>305866.66</x:v>
      </x:c>
      <x:c r="G1106" s="8"/>
    </x:row>
    <x:row r="1107">
      <x:c r="A1107" s="6" t="n">
        <x:v>45566</x:v>
      </x:c>
      <x:c r="B1107" s="5" t="str">
        <x:v>Finance</x:v>
      </x:c>
      <x:c r="C1107" s="5" t="str">
        <x:v>General &amp; Administrative</x:v>
      </x:c>
      <x:c r="D1107" s="5" t="str">
        <x:v>US East</x:v>
      </x:c>
      <x:c r="E1107" s="10" t="n">
        <x:v>4</x:v>
      </x:c>
      <x:c r="F1107" s="7" t="n">
        <x:v>84878.71</x:v>
      </x:c>
      <x:c r="G1107" s="8"/>
    </x:row>
    <x:row r="1108">
      <x:c r="A1108" s="6" t="n">
        <x:v>45566</x:v>
      </x:c>
      <x:c r="B1108" s="5" t="str">
        <x:v>People</x:v>
      </x:c>
      <x:c r="C1108" s="5" t="str">
        <x:v>General &amp; Administrative</x:v>
      </x:c>
      <x:c r="D1108" s="5" t="str">
        <x:v>US East</x:v>
      </x:c>
      <x:c r="E1108" s="10" t="n">
        <x:v>5</x:v>
      </x:c>
      <x:c r="F1108" s="7" t="n">
        <x:v>68006.05</x:v>
      </x:c>
      <x:c r="G1108" s="8"/>
    </x:row>
    <x:row r="1109">
      <x:c r="A1109" s="6" t="n">
        <x:v>45566</x:v>
      </x:c>
      <x:c r="B1109" s="5" t="str">
        <x:v>Legal &amp; Compliance</x:v>
      </x:c>
      <x:c r="C1109" s="5" t="str">
        <x:v>General &amp; Administrative</x:v>
      </x:c>
      <x:c r="D1109" s="5" t="str">
        <x:v>US East</x:v>
      </x:c>
      <x:c r="E1109" s="10" t="n">
        <x:v>2</x:v>
      </x:c>
      <x:c r="F1109" s="7" t="n">
        <x:v>86017.54</x:v>
      </x:c>
      <x:c r="G1109" s="8"/>
    </x:row>
    <x:row r="1110">
      <x:c r="A1110" s="6" t="n">
        <x:v>45566</x:v>
      </x:c>
      <x:c r="B1110" s="5" t="str">
        <x:v>Information Technology</x:v>
      </x:c>
      <x:c r="C1110" s="5" t="str">
        <x:v>General &amp; Administrative</x:v>
      </x:c>
      <x:c r="D1110" s="5" t="str">
        <x:v>US East</x:v>
      </x:c>
      <x:c r="E1110" s="10" t="n">
        <x:v>4</x:v>
      </x:c>
      <x:c r="F1110" s="7" t="n">
        <x:v>56322.27</x:v>
      </x:c>
      <x:c r="G1110" s="8"/>
    </x:row>
    <x:row r="1111">
      <x:c r="A1111" s="6" t="n">
        <x:v>45597</x:v>
      </x:c>
      <x:c r="B1111" s="5" t="str">
        <x:v>Cloud Operations</x:v>
      </x:c>
      <x:c r="C1111" s="5" t="str">
        <x:v>Cost of Revenue</x:v>
      </x:c>
      <x:c r="D1111" s="5" t="str">
        <x:v>US East</x:v>
      </x:c>
      <x:c r="E1111" s="10" t="n">
        <x:v>1</x:v>
      </x:c>
      <x:c r="F1111" s="7" t="n">
        <x:v>14162.31</x:v>
      </x:c>
      <x:c r="G1111" s="8"/>
    </x:row>
    <x:row r="1112">
      <x:c r="A1112" s="6" t="n">
        <x:v>45597</x:v>
      </x:c>
      <x:c r="B1112" s="5" t="str">
        <x:v>Customer Support</x:v>
      </x:c>
      <x:c r="C1112" s="5" t="str">
        <x:v>Cost of Revenue</x:v>
      </x:c>
      <x:c r="D1112" s="5" t="str">
        <x:v>US East</x:v>
      </x:c>
      <x:c r="E1112" s="10" t="n">
        <x:v>8</x:v>
      </x:c>
      <x:c r="F1112" s="7" t="n">
        <x:v>92949.88</x:v>
      </x:c>
      <x:c r="G1112" s="8"/>
    </x:row>
    <x:row r="1113">
      <x:c r="A1113" s="6" t="n">
        <x:v>45597</x:v>
      </x:c>
      <x:c r="B1113" s="5" t="str">
        <x:v>Professional Services</x:v>
      </x:c>
      <x:c r="C1113" s="5" t="str">
        <x:v>Cost of Revenue</x:v>
      </x:c>
      <x:c r="D1113" s="5" t="str">
        <x:v>US East</x:v>
      </x:c>
      <x:c r="E1113" s="10" t="n">
        <x:v>22</x:v>
      </x:c>
      <x:c r="F1113" s="7" t="n">
        <x:v>321616.53</x:v>
      </x:c>
      <x:c r="G1113" s="8" t="n">
        <x:v>0.7621</x:v>
      </x:c>
    </x:row>
    <x:row r="1114">
      <x:c r="A1114" s="6" t="n">
        <x:v>45597</x:v>
      </x:c>
      <x:c r="B1114" s="5" t="str">
        <x:v>Sales</x:v>
      </x:c>
      <x:c r="C1114" s="5" t="str">
        <x:v>Sales &amp; Marketing</x:v>
      </x:c>
      <x:c r="D1114" s="5" t="str">
        <x:v>US East</x:v>
      </x:c>
      <x:c r="E1114" s="10" t="n">
        <x:v>28.6</x:v>
      </x:c>
      <x:c r="F1114" s="7" t="n">
        <x:v>534393.86</x:v>
      </x:c>
      <x:c r="G1114" s="8"/>
    </x:row>
    <x:row r="1115">
      <x:c r="A1115" s="6" t="n">
        <x:v>45597</x:v>
      </x:c>
      <x:c r="B1115" s="5" t="str">
        <x:v>Marketing</x:v>
      </x:c>
      <x:c r="C1115" s="5" t="str">
        <x:v>Sales &amp; Marketing</x:v>
      </x:c>
      <x:c r="D1115" s="5" t="str">
        <x:v>US East</x:v>
      </x:c>
      <x:c r="E1115" s="10" t="n">
        <x:v>2</x:v>
      </x:c>
      <x:c r="F1115" s="7" t="n">
        <x:v>27604.81</x:v>
      </x:c>
      <x:c r="G1115" s="8"/>
    </x:row>
    <x:row r="1116">
      <x:c r="A1116" s="6" t="n">
        <x:v>45597</x:v>
      </x:c>
      <x:c r="B1116" s="5" t="str">
        <x:v>Product &amp; Engineering</x:v>
      </x:c>
      <x:c r="C1116" s="5" t="str">
        <x:v>Research &amp; Development</x:v>
      </x:c>
      <x:c r="D1116" s="5" t="str">
        <x:v>US East</x:v>
      </x:c>
      <x:c r="E1116" s="10" t="n">
        <x:v>15.6</x:v>
      </x:c>
      <x:c r="F1116" s="7" t="n">
        <x:v>305866.66</x:v>
      </x:c>
      <x:c r="G1116" s="8"/>
    </x:row>
    <x:row r="1117">
      <x:c r="A1117" s="6" t="n">
        <x:v>45597</x:v>
      </x:c>
      <x:c r="B1117" s="5" t="str">
        <x:v>Finance</x:v>
      </x:c>
      <x:c r="C1117" s="5" t="str">
        <x:v>General &amp; Administrative</x:v>
      </x:c>
      <x:c r="D1117" s="5" t="str">
        <x:v>US East</x:v>
      </x:c>
      <x:c r="E1117" s="10" t="n">
        <x:v>5</x:v>
      </x:c>
      <x:c r="F1117" s="7" t="n">
        <x:v>96335.11</x:v>
      </x:c>
      <x:c r="G1117" s="8"/>
    </x:row>
    <x:row r="1118">
      <x:c r="A1118" s="6" t="n">
        <x:v>45597</x:v>
      </x:c>
      <x:c r="B1118" s="5" t="str">
        <x:v>People</x:v>
      </x:c>
      <x:c r="C1118" s="5" t="str">
        <x:v>General &amp; Administrative</x:v>
      </x:c>
      <x:c r="D1118" s="5" t="str">
        <x:v>US East</x:v>
      </x:c>
      <x:c r="E1118" s="10" t="n">
        <x:v>5</x:v>
      </x:c>
      <x:c r="F1118" s="7" t="n">
        <x:v>68006.05</x:v>
      </x:c>
      <x:c r="G1118" s="8"/>
    </x:row>
    <x:row r="1119">
      <x:c r="A1119" s="6" t="n">
        <x:v>45597</x:v>
      </x:c>
      <x:c r="B1119" s="5" t="str">
        <x:v>Legal &amp; Compliance</x:v>
      </x:c>
      <x:c r="C1119" s="5" t="str">
        <x:v>General &amp; Administrative</x:v>
      </x:c>
      <x:c r="D1119" s="5" t="str">
        <x:v>US East</x:v>
      </x:c>
      <x:c r="E1119" s="10" t="n">
        <x:v>2</x:v>
      </x:c>
      <x:c r="F1119" s="7" t="n">
        <x:v>86017.54</x:v>
      </x:c>
      <x:c r="G1119" s="8"/>
    </x:row>
    <x:row r="1120">
      <x:c r="A1120" s="6" t="n">
        <x:v>45597</x:v>
      </x:c>
      <x:c r="B1120" s="5" t="str">
        <x:v>Information Technology</x:v>
      </x:c>
      <x:c r="C1120" s="5" t="str">
        <x:v>General &amp; Administrative</x:v>
      </x:c>
      <x:c r="D1120" s="5" t="str">
        <x:v>US East</x:v>
      </x:c>
      <x:c r="E1120" s="10" t="n">
        <x:v>4</x:v>
      </x:c>
      <x:c r="F1120" s="7" t="n">
        <x:v>56322.27</x:v>
      </x:c>
      <x:c r="G1120" s="8"/>
    </x:row>
    <x:row r="1121">
      <x:c r="A1121" s="6" t="n">
        <x:v>45627</x:v>
      </x:c>
      <x:c r="B1121" s="5" t="str">
        <x:v>Cloud Operations</x:v>
      </x:c>
      <x:c r="C1121" s="5" t="str">
        <x:v>Cost of Revenue</x:v>
      </x:c>
      <x:c r="D1121" s="5" t="str">
        <x:v>US East</x:v>
      </x:c>
      <x:c r="E1121" s="10" t="n">
        <x:v>1</x:v>
      </x:c>
      <x:c r="F1121" s="7" t="n">
        <x:v>14162.31</x:v>
      </x:c>
      <x:c r="G1121" s="8"/>
    </x:row>
    <x:row r="1122">
      <x:c r="A1122" s="6" t="n">
        <x:v>45627</x:v>
      </x:c>
      <x:c r="B1122" s="5" t="str">
        <x:v>Customer Support</x:v>
      </x:c>
      <x:c r="C1122" s="5" t="str">
        <x:v>Cost of Revenue</x:v>
      </x:c>
      <x:c r="D1122" s="5" t="str">
        <x:v>US East</x:v>
      </x:c>
      <x:c r="E1122" s="10" t="n">
        <x:v>8</x:v>
      </x:c>
      <x:c r="F1122" s="7" t="n">
        <x:v>92949.88</x:v>
      </x:c>
      <x:c r="G1122" s="8"/>
    </x:row>
    <x:row r="1123">
      <x:c r="A1123" s="6" t="n">
        <x:v>45627</x:v>
      </x:c>
      <x:c r="B1123" s="5" t="str">
        <x:v>Professional Services</x:v>
      </x:c>
      <x:c r="C1123" s="5" t="str">
        <x:v>Cost of Revenue</x:v>
      </x:c>
      <x:c r="D1123" s="5" t="str">
        <x:v>US East</x:v>
      </x:c>
      <x:c r="E1123" s="10" t="n">
        <x:v>21</x:v>
      </x:c>
      <x:c r="F1123" s="7" t="n">
        <x:v>312130.95</x:v>
      </x:c>
      <x:c r="G1123" s="8" t="n">
        <x:v>0.7039</x:v>
      </x:c>
    </x:row>
    <x:row r="1124">
      <x:c r="A1124" s="6" t="n">
        <x:v>45627</x:v>
      </x:c>
      <x:c r="B1124" s="5" t="str">
        <x:v>Sales</x:v>
      </x:c>
      <x:c r="C1124" s="5" t="str">
        <x:v>Sales &amp; Marketing</x:v>
      </x:c>
      <x:c r="D1124" s="5" t="str">
        <x:v>US East</x:v>
      </x:c>
      <x:c r="E1124" s="10" t="n">
        <x:v>28.6</x:v>
      </x:c>
      <x:c r="F1124" s="7" t="n">
        <x:v>534393.86</x:v>
      </x:c>
      <x:c r="G1124" s="8"/>
    </x:row>
    <x:row r="1125">
      <x:c r="A1125" s="6" t="n">
        <x:v>45627</x:v>
      </x:c>
      <x:c r="B1125" s="5" t="str">
        <x:v>Marketing</x:v>
      </x:c>
      <x:c r="C1125" s="5" t="str">
        <x:v>Sales &amp; Marketing</x:v>
      </x:c>
      <x:c r="D1125" s="5" t="str">
        <x:v>US East</x:v>
      </x:c>
      <x:c r="E1125" s="10" t="n">
        <x:v>2</x:v>
      </x:c>
      <x:c r="F1125" s="7" t="n">
        <x:v>27604.81</x:v>
      </x:c>
      <x:c r="G1125" s="8"/>
    </x:row>
    <x:row r="1126">
      <x:c r="A1126" s="6" t="n">
        <x:v>45627</x:v>
      </x:c>
      <x:c r="B1126" s="5" t="str">
        <x:v>Product &amp; Engineering</x:v>
      </x:c>
      <x:c r="C1126" s="5" t="str">
        <x:v>Research &amp; Development</x:v>
      </x:c>
      <x:c r="D1126" s="5" t="str">
        <x:v>US East</x:v>
      </x:c>
      <x:c r="E1126" s="10" t="n">
        <x:v>15.6</x:v>
      </x:c>
      <x:c r="F1126" s="7" t="n">
        <x:v>305866.66</x:v>
      </x:c>
      <x:c r="G1126" s="8"/>
    </x:row>
    <x:row r="1127">
      <x:c r="A1127" s="6" t="n">
        <x:v>45627</x:v>
      </x:c>
      <x:c r="B1127" s="5" t="str">
        <x:v>Finance</x:v>
      </x:c>
      <x:c r="C1127" s="5" t="str">
        <x:v>General &amp; Administrative</x:v>
      </x:c>
      <x:c r="D1127" s="5" t="str">
        <x:v>US East</x:v>
      </x:c>
      <x:c r="E1127" s="10" t="n">
        <x:v>5</x:v>
      </x:c>
      <x:c r="F1127" s="7" t="n">
        <x:v>96335.11</x:v>
      </x:c>
      <x:c r="G1127" s="8"/>
    </x:row>
    <x:row r="1128">
      <x:c r="A1128" s="6" t="n">
        <x:v>45627</x:v>
      </x:c>
      <x:c r="B1128" s="5" t="str">
        <x:v>People</x:v>
      </x:c>
      <x:c r="C1128" s="5" t="str">
        <x:v>General &amp; Administrative</x:v>
      </x:c>
      <x:c r="D1128" s="5" t="str">
        <x:v>US East</x:v>
      </x:c>
      <x:c r="E1128" s="10" t="n">
        <x:v>5</x:v>
      </x:c>
      <x:c r="F1128" s="7" t="n">
        <x:v>68006.05</x:v>
      </x:c>
      <x:c r="G1128" s="8"/>
    </x:row>
    <x:row r="1129">
      <x:c r="A1129" s="6" t="n">
        <x:v>45627</x:v>
      </x:c>
      <x:c r="B1129" s="5" t="str">
        <x:v>Legal &amp; Compliance</x:v>
      </x:c>
      <x:c r="C1129" s="5" t="str">
        <x:v>General &amp; Administrative</x:v>
      </x:c>
      <x:c r="D1129" s="5" t="str">
        <x:v>US East</x:v>
      </x:c>
      <x:c r="E1129" s="10" t="n">
        <x:v>2</x:v>
      </x:c>
      <x:c r="F1129" s="7" t="n">
        <x:v>86017.54</x:v>
      </x:c>
      <x:c r="G1129" s="8"/>
    </x:row>
    <x:row r="1130">
      <x:c r="A1130" s="6" t="n">
        <x:v>45627</x:v>
      </x:c>
      <x:c r="B1130" s="5" t="str">
        <x:v>Information Technology</x:v>
      </x:c>
      <x:c r="C1130" s="5" t="str">
        <x:v>General &amp; Administrative</x:v>
      </x:c>
      <x:c r="D1130" s="5" t="str">
        <x:v>US East</x:v>
      </x:c>
      <x:c r="E1130" s="10" t="n">
        <x:v>4</x:v>
      </x:c>
      <x:c r="F1130" s="7" t="n">
        <x:v>56322.27</x:v>
      </x:c>
      <x:c r="G1130" s="8"/>
    </x:row>
    <x:row r="1131">
      <x:c r="A1131" s="6" t="n">
        <x:v>45658</x:v>
      </x:c>
      <x:c r="B1131" s="5" t="str">
        <x:v>Cloud Operations</x:v>
      </x:c>
      <x:c r="C1131" s="5" t="str">
        <x:v>Cost of Revenue</x:v>
      </x:c>
      <x:c r="D1131" s="5" t="str">
        <x:v>US East</x:v>
      </x:c>
      <x:c r="E1131" s="10" t="n">
        <x:v>1</x:v>
      </x:c>
      <x:c r="F1131" s="7" t="n">
        <x:v>14657.99</x:v>
      </x:c>
      <x:c r="G1131" s="8"/>
    </x:row>
    <x:row r="1132">
      <x:c r="A1132" s="6" t="n">
        <x:v>45658</x:v>
      </x:c>
      <x:c r="B1132" s="5" t="str">
        <x:v>Customer Support</x:v>
      </x:c>
      <x:c r="C1132" s="5" t="str">
        <x:v>Cost of Revenue</x:v>
      </x:c>
      <x:c r="D1132" s="5" t="str">
        <x:v>US East</x:v>
      </x:c>
      <x:c r="E1132" s="10" t="n">
        <x:v>8</x:v>
      </x:c>
      <x:c r="F1132" s="7" t="n">
        <x:v>96203.14</x:v>
      </x:c>
      <x:c r="G1132" s="8"/>
    </x:row>
    <x:row r="1133">
      <x:c r="A1133" s="6" t="n">
        <x:v>45658</x:v>
      </x:c>
      <x:c r="B1133" s="5" t="str">
        <x:v>Professional Services</x:v>
      </x:c>
      <x:c r="C1133" s="5" t="str">
        <x:v>Cost of Revenue</x:v>
      </x:c>
      <x:c r="D1133" s="5" t="str">
        <x:v>US East</x:v>
      </x:c>
      <x:c r="E1133" s="10" t="n">
        <x:v>21</x:v>
      </x:c>
      <x:c r="F1133" s="7" t="n">
        <x:v>323055.52</x:v>
      </x:c>
      <x:c r="G1133" s="8" t="n">
        <x:v>0.7074</x:v>
      </x:c>
    </x:row>
    <x:row r="1134">
      <x:c r="A1134" s="6" t="n">
        <x:v>45658</x:v>
      </x:c>
      <x:c r="B1134" s="5" t="str">
        <x:v>Sales</x:v>
      </x:c>
      <x:c r="C1134" s="5" t="str">
        <x:v>Sales &amp; Marketing</x:v>
      </x:c>
      <x:c r="D1134" s="5" t="str">
        <x:v>US East</x:v>
      </x:c>
      <x:c r="E1134" s="10" t="n">
        <x:v>28.6</x:v>
      </x:c>
      <x:c r="F1134" s="7" t="n">
        <x:v>553097.63</x:v>
      </x:c>
      <x:c r="G1134" s="8"/>
    </x:row>
    <x:row r="1135">
      <x:c r="A1135" s="6" t="n">
        <x:v>45658</x:v>
      </x:c>
      <x:c r="B1135" s="5" t="str">
        <x:v>Marketing</x:v>
      </x:c>
      <x:c r="C1135" s="5" t="str">
        <x:v>Sales &amp; Marketing</x:v>
      </x:c>
      <x:c r="D1135" s="5" t="str">
        <x:v>US East</x:v>
      </x:c>
      <x:c r="E1135" s="10" t="n">
        <x:v>2</x:v>
      </x:c>
      <x:c r="F1135" s="7" t="n">
        <x:v>28570.99</x:v>
      </x:c>
      <x:c r="G1135" s="8"/>
    </x:row>
    <x:row r="1136">
      <x:c r="A1136" s="6" t="n">
        <x:v>45658</x:v>
      </x:c>
      <x:c r="B1136" s="5" t="str">
        <x:v>Product &amp; Engineering</x:v>
      </x:c>
      <x:c r="C1136" s="5" t="str">
        <x:v>Research &amp; Development</x:v>
      </x:c>
      <x:c r="D1136" s="5" t="str">
        <x:v>US East</x:v>
      </x:c>
      <x:c r="E1136" s="10" t="n">
        <x:v>15.6</x:v>
      </x:c>
      <x:c r="F1136" s="7" t="n">
        <x:v>316572.02</x:v>
      </x:c>
      <x:c r="G1136" s="8"/>
    </x:row>
    <x:row r="1137">
      <x:c r="A1137" s="6" t="n">
        <x:v>45658</x:v>
      </x:c>
      <x:c r="B1137" s="5" t="str">
        <x:v>Finance</x:v>
      </x:c>
      <x:c r="C1137" s="5" t="str">
        <x:v>General &amp; Administrative</x:v>
      </x:c>
      <x:c r="D1137" s="5" t="str">
        <x:v>US East</x:v>
      </x:c>
      <x:c r="E1137" s="10" t="n">
        <x:v>5</x:v>
      </x:c>
      <x:c r="F1137" s="7" t="n">
        <x:v>99706.84</x:v>
      </x:c>
      <x:c r="G1137" s="8"/>
    </x:row>
    <x:row r="1138">
      <x:c r="A1138" s="6" t="n">
        <x:v>45658</x:v>
      </x:c>
      <x:c r="B1138" s="5" t="str">
        <x:v>People</x:v>
      </x:c>
      <x:c r="C1138" s="5" t="str">
        <x:v>General &amp; Administrative</x:v>
      </x:c>
      <x:c r="D1138" s="5" t="str">
        <x:v>US East</x:v>
      </x:c>
      <x:c r="E1138" s="10" t="n">
        <x:v>5</x:v>
      </x:c>
      <x:c r="F1138" s="7" t="n">
        <x:v>70386.26</x:v>
      </x:c>
      <x:c r="G1138" s="8"/>
    </x:row>
    <x:row r="1139">
      <x:c r="A1139" s="6" t="n">
        <x:v>45658</x:v>
      </x:c>
      <x:c r="B1139" s="5" t="str">
        <x:v>Legal &amp; Compliance</x:v>
      </x:c>
      <x:c r="C1139" s="5" t="str">
        <x:v>General &amp; Administrative</x:v>
      </x:c>
      <x:c r="D1139" s="5" t="str">
        <x:v>US East</x:v>
      </x:c>
      <x:c r="E1139" s="10" t="n">
        <x:v>2</x:v>
      </x:c>
      <x:c r="F1139" s="7" t="n">
        <x:v>89028.16</x:v>
      </x:c>
      <x:c r="G1139" s="8"/>
    </x:row>
    <x:row r="1140">
      <x:c r="A1140" s="6" t="n">
        <x:v>45658</x:v>
      </x:c>
      <x:c r="B1140" s="5" t="str">
        <x:v>Information Technology</x:v>
      </x:c>
      <x:c r="C1140" s="5" t="str">
        <x:v>General &amp; Administrative</x:v>
      </x:c>
      <x:c r="D1140" s="5" t="str">
        <x:v>US East</x:v>
      </x:c>
      <x:c r="E1140" s="10" t="n">
        <x:v>4</x:v>
      </x:c>
      <x:c r="F1140" s="7" t="n">
        <x:v>58293.55</x:v>
      </x:c>
      <x:c r="G1140" s="8"/>
    </x:row>
    <x:row r="1141">
      <x:c r="A1141" s="6" t="n">
        <x:v>45689</x:v>
      </x:c>
      <x:c r="B1141" s="5" t="str">
        <x:v>Cloud Operations</x:v>
      </x:c>
      <x:c r="C1141" s="5" t="str">
        <x:v>Cost of Revenue</x:v>
      </x:c>
      <x:c r="D1141" s="5" t="str">
        <x:v>US East</x:v>
      </x:c>
      <x:c r="E1141" s="10" t="n">
        <x:v>1</x:v>
      </x:c>
      <x:c r="F1141" s="7" t="n">
        <x:v>14657.99</x:v>
      </x:c>
      <x:c r="G1141" s="8"/>
    </x:row>
    <x:row r="1142">
      <x:c r="A1142" s="6" t="n">
        <x:v>45689</x:v>
      </x:c>
      <x:c r="B1142" s="5" t="str">
        <x:v>Customer Support</x:v>
      </x:c>
      <x:c r="C1142" s="5" t="str">
        <x:v>Cost of Revenue</x:v>
      </x:c>
      <x:c r="D1142" s="5" t="str">
        <x:v>US East</x:v>
      </x:c>
      <x:c r="E1142" s="10" t="n">
        <x:v>9</x:v>
      </x:c>
      <x:c r="F1142" s="7" t="n">
        <x:v>104851.24</x:v>
      </x:c>
      <x:c r="G1142" s="8"/>
    </x:row>
    <x:row r="1143">
      <x:c r="A1143" s="6" t="n">
        <x:v>45689</x:v>
      </x:c>
      <x:c r="B1143" s="5" t="str">
        <x:v>Professional Services</x:v>
      </x:c>
      <x:c r="C1143" s="5" t="str">
        <x:v>Cost of Revenue</x:v>
      </x:c>
      <x:c r="D1143" s="5" t="str">
        <x:v>US East</x:v>
      </x:c>
      <x:c r="E1143" s="10" t="n">
        <x:v>21</x:v>
      </x:c>
      <x:c r="F1143" s="7" t="n">
        <x:v>323055.52</x:v>
      </x:c>
      <x:c r="G1143" s="8" t="n">
        <x:v>0.7222</x:v>
      </x:c>
    </x:row>
    <x:row r="1144">
      <x:c r="A1144" s="6" t="n">
        <x:v>45689</x:v>
      </x:c>
      <x:c r="B1144" s="5" t="str">
        <x:v>Sales</x:v>
      </x:c>
      <x:c r="C1144" s="5" t="str">
        <x:v>Sales &amp; Marketing</x:v>
      </x:c>
      <x:c r="D1144" s="5" t="str">
        <x:v>US East</x:v>
      </x:c>
      <x:c r="E1144" s="10" t="n">
        <x:v>28.6</x:v>
      </x:c>
      <x:c r="F1144" s="7" t="n">
        <x:v>553097.63</x:v>
      </x:c>
      <x:c r="G1144" s="8"/>
    </x:row>
    <x:row r="1145">
      <x:c r="A1145" s="6" t="n">
        <x:v>45689</x:v>
      </x:c>
      <x:c r="B1145" s="5" t="str">
        <x:v>Marketing</x:v>
      </x:c>
      <x:c r="C1145" s="5" t="str">
        <x:v>Sales &amp; Marketing</x:v>
      </x:c>
      <x:c r="D1145" s="5" t="str">
        <x:v>US East</x:v>
      </x:c>
      <x:c r="E1145" s="10" t="n">
        <x:v>2</x:v>
      </x:c>
      <x:c r="F1145" s="7" t="n">
        <x:v>28570.99</x:v>
      </x:c>
      <x:c r="G1145" s="8"/>
    </x:row>
    <x:row r="1146">
      <x:c r="A1146" s="6" t="n">
        <x:v>45689</x:v>
      </x:c>
      <x:c r="B1146" s="5" t="str">
        <x:v>Product &amp; Engineering</x:v>
      </x:c>
      <x:c r="C1146" s="5" t="str">
        <x:v>Research &amp; Development</x:v>
      </x:c>
      <x:c r="D1146" s="5" t="str">
        <x:v>US East</x:v>
      </x:c>
      <x:c r="E1146" s="10" t="n">
        <x:v>15.6</x:v>
      </x:c>
      <x:c r="F1146" s="7" t="n">
        <x:v>316572.02</x:v>
      </x:c>
      <x:c r="G1146" s="8"/>
    </x:row>
    <x:row r="1147">
      <x:c r="A1147" s="6" t="n">
        <x:v>45689</x:v>
      </x:c>
      <x:c r="B1147" s="5" t="str">
        <x:v>Finance</x:v>
      </x:c>
      <x:c r="C1147" s="5" t="str">
        <x:v>General &amp; Administrative</x:v>
      </x:c>
      <x:c r="D1147" s="5" t="str">
        <x:v>US East</x:v>
      </x:c>
      <x:c r="E1147" s="10" t="n">
        <x:v>5</x:v>
      </x:c>
      <x:c r="F1147" s="7" t="n">
        <x:v>99706.84</x:v>
      </x:c>
      <x:c r="G1147" s="8"/>
    </x:row>
    <x:row r="1148">
      <x:c r="A1148" s="6" t="n">
        <x:v>45689</x:v>
      </x:c>
      <x:c r="B1148" s="5" t="str">
        <x:v>People</x:v>
      </x:c>
      <x:c r="C1148" s="5" t="str">
        <x:v>General &amp; Administrative</x:v>
      </x:c>
      <x:c r="D1148" s="5" t="str">
        <x:v>US East</x:v>
      </x:c>
      <x:c r="E1148" s="10" t="n">
        <x:v>5</x:v>
      </x:c>
      <x:c r="F1148" s="7" t="n">
        <x:v>70386.26</x:v>
      </x:c>
      <x:c r="G1148" s="8"/>
    </x:row>
    <x:row r="1149">
      <x:c r="A1149" s="6" t="n">
        <x:v>45689</x:v>
      </x:c>
      <x:c r="B1149" s="5" t="str">
        <x:v>Legal &amp; Compliance</x:v>
      </x:c>
      <x:c r="C1149" s="5" t="str">
        <x:v>General &amp; Administrative</x:v>
      </x:c>
      <x:c r="D1149" s="5" t="str">
        <x:v>US East</x:v>
      </x:c>
      <x:c r="E1149" s="10" t="n">
        <x:v>2</x:v>
      </x:c>
      <x:c r="F1149" s="7" t="n">
        <x:v>89028.16</x:v>
      </x:c>
      <x:c r="G1149" s="8"/>
    </x:row>
    <x:row r="1150">
      <x:c r="A1150" s="6" t="n">
        <x:v>45689</x:v>
      </x:c>
      <x:c r="B1150" s="5" t="str">
        <x:v>Information Technology</x:v>
      </x:c>
      <x:c r="C1150" s="5" t="str">
        <x:v>General &amp; Administrative</x:v>
      </x:c>
      <x:c r="D1150" s="5" t="str">
        <x:v>US East</x:v>
      </x:c>
      <x:c r="E1150" s="10" t="n">
        <x:v>4</x:v>
      </x:c>
      <x:c r="F1150" s="7" t="n">
        <x:v>58293.55</x:v>
      </x:c>
      <x:c r="G1150" s="8"/>
    </x:row>
    <x:row r="1151">
      <x:c r="A1151" s="6" t="n">
        <x:v>45717</x:v>
      </x:c>
      <x:c r="B1151" s="5" t="str">
        <x:v>Customer Support</x:v>
      </x:c>
      <x:c r="C1151" s="5" t="str">
        <x:v>Cost of Revenue</x:v>
      </x:c>
      <x:c r="D1151" s="5" t="str">
        <x:v>US East</x:v>
      </x:c>
      <x:c r="E1151" s="10" t="n">
        <x:v>10</x:v>
      </x:c>
      <x:c r="F1151" s="7" t="n">
        <x:v>114154.62</x:v>
      </x:c>
      <x:c r="G1151" s="8"/>
    </x:row>
    <x:row r="1152">
      <x:c r="A1152" s="6" t="n">
        <x:v>45717</x:v>
      </x:c>
      <x:c r="B1152" s="5" t="str">
        <x:v>Professional Services</x:v>
      </x:c>
      <x:c r="C1152" s="5" t="str">
        <x:v>Cost of Revenue</x:v>
      </x:c>
      <x:c r="D1152" s="5" t="str">
        <x:v>US East</x:v>
      </x:c>
      <x:c r="E1152" s="10" t="n">
        <x:v>21</x:v>
      </x:c>
      <x:c r="F1152" s="7" t="n">
        <x:v>323055.52</x:v>
      </x:c>
      <x:c r="G1152" s="8" t="n">
        <x:v>0.7541</x:v>
      </x:c>
    </x:row>
    <x:row r="1153">
      <x:c r="A1153" s="6" t="n">
        <x:v>45717</x:v>
      </x:c>
      <x:c r="B1153" s="5" t="str">
        <x:v>Sales</x:v>
      </x:c>
      <x:c r="C1153" s="5" t="str">
        <x:v>Sales &amp; Marketing</x:v>
      </x:c>
      <x:c r="D1153" s="5" t="str">
        <x:v>US East</x:v>
      </x:c>
      <x:c r="E1153" s="10" t="n">
        <x:v>28.6</x:v>
      </x:c>
      <x:c r="F1153" s="7" t="n">
        <x:v>553097.63</x:v>
      </x:c>
      <x:c r="G1153" s="8"/>
    </x:row>
    <x:row r="1154">
      <x:c r="A1154" s="6" t="n">
        <x:v>45717</x:v>
      </x:c>
      <x:c r="B1154" s="5" t="str">
        <x:v>Marketing</x:v>
      </x:c>
      <x:c r="C1154" s="5" t="str">
        <x:v>Sales &amp; Marketing</x:v>
      </x:c>
      <x:c r="D1154" s="5" t="str">
        <x:v>US East</x:v>
      </x:c>
      <x:c r="E1154" s="10" t="n">
        <x:v>2</x:v>
      </x:c>
      <x:c r="F1154" s="7" t="n">
        <x:v>28570.99</x:v>
      </x:c>
      <x:c r="G1154" s="8"/>
    </x:row>
    <x:row r="1155">
      <x:c r="A1155" s="6" t="n">
        <x:v>45717</x:v>
      </x:c>
      <x:c r="B1155" s="5" t="str">
        <x:v>Product &amp; Engineering</x:v>
      </x:c>
      <x:c r="C1155" s="5" t="str">
        <x:v>Research &amp; Development</x:v>
      </x:c>
      <x:c r="D1155" s="5" t="str">
        <x:v>US East</x:v>
      </x:c>
      <x:c r="E1155" s="10" t="n">
        <x:v>15.6</x:v>
      </x:c>
      <x:c r="F1155" s="7" t="n">
        <x:v>316572.02</x:v>
      </x:c>
      <x:c r="G1155" s="8"/>
    </x:row>
    <x:row r="1156">
      <x:c r="A1156" s="6" t="n">
        <x:v>45717</x:v>
      </x:c>
      <x:c r="B1156" s="5" t="str">
        <x:v>Finance</x:v>
      </x:c>
      <x:c r="C1156" s="5" t="str">
        <x:v>General &amp; Administrative</x:v>
      </x:c>
      <x:c r="D1156" s="5" t="str">
        <x:v>US East</x:v>
      </x:c>
      <x:c r="E1156" s="10" t="n">
        <x:v>5</x:v>
      </x:c>
      <x:c r="F1156" s="7" t="n">
        <x:v>99706.84</x:v>
      </x:c>
      <x:c r="G1156" s="8"/>
    </x:row>
    <x:row r="1157">
      <x:c r="A1157" s="6" t="n">
        <x:v>45717</x:v>
      </x:c>
      <x:c r="B1157" s="5" t="str">
        <x:v>People</x:v>
      </x:c>
      <x:c r="C1157" s="5" t="str">
        <x:v>General &amp; Administrative</x:v>
      </x:c>
      <x:c r="D1157" s="5" t="str">
        <x:v>US East</x:v>
      </x:c>
      <x:c r="E1157" s="10" t="n">
        <x:v>5</x:v>
      </x:c>
      <x:c r="F1157" s="7" t="n">
        <x:v>70386.26</x:v>
      </x:c>
      <x:c r="G1157" s="8"/>
    </x:row>
    <x:row r="1158">
      <x:c r="A1158" s="6" t="n">
        <x:v>45717</x:v>
      </x:c>
      <x:c r="B1158" s="5" t="str">
        <x:v>Legal &amp; Compliance</x:v>
      </x:c>
      <x:c r="C1158" s="5" t="str">
        <x:v>General &amp; Administrative</x:v>
      </x:c>
      <x:c r="D1158" s="5" t="str">
        <x:v>US East</x:v>
      </x:c>
      <x:c r="E1158" s="10" t="n">
        <x:v>2</x:v>
      </x:c>
      <x:c r="F1158" s="7" t="n">
        <x:v>89028.16</x:v>
      </x:c>
      <x:c r="G1158" s="8"/>
    </x:row>
    <x:row r="1159">
      <x:c r="A1159" s="6" t="n">
        <x:v>45717</x:v>
      </x:c>
      <x:c r="B1159" s="5" t="str">
        <x:v>Information Technology</x:v>
      </x:c>
      <x:c r="C1159" s="5" t="str">
        <x:v>General &amp; Administrative</x:v>
      </x:c>
      <x:c r="D1159" s="5" t="str">
        <x:v>US East</x:v>
      </x:c>
      <x:c r="E1159" s="10" t="n">
        <x:v>4</x:v>
      </x:c>
      <x:c r="F1159" s="7" t="n">
        <x:v>58293.55</x:v>
      </x:c>
      <x:c r="G1159" s="8"/>
    </x:row>
    <x:row r="1160">
      <x:c r="A1160" s="6" t="n">
        <x:v>45748</x:v>
      </x:c>
      <x:c r="B1160" s="5" t="str">
        <x:v>Customer Support</x:v>
      </x:c>
      <x:c r="C1160" s="5" t="str">
        <x:v>Cost of Revenue</x:v>
      </x:c>
      <x:c r="D1160" s="5" t="str">
        <x:v>US East</x:v>
      </x:c>
      <x:c r="E1160" s="10" t="n">
        <x:v>10</x:v>
      </x:c>
      <x:c r="F1160" s="7" t="n">
        <x:v>114154.62</x:v>
      </x:c>
      <x:c r="G1160" s="8"/>
    </x:row>
    <x:row r="1161">
      <x:c r="A1161" s="6" t="n">
        <x:v>45748</x:v>
      </x:c>
      <x:c r="B1161" s="5" t="str">
        <x:v>Professional Services</x:v>
      </x:c>
      <x:c r="C1161" s="5" t="str">
        <x:v>Cost of Revenue</x:v>
      </x:c>
      <x:c r="D1161" s="5" t="str">
        <x:v>US East</x:v>
      </x:c>
      <x:c r="E1161" s="10" t="n">
        <x:v>20</x:v>
      </x:c>
      <x:c r="F1161" s="7" t="n">
        <x:v>308003.68</x:v>
      </x:c>
      <x:c r="G1161" s="8" t="n">
        <x:v>0.7569</x:v>
      </x:c>
    </x:row>
    <x:row r="1162">
      <x:c r="A1162" s="6" t="n">
        <x:v>45748</x:v>
      </x:c>
      <x:c r="B1162" s="5" t="str">
        <x:v>Sales</x:v>
      </x:c>
      <x:c r="C1162" s="5" t="str">
        <x:v>Sales &amp; Marketing</x:v>
      </x:c>
      <x:c r="D1162" s="5" t="str">
        <x:v>US East</x:v>
      </x:c>
      <x:c r="E1162" s="10" t="n">
        <x:v>28.6</x:v>
      </x:c>
      <x:c r="F1162" s="7" t="n">
        <x:v>553097.63</x:v>
      </x:c>
      <x:c r="G1162" s="8"/>
    </x:row>
    <x:row r="1163">
      <x:c r="A1163" s="6" t="n">
        <x:v>45748</x:v>
      </x:c>
      <x:c r="B1163" s="5" t="str">
        <x:v>Marketing</x:v>
      </x:c>
      <x:c r="C1163" s="5" t="str">
        <x:v>Sales &amp; Marketing</x:v>
      </x:c>
      <x:c r="D1163" s="5" t="str">
        <x:v>US East</x:v>
      </x:c>
      <x:c r="E1163" s="10" t="n">
        <x:v>2</x:v>
      </x:c>
      <x:c r="F1163" s="7" t="n">
        <x:v>28570.99</x:v>
      </x:c>
      <x:c r="G1163" s="8"/>
    </x:row>
    <x:row r="1164">
      <x:c r="A1164" s="6" t="n">
        <x:v>45748</x:v>
      </x:c>
      <x:c r="B1164" s="5" t="str">
        <x:v>Product &amp; Engineering</x:v>
      </x:c>
      <x:c r="C1164" s="5" t="str">
        <x:v>Research &amp; Development</x:v>
      </x:c>
      <x:c r="D1164" s="5" t="str">
        <x:v>US East</x:v>
      </x:c>
      <x:c r="E1164" s="10" t="n">
        <x:v>15.6</x:v>
      </x:c>
      <x:c r="F1164" s="7" t="n">
        <x:v>316572.02</x:v>
      </x:c>
      <x:c r="G1164" s="8"/>
    </x:row>
    <x:row r="1165">
      <x:c r="A1165" s="6" t="n">
        <x:v>45748</x:v>
      </x:c>
      <x:c r="B1165" s="5" t="str">
        <x:v>Finance</x:v>
      </x:c>
      <x:c r="C1165" s="5" t="str">
        <x:v>General &amp; Administrative</x:v>
      </x:c>
      <x:c r="D1165" s="5" t="str">
        <x:v>US East</x:v>
      </x:c>
      <x:c r="E1165" s="10" t="n">
        <x:v>4</x:v>
      </x:c>
      <x:c r="F1165" s="7" t="n">
        <x:v>85433.69</x:v>
      </x:c>
      <x:c r="G1165" s="8"/>
    </x:row>
    <x:row r="1166">
      <x:c r="A1166" s="6" t="n">
        <x:v>45748</x:v>
      </x:c>
      <x:c r="B1166" s="5" t="str">
        <x:v>People</x:v>
      </x:c>
      <x:c r="C1166" s="5" t="str">
        <x:v>General &amp; Administrative</x:v>
      </x:c>
      <x:c r="D1166" s="5" t="str">
        <x:v>US East</x:v>
      </x:c>
      <x:c r="E1166" s="10" t="n">
        <x:v>5</x:v>
      </x:c>
      <x:c r="F1166" s="7" t="n">
        <x:v>70386.26</x:v>
      </x:c>
      <x:c r="G1166" s="8"/>
    </x:row>
    <x:row r="1167">
      <x:c r="A1167" s="6" t="n">
        <x:v>45748</x:v>
      </x:c>
      <x:c r="B1167" s="5" t="str">
        <x:v>Legal &amp; Compliance</x:v>
      </x:c>
      <x:c r="C1167" s="5" t="str">
        <x:v>General &amp; Administrative</x:v>
      </x:c>
      <x:c r="D1167" s="5" t="str">
        <x:v>US East</x:v>
      </x:c>
      <x:c r="E1167" s="10" t="n">
        <x:v>2</x:v>
      </x:c>
      <x:c r="F1167" s="7" t="n">
        <x:v>89028.16</x:v>
      </x:c>
      <x:c r="G1167" s="8"/>
    </x:row>
    <x:row r="1168">
      <x:c r="A1168" s="6" t="n">
        <x:v>45748</x:v>
      </x:c>
      <x:c r="B1168" s="5" t="str">
        <x:v>Information Technology</x:v>
      </x:c>
      <x:c r="C1168" s="5" t="str">
        <x:v>General &amp; Administrative</x:v>
      </x:c>
      <x:c r="D1168" s="5" t="str">
        <x:v>US East</x:v>
      </x:c>
      <x:c r="E1168" s="10" t="n">
        <x:v>4</x:v>
      </x:c>
      <x:c r="F1168" s="7" t="n">
        <x:v>58293.55</x:v>
      </x:c>
      <x:c r="G1168" s="8"/>
    </x:row>
    <x:row r="1169">
      <x:c r="A1169" s="6" t="n">
        <x:v>45778</x:v>
      </x:c>
      <x:c r="B1169" s="5" t="str">
        <x:v>Customer Support</x:v>
      </x:c>
      <x:c r="C1169" s="5" t="str">
        <x:v>Cost of Revenue</x:v>
      </x:c>
      <x:c r="D1169" s="5" t="str">
        <x:v>US East</x:v>
      </x:c>
      <x:c r="E1169" s="10" t="n">
        <x:v>10</x:v>
      </x:c>
      <x:c r="F1169" s="7" t="n">
        <x:v>114154.62</x:v>
      </x:c>
      <x:c r="G1169" s="8"/>
    </x:row>
    <x:row r="1170">
      <x:c r="A1170" s="6" t="n">
        <x:v>45778</x:v>
      </x:c>
      <x:c r="B1170" s="5" t="str">
        <x:v>Professional Services</x:v>
      </x:c>
      <x:c r="C1170" s="5" t="str">
        <x:v>Cost of Revenue</x:v>
      </x:c>
      <x:c r="D1170" s="5" t="str">
        <x:v>US East</x:v>
      </x:c>
      <x:c r="E1170" s="10" t="n">
        <x:v>20</x:v>
      </x:c>
      <x:c r="F1170" s="7" t="n">
        <x:v>308003.68</x:v>
      </x:c>
      <x:c r="G1170" s="8" t="n">
        <x:v>0.7641</x:v>
      </x:c>
    </x:row>
    <x:row r="1171">
      <x:c r="A1171" s="6" t="n">
        <x:v>45778</x:v>
      </x:c>
      <x:c r="B1171" s="5" t="str">
        <x:v>Sales</x:v>
      </x:c>
      <x:c r="C1171" s="5" t="str">
        <x:v>Sales &amp; Marketing</x:v>
      </x:c>
      <x:c r="D1171" s="5" t="str">
        <x:v>US East</x:v>
      </x:c>
      <x:c r="E1171" s="10" t="n">
        <x:v>29.6</x:v>
      </x:c>
      <x:c r="F1171" s="7" t="n">
        <x:v>566989.28</x:v>
      </x:c>
      <x:c r="G1171" s="8"/>
    </x:row>
    <x:row r="1172">
      <x:c r="A1172" s="6" t="n">
        <x:v>45778</x:v>
      </x:c>
      <x:c r="B1172" s="5" t="str">
        <x:v>Marketing</x:v>
      </x:c>
      <x:c r="C1172" s="5" t="str">
        <x:v>Sales &amp; Marketing</x:v>
      </x:c>
      <x:c r="D1172" s="5" t="str">
        <x:v>US East</x:v>
      </x:c>
      <x:c r="E1172" s="10" t="n">
        <x:v>2</x:v>
      </x:c>
      <x:c r="F1172" s="7" t="n">
        <x:v>28570.99</x:v>
      </x:c>
      <x:c r="G1172" s="8"/>
    </x:row>
    <x:row r="1173">
      <x:c r="A1173" s="6" t="n">
        <x:v>45778</x:v>
      </x:c>
      <x:c r="B1173" s="5" t="str">
        <x:v>Product &amp; Engineering</x:v>
      </x:c>
      <x:c r="C1173" s="5" t="str">
        <x:v>Research &amp; Development</x:v>
      </x:c>
      <x:c r="D1173" s="5" t="str">
        <x:v>US East</x:v>
      </x:c>
      <x:c r="E1173" s="10" t="n">
        <x:v>15.6</x:v>
      </x:c>
      <x:c r="F1173" s="7" t="n">
        <x:v>316572.02</x:v>
      </x:c>
      <x:c r="G1173" s="8"/>
    </x:row>
    <x:row r="1174">
      <x:c r="A1174" s="6" t="n">
        <x:v>45778</x:v>
      </x:c>
      <x:c r="B1174" s="5" t="str">
        <x:v>Finance</x:v>
      </x:c>
      <x:c r="C1174" s="5" t="str">
        <x:v>General &amp; Administrative</x:v>
      </x:c>
      <x:c r="D1174" s="5" t="str">
        <x:v>US East</x:v>
      </x:c>
      <x:c r="E1174" s="10" t="n">
        <x:v>4</x:v>
      </x:c>
      <x:c r="F1174" s="7" t="n">
        <x:v>85433.69</x:v>
      </x:c>
      <x:c r="G1174" s="8"/>
    </x:row>
    <x:row r="1175">
      <x:c r="A1175" s="6" t="n">
        <x:v>45778</x:v>
      </x:c>
      <x:c r="B1175" s="5" t="str">
        <x:v>People</x:v>
      </x:c>
      <x:c r="C1175" s="5" t="str">
        <x:v>General &amp; Administrative</x:v>
      </x:c>
      <x:c r="D1175" s="5" t="str">
        <x:v>US East</x:v>
      </x:c>
      <x:c r="E1175" s="10" t="n">
        <x:v>5</x:v>
      </x:c>
      <x:c r="F1175" s="7" t="n">
        <x:v>70386.26</x:v>
      </x:c>
      <x:c r="G1175" s="8"/>
    </x:row>
    <x:row r="1176">
      <x:c r="A1176" s="6" t="n">
        <x:v>45778</x:v>
      </x:c>
      <x:c r="B1176" s="5" t="str">
        <x:v>Legal &amp; Compliance</x:v>
      </x:c>
      <x:c r="C1176" s="5" t="str">
        <x:v>General &amp; Administrative</x:v>
      </x:c>
      <x:c r="D1176" s="5" t="str">
        <x:v>US East</x:v>
      </x:c>
      <x:c r="E1176" s="10" t="n">
        <x:v>2</x:v>
      </x:c>
      <x:c r="F1176" s="7" t="n">
        <x:v>89028.16</x:v>
      </x:c>
      <x:c r="G1176" s="8"/>
    </x:row>
    <x:row r="1177">
      <x:c r="A1177" s="6" t="n">
        <x:v>45778</x:v>
      </x:c>
      <x:c r="B1177" s="5" t="str">
        <x:v>Information Technology</x:v>
      </x:c>
      <x:c r="C1177" s="5" t="str">
        <x:v>General &amp; Administrative</x:v>
      </x:c>
      <x:c r="D1177" s="5" t="str">
        <x:v>US East</x:v>
      </x:c>
      <x:c r="E1177" s="10" t="n">
        <x:v>4</x:v>
      </x:c>
      <x:c r="F1177" s="7" t="n">
        <x:v>58293.55</x:v>
      </x:c>
      <x:c r="G1177" s="8"/>
    </x:row>
    <x:row r="1178">
      <x:c r="A1178" s="6" t="n">
        <x:v>45809</x:v>
      </x:c>
      <x:c r="B1178" s="5" t="str">
        <x:v>Cloud Operations</x:v>
      </x:c>
      <x:c r="C1178" s="5" t="str">
        <x:v>Cost of Revenue</x:v>
      </x:c>
      <x:c r="D1178" s="5" t="str">
        <x:v>US East</x:v>
      </x:c>
      <x:c r="E1178" s="10" t="n">
        <x:v>1</x:v>
      </x:c>
      <x:c r="F1178" s="7" t="n">
        <x:v>17960.77</x:v>
      </x:c>
      <x:c r="G1178" s="8"/>
    </x:row>
    <x:row r="1179">
      <x:c r="A1179" s="6" t="n">
        <x:v>45809</x:v>
      </x:c>
      <x:c r="B1179" s="5" t="str">
        <x:v>Customer Support</x:v>
      </x:c>
      <x:c r="C1179" s="5" t="str">
        <x:v>Cost of Revenue</x:v>
      </x:c>
      <x:c r="D1179" s="5" t="str">
        <x:v>US East</x:v>
      </x:c>
      <x:c r="E1179" s="10" t="n">
        <x:v>11</x:v>
      </x:c>
      <x:c r="F1179" s="7" t="n">
        <x:v>126291.99</x:v>
      </x:c>
      <x:c r="G1179" s="8"/>
    </x:row>
    <x:row r="1180">
      <x:c r="A1180" s="6" t="n">
        <x:v>45809</x:v>
      </x:c>
      <x:c r="B1180" s="5" t="str">
        <x:v>Professional Services</x:v>
      </x:c>
      <x:c r="C1180" s="5" t="str">
        <x:v>Cost of Revenue</x:v>
      </x:c>
      <x:c r="D1180" s="5" t="str">
        <x:v>US East</x:v>
      </x:c>
      <x:c r="E1180" s="10" t="n">
        <x:v>21</x:v>
      </x:c>
      <x:c r="F1180" s="7" t="n">
        <x:v>317262.73</x:v>
      </x:c>
      <x:c r="G1180" s="8" t="n">
        <x:v>0.7442</x:v>
      </x:c>
    </x:row>
    <x:row r="1181">
      <x:c r="A1181" s="6" t="n">
        <x:v>45809</x:v>
      </x:c>
      <x:c r="B1181" s="5" t="str">
        <x:v>Sales</x:v>
      </x:c>
      <x:c r="C1181" s="5" t="str">
        <x:v>Sales &amp; Marketing</x:v>
      </x:c>
      <x:c r="D1181" s="5" t="str">
        <x:v>US East</x:v>
      </x:c>
      <x:c r="E1181" s="10" t="n">
        <x:v>29.6</x:v>
      </x:c>
      <x:c r="F1181" s="7" t="n">
        <x:v>566989.28</x:v>
      </x:c>
      <x:c r="G1181" s="8"/>
    </x:row>
    <x:row r="1182">
      <x:c r="A1182" s="6" t="n">
        <x:v>45809</x:v>
      </x:c>
      <x:c r="B1182" s="5" t="str">
        <x:v>Marketing</x:v>
      </x:c>
      <x:c r="C1182" s="5" t="str">
        <x:v>Sales &amp; Marketing</x:v>
      </x:c>
      <x:c r="D1182" s="5" t="str">
        <x:v>US East</x:v>
      </x:c>
      <x:c r="E1182" s="10" t="n">
        <x:v>2</x:v>
      </x:c>
      <x:c r="F1182" s="7" t="n">
        <x:v>28570.99</x:v>
      </x:c>
      <x:c r="G1182" s="8"/>
    </x:row>
    <x:row r="1183">
      <x:c r="A1183" s="6" t="n">
        <x:v>45809</x:v>
      </x:c>
      <x:c r="B1183" s="5" t="str">
        <x:v>Product &amp; Engineering</x:v>
      </x:c>
      <x:c r="C1183" s="5" t="str">
        <x:v>Research &amp; Development</x:v>
      </x:c>
      <x:c r="D1183" s="5" t="str">
        <x:v>US East</x:v>
      </x:c>
      <x:c r="E1183" s="10" t="n">
        <x:v>15.6</x:v>
      </x:c>
      <x:c r="F1183" s="7" t="n">
        <x:v>316572.02</x:v>
      </x:c>
      <x:c r="G1183" s="8"/>
    </x:row>
    <x:row r="1184">
      <x:c r="A1184" s="6" t="n">
        <x:v>45809</x:v>
      </x:c>
      <x:c r="B1184" s="5" t="str">
        <x:v>Finance</x:v>
      </x:c>
      <x:c r="C1184" s="5" t="str">
        <x:v>General &amp; Administrative</x:v>
      </x:c>
      <x:c r="D1184" s="5" t="str">
        <x:v>US East</x:v>
      </x:c>
      <x:c r="E1184" s="10" t="n">
        <x:v>4</x:v>
      </x:c>
      <x:c r="F1184" s="7" t="n">
        <x:v>85433.69</x:v>
      </x:c>
      <x:c r="G1184" s="8"/>
    </x:row>
    <x:row r="1185">
      <x:c r="A1185" s="6" t="n">
        <x:v>45809</x:v>
      </x:c>
      <x:c r="B1185" s="5" t="str">
        <x:v>People</x:v>
      </x:c>
      <x:c r="C1185" s="5" t="str">
        <x:v>General &amp; Administrative</x:v>
      </x:c>
      <x:c r="D1185" s="5" t="str">
        <x:v>US East</x:v>
      </x:c>
      <x:c r="E1185" s="10" t="n">
        <x:v>5</x:v>
      </x:c>
      <x:c r="F1185" s="7" t="n">
        <x:v>70386.26</x:v>
      </x:c>
      <x:c r="G1185" s="8"/>
    </x:row>
    <x:row r="1186">
      <x:c r="A1186" s="6" t="n">
        <x:v>45809</x:v>
      </x:c>
      <x:c r="B1186" s="5" t="str">
        <x:v>Legal &amp; Compliance</x:v>
      </x:c>
      <x:c r="C1186" s="5" t="str">
        <x:v>General &amp; Administrative</x:v>
      </x:c>
      <x:c r="D1186" s="5" t="str">
        <x:v>US East</x:v>
      </x:c>
      <x:c r="E1186" s="10" t="n">
        <x:v>2</x:v>
      </x:c>
      <x:c r="F1186" s="7" t="n">
        <x:v>89028.16</x:v>
      </x:c>
      <x:c r="G1186" s="8"/>
    </x:row>
    <x:row r="1187">
      <x:c r="A1187" s="6" t="n">
        <x:v>45809</x:v>
      </x:c>
      <x:c r="B1187" s="5" t="str">
        <x:v>Information Technology</x:v>
      </x:c>
      <x:c r="C1187" s="5" t="str">
        <x:v>General &amp; Administrative</x:v>
      </x:c>
      <x:c r="D1187" s="5" t="str">
        <x:v>US East</x:v>
      </x:c>
      <x:c r="E1187" s="10" t="n">
        <x:v>4</x:v>
      </x:c>
      <x:c r="F1187" s="7" t="n">
        <x:v>58293.55</x:v>
      </x:c>
      <x:c r="G1187" s="8"/>
    </x:row>
    <x:row r="1188">
      <x:c r="A1188" s="6" t="n">
        <x:v>45809</x:v>
      </x:c>
      <x:c r="B1188" s="5" t="str">
        <x:v>Executive</x:v>
      </x:c>
      <x:c r="C1188" s="5" t="str">
        <x:v>General &amp; Administrative</x:v>
      </x:c>
      <x:c r="D1188" s="5" t="str">
        <x:v>US East</x:v>
      </x:c>
      <x:c r="E1188" s="10" t="n">
        <x:v>1</x:v>
      </x:c>
      <x:c r="F1188" s="7" t="n">
        <x:v>25433.45</x:v>
      </x:c>
      <x:c r="G1188" s="8"/>
    </x:row>
    <x:row r="1189">
      <x:c r="A1189" s="6" t="n">
        <x:v>45839</x:v>
      </x:c>
      <x:c r="B1189" s="5" t="str">
        <x:v>Cloud Operations</x:v>
      </x:c>
      <x:c r="C1189" s="5" t="str">
        <x:v>Cost of Revenue</x:v>
      </x:c>
      <x:c r="D1189" s="5" t="str">
        <x:v>US East</x:v>
      </x:c>
      <x:c r="E1189" s="10" t="n">
        <x:v>1</x:v>
      </x:c>
      <x:c r="F1189" s="7" t="n">
        <x:v>17960.77</x:v>
      </x:c>
      <x:c r="G1189" s="8"/>
    </x:row>
    <x:row r="1190">
      <x:c r="A1190" s="6" t="n">
        <x:v>45839</x:v>
      </x:c>
      <x:c r="B1190" s="5" t="str">
        <x:v>Customer Support</x:v>
      </x:c>
      <x:c r="C1190" s="5" t="str">
        <x:v>Cost of Revenue</x:v>
      </x:c>
      <x:c r="D1190" s="5" t="str">
        <x:v>US East</x:v>
      </x:c>
      <x:c r="E1190" s="10" t="n">
        <x:v>12</x:v>
      </x:c>
      <x:c r="F1190" s="7" t="n">
        <x:v>137713.33</x:v>
      </x:c>
      <x:c r="G1190" s="8"/>
    </x:row>
    <x:row r="1191">
      <x:c r="A1191" s="6" t="n">
        <x:v>45839</x:v>
      </x:c>
      <x:c r="B1191" s="5" t="str">
        <x:v>Professional Services</x:v>
      </x:c>
      <x:c r="C1191" s="5" t="str">
        <x:v>Cost of Revenue</x:v>
      </x:c>
      <x:c r="D1191" s="5" t="str">
        <x:v>US East</x:v>
      </x:c>
      <x:c r="E1191" s="10" t="n">
        <x:v>21</x:v>
      </x:c>
      <x:c r="F1191" s="7" t="n">
        <x:v>317262.73</x:v>
      </x:c>
      <x:c r="G1191" s="8" t="n">
        <x:v>0.7376</x:v>
      </x:c>
    </x:row>
    <x:row r="1192">
      <x:c r="A1192" s="6" t="n">
        <x:v>45839</x:v>
      </x:c>
      <x:c r="B1192" s="5" t="str">
        <x:v>Sales</x:v>
      </x:c>
      <x:c r="C1192" s="5" t="str">
        <x:v>Sales &amp; Marketing</x:v>
      </x:c>
      <x:c r="D1192" s="5" t="str">
        <x:v>US East</x:v>
      </x:c>
      <x:c r="E1192" s="10" t="n">
        <x:v>29.6</x:v>
      </x:c>
      <x:c r="F1192" s="7" t="n">
        <x:v>566989.28</x:v>
      </x:c>
      <x:c r="G1192" s="8"/>
    </x:row>
    <x:row r="1193">
      <x:c r="A1193" s="6" t="n">
        <x:v>45839</x:v>
      </x:c>
      <x:c r="B1193" s="5" t="str">
        <x:v>Marketing</x:v>
      </x:c>
      <x:c r="C1193" s="5" t="str">
        <x:v>Sales &amp; Marketing</x:v>
      </x:c>
      <x:c r="D1193" s="5" t="str">
        <x:v>US East</x:v>
      </x:c>
      <x:c r="E1193" s="10" t="n">
        <x:v>2</x:v>
      </x:c>
      <x:c r="F1193" s="7" t="n">
        <x:v>28570.99</x:v>
      </x:c>
      <x:c r="G1193" s="8"/>
    </x:row>
    <x:row r="1194">
      <x:c r="A1194" s="6" t="n">
        <x:v>45839</x:v>
      </x:c>
      <x:c r="B1194" s="5" t="str">
        <x:v>Product &amp; Engineering</x:v>
      </x:c>
      <x:c r="C1194" s="5" t="str">
        <x:v>Research &amp; Development</x:v>
      </x:c>
      <x:c r="D1194" s="5" t="str">
        <x:v>US East</x:v>
      </x:c>
      <x:c r="E1194" s="10" t="n">
        <x:v>15.6</x:v>
      </x:c>
      <x:c r="F1194" s="7" t="n">
        <x:v>316572.02</x:v>
      </x:c>
      <x:c r="G1194" s="8"/>
    </x:row>
    <x:row r="1195">
      <x:c r="A1195" s="6" t="n">
        <x:v>45839</x:v>
      </x:c>
      <x:c r="B1195" s="5" t="str">
        <x:v>Finance</x:v>
      </x:c>
      <x:c r="C1195" s="5" t="str">
        <x:v>General &amp; Administrative</x:v>
      </x:c>
      <x:c r="D1195" s="5" t="str">
        <x:v>US East</x:v>
      </x:c>
      <x:c r="E1195" s="10" t="n">
        <x:v>4</x:v>
      </x:c>
      <x:c r="F1195" s="7" t="n">
        <x:v>85433.69</x:v>
      </x:c>
      <x:c r="G1195" s="8"/>
    </x:row>
    <x:row r="1196">
      <x:c r="A1196" s="6" t="n">
        <x:v>45839</x:v>
      </x:c>
      <x:c r="B1196" s="5" t="str">
        <x:v>People</x:v>
      </x:c>
      <x:c r="C1196" s="5" t="str">
        <x:v>General &amp; Administrative</x:v>
      </x:c>
      <x:c r="D1196" s="5" t="str">
        <x:v>US East</x:v>
      </x:c>
      <x:c r="E1196" s="10" t="n">
        <x:v>5</x:v>
      </x:c>
      <x:c r="F1196" s="7" t="n">
        <x:v>70386.26</x:v>
      </x:c>
      <x:c r="G1196" s="8"/>
    </x:row>
    <x:row r="1197">
      <x:c r="A1197" s="6" t="n">
        <x:v>45839</x:v>
      </x:c>
      <x:c r="B1197" s="5" t="str">
        <x:v>Legal &amp; Compliance</x:v>
      </x:c>
      <x:c r="C1197" s="5" t="str">
        <x:v>General &amp; Administrative</x:v>
      </x:c>
      <x:c r="D1197" s="5" t="str">
        <x:v>US East</x:v>
      </x:c>
      <x:c r="E1197" s="10" t="n">
        <x:v>2</x:v>
      </x:c>
      <x:c r="F1197" s="7" t="n">
        <x:v>89028.16</x:v>
      </x:c>
      <x:c r="G1197" s="8"/>
    </x:row>
    <x:row r="1198">
      <x:c r="A1198" s="6" t="n">
        <x:v>45839</x:v>
      </x:c>
      <x:c r="B1198" s="5" t="str">
        <x:v>Information Technology</x:v>
      </x:c>
      <x:c r="C1198" s="5" t="str">
        <x:v>General &amp; Administrative</x:v>
      </x:c>
      <x:c r="D1198" s="5" t="str">
        <x:v>US East</x:v>
      </x:c>
      <x:c r="E1198" s="10" t="n">
        <x:v>4</x:v>
      </x:c>
      <x:c r="F1198" s="7" t="n">
        <x:v>58293.55</x:v>
      </x:c>
      <x:c r="G1198" s="8"/>
    </x:row>
    <x:row r="1199">
      <x:c r="A1199" s="6" t="n">
        <x:v>45839</x:v>
      </x:c>
      <x:c r="B1199" s="5" t="str">
        <x:v>Executive</x:v>
      </x:c>
      <x:c r="C1199" s="5" t="str">
        <x:v>General &amp; Administrative</x:v>
      </x:c>
      <x:c r="D1199" s="5" t="str">
        <x:v>US East</x:v>
      </x:c>
      <x:c r="E1199" s="10" t="n">
        <x:v>1</x:v>
      </x:c>
      <x:c r="F1199" s="7" t="n">
        <x:v>25433.45</x:v>
      </x:c>
      <x:c r="G1199" s="8"/>
    </x:row>
    <x:row r="1200">
      <x:c r="A1200" s="6" t="n">
        <x:v>45870</x:v>
      </x:c>
      <x:c r="B1200" s="5" t="str">
        <x:v>Cloud Operations</x:v>
      </x:c>
      <x:c r="C1200" s="5" t="str">
        <x:v>Cost of Revenue</x:v>
      </x:c>
      <x:c r="D1200" s="5" t="str">
        <x:v>US East</x:v>
      </x:c>
      <x:c r="E1200" s="10" t="n">
        <x:v>1</x:v>
      </x:c>
      <x:c r="F1200" s="7" t="n">
        <x:v>17960.77</x:v>
      </x:c>
      <x:c r="G1200" s="8"/>
    </x:row>
    <x:row r="1201">
      <x:c r="A1201" s="6" t="n">
        <x:v>45870</x:v>
      </x:c>
      <x:c r="B1201" s="5" t="str">
        <x:v>Customer Support</x:v>
      </x:c>
      <x:c r="C1201" s="5" t="str">
        <x:v>Cost of Revenue</x:v>
      </x:c>
      <x:c r="D1201" s="5" t="str">
        <x:v>US East</x:v>
      </x:c>
      <x:c r="E1201" s="10" t="n">
        <x:v>12</x:v>
      </x:c>
      <x:c r="F1201" s="7" t="n">
        <x:v>137713.33</x:v>
      </x:c>
      <x:c r="G1201" s="8"/>
    </x:row>
    <x:row r="1202">
      <x:c r="A1202" s="6" t="n">
        <x:v>45870</x:v>
      </x:c>
      <x:c r="B1202" s="5" t="str">
        <x:v>Professional Services</x:v>
      </x:c>
      <x:c r="C1202" s="5" t="str">
        <x:v>Cost of Revenue</x:v>
      </x:c>
      <x:c r="D1202" s="5" t="str">
        <x:v>US East</x:v>
      </x:c>
      <x:c r="E1202" s="10" t="n">
        <x:v>21</x:v>
      </x:c>
      <x:c r="F1202" s="7" t="n">
        <x:v>317262.73</x:v>
      </x:c>
      <x:c r="G1202" s="8" t="n">
        <x:v>0.7556</x:v>
      </x:c>
    </x:row>
    <x:row r="1203">
      <x:c r="A1203" s="6" t="n">
        <x:v>45870</x:v>
      </x:c>
      <x:c r="B1203" s="5" t="str">
        <x:v>Sales</x:v>
      </x:c>
      <x:c r="C1203" s="5" t="str">
        <x:v>Sales &amp; Marketing</x:v>
      </x:c>
      <x:c r="D1203" s="5" t="str">
        <x:v>US East</x:v>
      </x:c>
      <x:c r="E1203" s="10" t="n">
        <x:v>30.6</x:v>
      </x:c>
      <x:c r="F1203" s="7" t="n">
        <x:v>583229.64</x:v>
      </x:c>
      <x:c r="G1203" s="8"/>
    </x:row>
    <x:row r="1204">
      <x:c r="A1204" s="6" t="n">
        <x:v>45870</x:v>
      </x:c>
      <x:c r="B1204" s="5" t="str">
        <x:v>Marketing</x:v>
      </x:c>
      <x:c r="C1204" s="5" t="str">
        <x:v>Sales &amp; Marketing</x:v>
      </x:c>
      <x:c r="D1204" s="5" t="str">
        <x:v>US East</x:v>
      </x:c>
      <x:c r="E1204" s="10" t="n">
        <x:v>2</x:v>
      </x:c>
      <x:c r="F1204" s="7" t="n">
        <x:v>28570.99</x:v>
      </x:c>
      <x:c r="G1204" s="8"/>
    </x:row>
    <x:row r="1205">
      <x:c r="A1205" s="6" t="n">
        <x:v>45870</x:v>
      </x:c>
      <x:c r="B1205" s="5" t="str">
        <x:v>Product &amp; Engineering</x:v>
      </x:c>
      <x:c r="C1205" s="5" t="str">
        <x:v>Research &amp; Development</x:v>
      </x:c>
      <x:c r="D1205" s="5" t="str">
        <x:v>US East</x:v>
      </x:c>
      <x:c r="E1205" s="10" t="n">
        <x:v>16.6</x:v>
      </x:c>
      <x:c r="F1205" s="7" t="n">
        <x:v>334359.4</x:v>
      </x:c>
      <x:c r="G1205" s="8"/>
    </x:row>
    <x:row r="1206">
      <x:c r="A1206" s="6" t="n">
        <x:v>45870</x:v>
      </x:c>
      <x:c r="B1206" s="5" t="str">
        <x:v>Finance</x:v>
      </x:c>
      <x:c r="C1206" s="5" t="str">
        <x:v>General &amp; Administrative</x:v>
      </x:c>
      <x:c r="D1206" s="5" t="str">
        <x:v>US East</x:v>
      </x:c>
      <x:c r="E1206" s="10" t="n">
        <x:v>4</x:v>
      </x:c>
      <x:c r="F1206" s="7" t="n">
        <x:v>85433.69</x:v>
      </x:c>
      <x:c r="G1206" s="8"/>
    </x:row>
    <x:row r="1207">
      <x:c r="A1207" s="6" t="n">
        <x:v>45870</x:v>
      </x:c>
      <x:c r="B1207" s="5" t="str">
        <x:v>People</x:v>
      </x:c>
      <x:c r="C1207" s="5" t="str">
        <x:v>General &amp; Administrative</x:v>
      </x:c>
      <x:c r="D1207" s="5" t="str">
        <x:v>US East</x:v>
      </x:c>
      <x:c r="E1207" s="10" t="n">
        <x:v>5</x:v>
      </x:c>
      <x:c r="F1207" s="7" t="n">
        <x:v>70386.26</x:v>
      </x:c>
      <x:c r="G1207" s="8"/>
    </x:row>
    <x:row r="1208">
      <x:c r="A1208" s="6" t="n">
        <x:v>45870</x:v>
      </x:c>
      <x:c r="B1208" s="5" t="str">
        <x:v>Legal &amp; Compliance</x:v>
      </x:c>
      <x:c r="C1208" s="5" t="str">
        <x:v>General &amp; Administrative</x:v>
      </x:c>
      <x:c r="D1208" s="5" t="str">
        <x:v>US East</x:v>
      </x:c>
      <x:c r="E1208" s="10" t="n">
        <x:v>2</x:v>
      </x:c>
      <x:c r="F1208" s="7" t="n">
        <x:v>89028.16</x:v>
      </x:c>
      <x:c r="G1208" s="8"/>
    </x:row>
    <x:row r="1209">
      <x:c r="A1209" s="6" t="n">
        <x:v>45870</x:v>
      </x:c>
      <x:c r="B1209" s="5" t="str">
        <x:v>Information Technology</x:v>
      </x:c>
      <x:c r="C1209" s="5" t="str">
        <x:v>General &amp; Administrative</x:v>
      </x:c>
      <x:c r="D1209" s="5" t="str">
        <x:v>US East</x:v>
      </x:c>
      <x:c r="E1209" s="10" t="n">
        <x:v>4</x:v>
      </x:c>
      <x:c r="F1209" s="7" t="n">
        <x:v>58293.55</x:v>
      </x:c>
      <x:c r="G1209" s="8"/>
    </x:row>
    <x:row r="1210">
      <x:c r="A1210" s="6" t="n">
        <x:v>45870</x:v>
      </x:c>
      <x:c r="B1210" s="5" t="str">
        <x:v>Executive</x:v>
      </x:c>
      <x:c r="C1210" s="5" t="str">
        <x:v>General &amp; Administrative</x:v>
      </x:c>
      <x:c r="D1210" s="5" t="str">
        <x:v>US East</x:v>
      </x:c>
      <x:c r="E1210" s="10" t="n">
        <x:v>1</x:v>
      </x:c>
      <x:c r="F1210" s="7" t="n">
        <x:v>25433.45</x:v>
      </x:c>
      <x:c r="G1210" s="8"/>
    </x:row>
    <x:row r="1211">
      <x:c r="A1211" s="6" t="n">
        <x:v>45901</x:v>
      </x:c>
      <x:c r="B1211" s="5" t="str">
        <x:v>Cloud Operations</x:v>
      </x:c>
      <x:c r="C1211" s="5" t="str">
        <x:v>Cost of Revenue</x:v>
      </x:c>
      <x:c r="D1211" s="5" t="str">
        <x:v>US East</x:v>
      </x:c>
      <x:c r="E1211" s="10" t="n">
        <x:v>1</x:v>
      </x:c>
      <x:c r="F1211" s="7" t="n">
        <x:v>17960.77</x:v>
      </x:c>
      <x:c r="G1211" s="8"/>
    </x:row>
    <x:row r="1212">
      <x:c r="A1212" s="6" t="n">
        <x:v>45901</x:v>
      </x:c>
      <x:c r="B1212" s="5" t="str">
        <x:v>Customer Support</x:v>
      </x:c>
      <x:c r="C1212" s="5" t="str">
        <x:v>Cost of Revenue</x:v>
      </x:c>
      <x:c r="D1212" s="5" t="str">
        <x:v>US East</x:v>
      </x:c>
      <x:c r="E1212" s="10" t="n">
        <x:v>12</x:v>
      </x:c>
      <x:c r="F1212" s="7" t="n">
        <x:v>137713.33</x:v>
      </x:c>
      <x:c r="G1212" s="8"/>
    </x:row>
    <x:row r="1213">
      <x:c r="A1213" s="6" t="n">
        <x:v>45901</x:v>
      </x:c>
      <x:c r="B1213" s="5" t="str">
        <x:v>Professional Services</x:v>
      </x:c>
      <x:c r="C1213" s="5" t="str">
        <x:v>Cost of Revenue</x:v>
      </x:c>
      <x:c r="D1213" s="5" t="str">
        <x:v>US East</x:v>
      </x:c>
      <x:c r="E1213" s="10" t="n">
        <x:v>21</x:v>
      </x:c>
      <x:c r="F1213" s="7" t="n">
        <x:v>317262.73</x:v>
      </x:c>
      <x:c r="G1213" s="8" t="n">
        <x:v>0.7505</x:v>
      </x:c>
    </x:row>
    <x:row r="1214">
      <x:c r="A1214" s="6" t="n">
        <x:v>45901</x:v>
      </x:c>
      <x:c r="B1214" s="5" t="str">
        <x:v>Sales</x:v>
      </x:c>
      <x:c r="C1214" s="5" t="str">
        <x:v>Sales &amp; Marketing</x:v>
      </x:c>
      <x:c r="D1214" s="5" t="str">
        <x:v>US East</x:v>
      </x:c>
      <x:c r="E1214" s="10" t="n">
        <x:v>30.6</x:v>
      </x:c>
      <x:c r="F1214" s="7" t="n">
        <x:v>583229.64</x:v>
      </x:c>
      <x:c r="G1214" s="8"/>
    </x:row>
    <x:row r="1215">
      <x:c r="A1215" s="6" t="n">
        <x:v>45901</x:v>
      </x:c>
      <x:c r="B1215" s="5" t="str">
        <x:v>Marketing</x:v>
      </x:c>
      <x:c r="C1215" s="5" t="str">
        <x:v>Sales &amp; Marketing</x:v>
      </x:c>
      <x:c r="D1215" s="5" t="str">
        <x:v>US East</x:v>
      </x:c>
      <x:c r="E1215" s="10" t="n">
        <x:v>2</x:v>
      </x:c>
      <x:c r="F1215" s="7" t="n">
        <x:v>28570.99</x:v>
      </x:c>
      <x:c r="G1215" s="8"/>
    </x:row>
    <x:row r="1216">
      <x:c r="A1216" s="6" t="n">
        <x:v>45901</x:v>
      </x:c>
      <x:c r="B1216" s="5" t="str">
        <x:v>Product &amp; Engineering</x:v>
      </x:c>
      <x:c r="C1216" s="5" t="str">
        <x:v>Research &amp; Development</x:v>
      </x:c>
      <x:c r="D1216" s="5" t="str">
        <x:v>US East</x:v>
      </x:c>
      <x:c r="E1216" s="10" t="n">
        <x:v>16.6</x:v>
      </x:c>
      <x:c r="F1216" s="7" t="n">
        <x:v>334359.4</x:v>
      </x:c>
      <x:c r="G1216" s="8"/>
    </x:row>
    <x:row r="1217">
      <x:c r="A1217" s="6" t="n">
        <x:v>45901</x:v>
      </x:c>
      <x:c r="B1217" s="5" t="str">
        <x:v>Finance</x:v>
      </x:c>
      <x:c r="C1217" s="5" t="str">
        <x:v>General &amp; Administrative</x:v>
      </x:c>
      <x:c r="D1217" s="5" t="str">
        <x:v>US East</x:v>
      </x:c>
      <x:c r="E1217" s="10" t="n">
        <x:v>4</x:v>
      </x:c>
      <x:c r="F1217" s="7" t="n">
        <x:v>85433.69</x:v>
      </x:c>
      <x:c r="G1217" s="8"/>
    </x:row>
    <x:row r="1218">
      <x:c r="A1218" s="6" t="n">
        <x:v>45901</x:v>
      </x:c>
      <x:c r="B1218" s="5" t="str">
        <x:v>People</x:v>
      </x:c>
      <x:c r="C1218" s="5" t="str">
        <x:v>General &amp; Administrative</x:v>
      </x:c>
      <x:c r="D1218" s="5" t="str">
        <x:v>US East</x:v>
      </x:c>
      <x:c r="E1218" s="10" t="n">
        <x:v>5</x:v>
      </x:c>
      <x:c r="F1218" s="7" t="n">
        <x:v>70386.26</x:v>
      </x:c>
      <x:c r="G1218" s="8"/>
    </x:row>
    <x:row r="1219">
      <x:c r="A1219" s="6" t="n">
        <x:v>45901</x:v>
      </x:c>
      <x:c r="B1219" s="5" t="str">
        <x:v>Legal &amp; Compliance</x:v>
      </x:c>
      <x:c r="C1219" s="5" t="str">
        <x:v>General &amp; Administrative</x:v>
      </x:c>
      <x:c r="D1219" s="5" t="str">
        <x:v>US East</x:v>
      </x:c>
      <x:c r="E1219" s="10" t="n">
        <x:v>3</x:v>
      </x:c>
      <x:c r="F1219" s="7" t="n">
        <x:v>113008.25</x:v>
      </x:c>
      <x:c r="G1219" s="8"/>
    </x:row>
    <x:row r="1220">
      <x:c r="A1220" s="6" t="n">
        <x:v>45901</x:v>
      </x:c>
      <x:c r="B1220" s="5" t="str">
        <x:v>Information Technology</x:v>
      </x:c>
      <x:c r="C1220" s="5" t="str">
        <x:v>General &amp; Administrative</x:v>
      </x:c>
      <x:c r="D1220" s="5" t="str">
        <x:v>US East</x:v>
      </x:c>
      <x:c r="E1220" s="10" t="n">
        <x:v>4</x:v>
      </x:c>
      <x:c r="F1220" s="7" t="n">
        <x:v>58293.55</x:v>
      </x:c>
      <x:c r="G1220" s="8"/>
    </x:row>
    <x:row r="1221">
      <x:c r="A1221" s="6" t="n">
        <x:v>45901</x:v>
      </x:c>
      <x:c r="B1221" s="5" t="str">
        <x:v>Executive</x:v>
      </x:c>
      <x:c r="C1221" s="5" t="str">
        <x:v>General &amp; Administrative</x:v>
      </x:c>
      <x:c r="D1221" s="5" t="str">
        <x:v>US East</x:v>
      </x:c>
      <x:c r="E1221" s="10" t="n">
        <x:v>1</x:v>
      </x:c>
      <x:c r="F1221" s="7" t="n">
        <x:v>25433.45</x:v>
      </x:c>
      <x:c r="G1221" s="8"/>
    </x:row>
    <x:row r="1222">
      <x:c r="A1222" s="6" t="n">
        <x:v>45931</x:v>
      </x:c>
      <x:c r="B1222" s="5" t="str">
        <x:v>Cloud Operations</x:v>
      </x:c>
      <x:c r="C1222" s="5" t="str">
        <x:v>Cost of Revenue</x:v>
      </x:c>
      <x:c r="D1222" s="5" t="str">
        <x:v>US East</x:v>
      </x:c>
      <x:c r="E1222" s="10" t="n">
        <x:v>1</x:v>
      </x:c>
      <x:c r="F1222" s="7" t="n">
        <x:v>17960.77</x:v>
      </x:c>
      <x:c r="G1222" s="8"/>
    </x:row>
    <x:row r="1223">
      <x:c r="A1223" s="6" t="n">
        <x:v>45931</x:v>
      </x:c>
      <x:c r="B1223" s="5" t="str">
        <x:v>Customer Support</x:v>
      </x:c>
      <x:c r="C1223" s="5" t="str">
        <x:v>Cost of Revenue</x:v>
      </x:c>
      <x:c r="D1223" s="5" t="str">
        <x:v>US East</x:v>
      </x:c>
      <x:c r="E1223" s="10" t="n">
        <x:v>12</x:v>
      </x:c>
      <x:c r="F1223" s="7" t="n">
        <x:v>137713.33</x:v>
      </x:c>
      <x:c r="G1223" s="8"/>
    </x:row>
    <x:row r="1224">
      <x:c r="A1224" s="6" t="n">
        <x:v>45931</x:v>
      </x:c>
      <x:c r="B1224" s="5" t="str">
        <x:v>Professional Services</x:v>
      </x:c>
      <x:c r="C1224" s="5" t="str">
        <x:v>Cost of Revenue</x:v>
      </x:c>
      <x:c r="D1224" s="5" t="str">
        <x:v>US East</x:v>
      </x:c>
      <x:c r="E1224" s="10" t="n">
        <x:v>22</x:v>
      </x:c>
      <x:c r="F1224" s="7" t="n">
        <x:v>329403.96</x:v>
      </x:c>
      <x:c r="G1224" s="8" t="n">
        <x:v>0.7395</x:v>
      </x:c>
    </x:row>
    <x:row r="1225">
      <x:c r="A1225" s="6" t="n">
        <x:v>45931</x:v>
      </x:c>
      <x:c r="B1225" s="5" t="str">
        <x:v>Sales</x:v>
      </x:c>
      <x:c r="C1225" s="5" t="str">
        <x:v>Sales &amp; Marketing</x:v>
      </x:c>
      <x:c r="D1225" s="5" t="str">
        <x:v>US East</x:v>
      </x:c>
      <x:c r="E1225" s="10" t="n">
        <x:v>30.6</x:v>
      </x:c>
      <x:c r="F1225" s="7" t="n">
        <x:v>583229.64</x:v>
      </x:c>
      <x:c r="G1225" s="8"/>
    </x:row>
    <x:row r="1226">
      <x:c r="A1226" s="6" t="n">
        <x:v>45931</x:v>
      </x:c>
      <x:c r="B1226" s="5" t="str">
        <x:v>Marketing</x:v>
      </x:c>
      <x:c r="C1226" s="5" t="str">
        <x:v>Sales &amp; Marketing</x:v>
      </x:c>
      <x:c r="D1226" s="5" t="str">
        <x:v>US East</x:v>
      </x:c>
      <x:c r="E1226" s="10" t="n">
        <x:v>3</x:v>
      </x:c>
      <x:c r="F1226" s="7" t="n">
        <x:v>44704.15</x:v>
      </x:c>
      <x:c r="G1226" s="8"/>
    </x:row>
    <x:row r="1227">
      <x:c r="A1227" s="6" t="n">
        <x:v>45931</x:v>
      </x:c>
      <x:c r="B1227" s="5" t="str">
        <x:v>Product &amp; Engineering</x:v>
      </x:c>
      <x:c r="C1227" s="5" t="str">
        <x:v>Research &amp; Development</x:v>
      </x:c>
      <x:c r="D1227" s="5" t="str">
        <x:v>US East</x:v>
      </x:c>
      <x:c r="E1227" s="10" t="n">
        <x:v>15.6</x:v>
      </x:c>
      <x:c r="F1227" s="7" t="n">
        <x:v>316707.91</x:v>
      </x:c>
      <x:c r="G1227" s="8"/>
    </x:row>
    <x:row r="1228">
      <x:c r="A1228" s="6" t="n">
        <x:v>45931</x:v>
      </x:c>
      <x:c r="B1228" s="5" t="str">
        <x:v>Finance</x:v>
      </x:c>
      <x:c r="C1228" s="5" t="str">
        <x:v>General &amp; Administrative</x:v>
      </x:c>
      <x:c r="D1228" s="5" t="str">
        <x:v>US East</x:v>
      </x:c>
      <x:c r="E1228" s="10" t="n">
        <x:v>4</x:v>
      </x:c>
      <x:c r="F1228" s="7" t="n">
        <x:v>85433.69</x:v>
      </x:c>
      <x:c r="G1228" s="8"/>
    </x:row>
    <x:row r="1229">
      <x:c r="A1229" s="6" t="n">
        <x:v>45931</x:v>
      </x:c>
      <x:c r="B1229" s="5" t="str">
        <x:v>People</x:v>
      </x:c>
      <x:c r="C1229" s="5" t="str">
        <x:v>General &amp; Administrative</x:v>
      </x:c>
      <x:c r="D1229" s="5" t="str">
        <x:v>US East</x:v>
      </x:c>
      <x:c r="E1229" s="10" t="n">
        <x:v>5</x:v>
      </x:c>
      <x:c r="F1229" s="7" t="n">
        <x:v>70386.26</x:v>
      </x:c>
      <x:c r="G1229" s="8"/>
    </x:row>
    <x:row r="1230">
      <x:c r="A1230" s="6" t="n">
        <x:v>45931</x:v>
      </x:c>
      <x:c r="B1230" s="5" t="str">
        <x:v>Legal &amp; Compliance</x:v>
      </x:c>
      <x:c r="C1230" s="5" t="str">
        <x:v>General &amp; Administrative</x:v>
      </x:c>
      <x:c r="D1230" s="5" t="str">
        <x:v>US East</x:v>
      </x:c>
      <x:c r="E1230" s="10" t="n">
        <x:v>3</x:v>
      </x:c>
      <x:c r="F1230" s="7" t="n">
        <x:v>113008.25</x:v>
      </x:c>
      <x:c r="G1230" s="8"/>
    </x:row>
    <x:row r="1231">
      <x:c r="A1231" s="6" t="n">
        <x:v>45931</x:v>
      </x:c>
      <x:c r="B1231" s="5" t="str">
        <x:v>Information Technology</x:v>
      </x:c>
      <x:c r="C1231" s="5" t="str">
        <x:v>General &amp; Administrative</x:v>
      </x:c>
      <x:c r="D1231" s="5" t="str">
        <x:v>US East</x:v>
      </x:c>
      <x:c r="E1231" s="10" t="n">
        <x:v>4</x:v>
      </x:c>
      <x:c r="F1231" s="7" t="n">
        <x:v>58293.55</x:v>
      </x:c>
      <x:c r="G1231" s="8"/>
    </x:row>
    <x:row r="1232">
      <x:c r="A1232" s="6" t="n">
        <x:v>45931</x:v>
      </x:c>
      <x:c r="B1232" s="5" t="str">
        <x:v>Executive</x:v>
      </x:c>
      <x:c r="C1232" s="5" t="str">
        <x:v>General &amp; Administrative</x:v>
      </x:c>
      <x:c r="D1232" s="5" t="str">
        <x:v>US East</x:v>
      </x:c>
      <x:c r="E1232" s="10" t="n">
        <x:v>1</x:v>
      </x:c>
      <x:c r="F1232" s="7" t="n">
        <x:v>25433.45</x:v>
      </x:c>
      <x:c r="G1232" s="8"/>
    </x:row>
    <x:row r="1233">
      <x:c r="A1233" s="6" t="n">
        <x:v>45962</x:v>
      </x:c>
      <x:c r="B1233" s="5" t="str">
        <x:v>Cloud Operations</x:v>
      </x:c>
      <x:c r="C1233" s="5" t="str">
        <x:v>Cost of Revenue</x:v>
      </x:c>
      <x:c r="D1233" s="5" t="str">
        <x:v>US East</x:v>
      </x:c>
      <x:c r="E1233" s="10" t="n">
        <x:v>1</x:v>
      </x:c>
      <x:c r="F1233" s="7" t="n">
        <x:v>17960.77</x:v>
      </x:c>
      <x:c r="G1233" s="8"/>
    </x:row>
    <x:row r="1234">
      <x:c r="A1234" s="6" t="n">
        <x:v>45962</x:v>
      </x:c>
      <x:c r="B1234" s="5" t="str">
        <x:v>Customer Support</x:v>
      </x:c>
      <x:c r="C1234" s="5" t="str">
        <x:v>Cost of Revenue</x:v>
      </x:c>
      <x:c r="D1234" s="5" t="str">
        <x:v>US East</x:v>
      </x:c>
      <x:c r="E1234" s="10" t="n">
        <x:v>12</x:v>
      </x:c>
      <x:c r="F1234" s="7" t="n">
        <x:v>137713.33</x:v>
      </x:c>
      <x:c r="G1234" s="8"/>
    </x:row>
    <x:row r="1235">
      <x:c r="A1235" s="6" t="n">
        <x:v>45962</x:v>
      </x:c>
      <x:c r="B1235" s="5" t="str">
        <x:v>Professional Services</x:v>
      </x:c>
      <x:c r="C1235" s="5" t="str">
        <x:v>Cost of Revenue</x:v>
      </x:c>
      <x:c r="D1235" s="5" t="str">
        <x:v>US East</x:v>
      </x:c>
      <x:c r="E1235" s="10" t="n">
        <x:v>21</x:v>
      </x:c>
      <x:c r="F1235" s="7" t="n">
        <x:v>314599.39</x:v>
      </x:c>
      <x:c r="G1235" s="8" t="n">
        <x:v>0.7683</x:v>
      </x:c>
    </x:row>
    <x:row r="1236">
      <x:c r="A1236" s="6" t="n">
        <x:v>45962</x:v>
      </x:c>
      <x:c r="B1236" s="5" t="str">
        <x:v>Sales</x:v>
      </x:c>
      <x:c r="C1236" s="5" t="str">
        <x:v>Sales &amp; Marketing</x:v>
      </x:c>
      <x:c r="D1236" s="5" t="str">
        <x:v>US East</x:v>
      </x:c>
      <x:c r="E1236" s="10" t="n">
        <x:v>30.6</x:v>
      </x:c>
      <x:c r="F1236" s="7" t="n">
        <x:v>583229.64</x:v>
      </x:c>
      <x:c r="G1236" s="8"/>
    </x:row>
    <x:row r="1237">
      <x:c r="A1237" s="6" t="n">
        <x:v>45962</x:v>
      </x:c>
      <x:c r="B1237" s="5" t="str">
        <x:v>Marketing</x:v>
      </x:c>
      <x:c r="C1237" s="5" t="str">
        <x:v>Sales &amp; Marketing</x:v>
      </x:c>
      <x:c r="D1237" s="5" t="str">
        <x:v>US East</x:v>
      </x:c>
      <x:c r="E1237" s="10" t="n">
        <x:v>3</x:v>
      </x:c>
      <x:c r="F1237" s="7" t="n">
        <x:v>44704.15</x:v>
      </x:c>
      <x:c r="G1237" s="8"/>
    </x:row>
    <x:row r="1238">
      <x:c r="A1238" s="6" t="n">
        <x:v>45962</x:v>
      </x:c>
      <x:c r="B1238" s="5" t="str">
        <x:v>Product &amp; Engineering</x:v>
      </x:c>
      <x:c r="C1238" s="5" t="str">
        <x:v>Research &amp; Development</x:v>
      </x:c>
      <x:c r="D1238" s="5" t="str">
        <x:v>US East</x:v>
      </x:c>
      <x:c r="E1238" s="10" t="n">
        <x:v>15.6</x:v>
      </x:c>
      <x:c r="F1238" s="7" t="n">
        <x:v>316707.91</x:v>
      </x:c>
      <x:c r="G1238" s="8"/>
    </x:row>
    <x:row r="1239">
      <x:c r="A1239" s="6" t="n">
        <x:v>45962</x:v>
      </x:c>
      <x:c r="B1239" s="5" t="str">
        <x:v>Finance</x:v>
      </x:c>
      <x:c r="C1239" s="5" t="str">
        <x:v>General &amp; Administrative</x:v>
      </x:c>
      <x:c r="D1239" s="5" t="str">
        <x:v>US East</x:v>
      </x:c>
      <x:c r="E1239" s="10" t="n">
        <x:v>4</x:v>
      </x:c>
      <x:c r="F1239" s="7" t="n">
        <x:v>85433.69</x:v>
      </x:c>
      <x:c r="G1239" s="8"/>
    </x:row>
    <x:row r="1240">
      <x:c r="A1240" s="6" t="n">
        <x:v>45962</x:v>
      </x:c>
      <x:c r="B1240" s="5" t="str">
        <x:v>People</x:v>
      </x:c>
      <x:c r="C1240" s="5" t="str">
        <x:v>General &amp; Administrative</x:v>
      </x:c>
      <x:c r="D1240" s="5" t="str">
        <x:v>US East</x:v>
      </x:c>
      <x:c r="E1240" s="10" t="n">
        <x:v>5</x:v>
      </x:c>
      <x:c r="F1240" s="7" t="n">
        <x:v>70386.26</x:v>
      </x:c>
      <x:c r="G1240" s="8"/>
    </x:row>
    <x:row r="1241">
      <x:c r="A1241" s="6" t="n">
        <x:v>45962</x:v>
      </x:c>
      <x:c r="B1241" s="5" t="str">
        <x:v>Legal &amp; Compliance</x:v>
      </x:c>
      <x:c r="C1241" s="5" t="str">
        <x:v>General &amp; Administrative</x:v>
      </x:c>
      <x:c r="D1241" s="5" t="str">
        <x:v>US East</x:v>
      </x:c>
      <x:c r="E1241" s="10" t="n">
        <x:v>3</x:v>
      </x:c>
      <x:c r="F1241" s="7" t="n">
        <x:v>113008.25</x:v>
      </x:c>
      <x:c r="G1241" s="8"/>
    </x:row>
    <x:row r="1242">
      <x:c r="A1242" s="6" t="n">
        <x:v>45962</x:v>
      </x:c>
      <x:c r="B1242" s="5" t="str">
        <x:v>Information Technology</x:v>
      </x:c>
      <x:c r="C1242" s="5" t="str">
        <x:v>General &amp; Administrative</x:v>
      </x:c>
      <x:c r="D1242" s="5" t="str">
        <x:v>US East</x:v>
      </x:c>
      <x:c r="E1242" s="10" t="n">
        <x:v>4</x:v>
      </x:c>
      <x:c r="F1242" s="7" t="n">
        <x:v>58293.55</x:v>
      </x:c>
      <x:c r="G1242" s="8"/>
    </x:row>
    <x:row r="1243">
      <x:c r="A1243" s="6" t="n">
        <x:v>45962</x:v>
      </x:c>
      <x:c r="B1243" s="5" t="str">
        <x:v>Executive</x:v>
      </x:c>
      <x:c r="C1243" s="5" t="str">
        <x:v>General &amp; Administrative</x:v>
      </x:c>
      <x:c r="D1243" s="5" t="str">
        <x:v>US East</x:v>
      </x:c>
      <x:c r="E1243" s="10" t="n">
        <x:v>1</x:v>
      </x:c>
      <x:c r="F1243" s="7" t="n">
        <x:v>25433.45</x:v>
      </x:c>
      <x:c r="G1243" s="8"/>
    </x:row>
    <x:row r="1244">
      <x:c r="A1244" s="6" t="n">
        <x:v>45992</x:v>
      </x:c>
      <x:c r="B1244" s="5" t="str">
        <x:v>Cloud Operations</x:v>
      </x:c>
      <x:c r="C1244" s="5" t="str">
        <x:v>Cost of Revenue</x:v>
      </x:c>
      <x:c r="D1244" s="5" t="str">
        <x:v>US East</x:v>
      </x:c>
      <x:c r="E1244" s="10" t="n">
        <x:v>1</x:v>
      </x:c>
      <x:c r="F1244" s="7" t="n">
        <x:v>17960.77</x:v>
      </x:c>
      <x:c r="G1244" s="8"/>
    </x:row>
    <x:row r="1245">
      <x:c r="A1245" s="6" t="n">
        <x:v>45992</x:v>
      </x:c>
      <x:c r="B1245" s="5" t="str">
        <x:v>Customer Support</x:v>
      </x:c>
      <x:c r="C1245" s="5" t="str">
        <x:v>Cost of Revenue</x:v>
      </x:c>
      <x:c r="D1245" s="5" t="str">
        <x:v>US East</x:v>
      </x:c>
      <x:c r="E1245" s="10" t="n">
        <x:v>13</x:v>
      </x:c>
      <x:c r="F1245" s="7" t="n">
        <x:v>153907.89</x:v>
      </x:c>
      <x:c r="G1245" s="8"/>
    </x:row>
    <x:row r="1246">
      <x:c r="A1246" s="6" t="n">
        <x:v>45992</x:v>
      </x:c>
      <x:c r="B1246" s="5" t="str">
        <x:v>Professional Services</x:v>
      </x:c>
      <x:c r="C1246" s="5" t="str">
        <x:v>Cost of Revenue</x:v>
      </x:c>
      <x:c r="D1246" s="5" t="str">
        <x:v>US East</x:v>
      </x:c>
      <x:c r="E1246" s="10" t="n">
        <x:v>21</x:v>
      </x:c>
      <x:c r="F1246" s="7" t="n">
        <x:v>314599.39</x:v>
      </x:c>
      <x:c r="G1246" s="8" t="n">
        <x:v>0.6985</x:v>
      </x:c>
    </x:row>
    <x:row r="1247">
      <x:c r="A1247" s="6" t="n">
        <x:v>45992</x:v>
      </x:c>
      <x:c r="B1247" s="5" t="str">
        <x:v>Sales</x:v>
      </x:c>
      <x:c r="C1247" s="5" t="str">
        <x:v>Sales &amp; Marketing</x:v>
      </x:c>
      <x:c r="D1247" s="5" t="str">
        <x:v>US East</x:v>
      </x:c>
      <x:c r="E1247" s="10" t="n">
        <x:v>31.6</x:v>
      </x:c>
      <x:c r="F1247" s="7" t="n">
        <x:v>597754.19</x:v>
      </x:c>
      <x:c r="G1247" s="8"/>
    </x:row>
    <x:row r="1248">
      <x:c r="A1248" s="6" t="n">
        <x:v>45992</x:v>
      </x:c>
      <x:c r="B1248" s="5" t="str">
        <x:v>Marketing</x:v>
      </x:c>
      <x:c r="C1248" s="5" t="str">
        <x:v>Sales &amp; Marketing</x:v>
      </x:c>
      <x:c r="D1248" s="5" t="str">
        <x:v>US East</x:v>
      </x:c>
      <x:c r="E1248" s="10" t="n">
        <x:v>3</x:v>
      </x:c>
      <x:c r="F1248" s="7" t="n">
        <x:v>44704.15</x:v>
      </x:c>
      <x:c r="G1248" s="8"/>
    </x:row>
    <x:row r="1249">
      <x:c r="A1249" s="6" t="n">
        <x:v>45992</x:v>
      </x:c>
      <x:c r="B1249" s="5" t="str">
        <x:v>Product &amp; Engineering</x:v>
      </x:c>
      <x:c r="C1249" s="5" t="str">
        <x:v>Research &amp; Development</x:v>
      </x:c>
      <x:c r="D1249" s="5" t="str">
        <x:v>US East</x:v>
      </x:c>
      <x:c r="E1249" s="10" t="n">
        <x:v>15.6</x:v>
      </x:c>
      <x:c r="F1249" s="7" t="n">
        <x:v>316707.91</x:v>
      </x:c>
      <x:c r="G1249" s="8"/>
    </x:row>
    <x:row r="1250">
      <x:c r="A1250" s="6" t="n">
        <x:v>45992</x:v>
      </x:c>
      <x:c r="B1250" s="5" t="str">
        <x:v>Finance</x:v>
      </x:c>
      <x:c r="C1250" s="5" t="str">
        <x:v>General &amp; Administrative</x:v>
      </x:c>
      <x:c r="D1250" s="5" t="str">
        <x:v>US East</x:v>
      </x:c>
      <x:c r="E1250" s="10" t="n">
        <x:v>4</x:v>
      </x:c>
      <x:c r="F1250" s="7" t="n">
        <x:v>85433.69</x:v>
      </x:c>
      <x:c r="G1250" s="8"/>
    </x:row>
    <x:row r="1251">
      <x:c r="A1251" s="6" t="n">
        <x:v>45992</x:v>
      </x:c>
      <x:c r="B1251" s="5" t="str">
        <x:v>People</x:v>
      </x:c>
      <x:c r="C1251" s="5" t="str">
        <x:v>General &amp; Administrative</x:v>
      </x:c>
      <x:c r="D1251" s="5" t="str">
        <x:v>US East</x:v>
      </x:c>
      <x:c r="E1251" s="10" t="n">
        <x:v>5</x:v>
      </x:c>
      <x:c r="F1251" s="7" t="n">
        <x:v>70386.26</x:v>
      </x:c>
      <x:c r="G1251" s="8"/>
    </x:row>
    <x:row r="1252">
      <x:c r="A1252" s="6" t="n">
        <x:v>45992</x:v>
      </x:c>
      <x:c r="B1252" s="5" t="str">
        <x:v>Legal &amp; Compliance</x:v>
      </x:c>
      <x:c r="C1252" s="5" t="str">
        <x:v>General &amp; Administrative</x:v>
      </x:c>
      <x:c r="D1252" s="5" t="str">
        <x:v>US East</x:v>
      </x:c>
      <x:c r="E1252" s="10" t="n">
        <x:v>3</x:v>
      </x:c>
      <x:c r="F1252" s="7" t="n">
        <x:v>113008.25</x:v>
      </x:c>
      <x:c r="G1252" s="8"/>
    </x:row>
    <x:row r="1253">
      <x:c r="A1253" s="6" t="n">
        <x:v>45992</x:v>
      </x:c>
      <x:c r="B1253" s="5" t="str">
        <x:v>Information Technology</x:v>
      </x:c>
      <x:c r="C1253" s="5" t="str">
        <x:v>General &amp; Administrative</x:v>
      </x:c>
      <x:c r="D1253" s="5" t="str">
        <x:v>US East</x:v>
      </x:c>
      <x:c r="E1253" s="10" t="n">
        <x:v>4</x:v>
      </x:c>
      <x:c r="F1253" s="7" t="n">
        <x:v>58293.55</x:v>
      </x:c>
      <x:c r="G1253" s="8"/>
    </x:row>
    <x:row r="1254">
      <x:c r="A1254" s="6" t="n">
        <x:v>45992</x:v>
      </x:c>
      <x:c r="B1254" s="5" t="str">
        <x:v>Executive</x:v>
      </x:c>
      <x:c r="C1254" s="5" t="str">
        <x:v>General &amp; Administrative</x:v>
      </x:c>
      <x:c r="D1254" s="5" t="str">
        <x:v>US East</x:v>
      </x:c>
      <x:c r="E1254" s="10" t="n">
        <x:v>1</x:v>
      </x:c>
      <x:c r="F1254" s="7" t="n">
        <x:v>25433.45</x:v>
      </x:c>
      <x:c r="G1254" s="8"/>
    </x:row>
    <x:row r="1255">
      <x:c r="A1255" s="6" t="n">
        <x:v>46023</x:v>
      </x:c>
      <x:c r="B1255" s="5" t="str">
        <x:v>Cloud Operations</x:v>
      </x:c>
      <x:c r="C1255" s="5" t="str">
        <x:v>Cost of Revenue</x:v>
      </x:c>
      <x:c r="D1255" s="5" t="str">
        <x:v>US East</x:v>
      </x:c>
      <x:c r="E1255" s="10" t="n">
        <x:v>1</x:v>
      </x:c>
      <x:c r="F1255" s="7" t="n">
        <x:v>18589.4</x:v>
      </x:c>
      <x:c r="G1255" s="8"/>
    </x:row>
    <x:row r="1256">
      <x:c r="A1256" s="6" t="n">
        <x:v>46023</x:v>
      </x:c>
      <x:c r="B1256" s="5" t="str">
        <x:v>Customer Support</x:v>
      </x:c>
      <x:c r="C1256" s="5" t="str">
        <x:v>Cost of Revenue</x:v>
      </x:c>
      <x:c r="D1256" s="5" t="str">
        <x:v>US East</x:v>
      </x:c>
      <x:c r="E1256" s="10" t="n">
        <x:v>14</x:v>
      </x:c>
      <x:c r="F1256" s="7" t="n">
        <x:v>167462.51</x:v>
      </x:c>
      <x:c r="G1256" s="8"/>
    </x:row>
    <x:row r="1257">
      <x:c r="A1257" s="6" t="n">
        <x:v>46023</x:v>
      </x:c>
      <x:c r="B1257" s="5" t="str">
        <x:v>Professional Services</x:v>
      </x:c>
      <x:c r="C1257" s="5" t="str">
        <x:v>Cost of Revenue</x:v>
      </x:c>
      <x:c r="D1257" s="5" t="str">
        <x:v>US East</x:v>
      </x:c>
      <x:c r="E1257" s="10" t="n">
        <x:v>21</x:v>
      </x:c>
      <x:c r="F1257" s="7" t="n">
        <x:v>325610.38</x:v>
      </x:c>
      <x:c r="G1257" s="8" t="n">
        <x:v>0.6658</x:v>
      </x:c>
    </x:row>
    <x:row r="1258">
      <x:c r="A1258" s="6" t="n">
        <x:v>46023</x:v>
      </x:c>
      <x:c r="B1258" s="5" t="str">
        <x:v>Sales</x:v>
      </x:c>
      <x:c r="C1258" s="5" t="str">
        <x:v>Sales &amp; Marketing</x:v>
      </x:c>
      <x:c r="D1258" s="5" t="str">
        <x:v>US East</x:v>
      </x:c>
      <x:c r="E1258" s="10" t="n">
        <x:v>31.6</x:v>
      </x:c>
      <x:c r="F1258" s="7" t="n">
        <x:v>618675.62</x:v>
      </x:c>
      <x:c r="G1258" s="8"/>
    </x:row>
    <x:row r="1259">
      <x:c r="A1259" s="6" t="n">
        <x:v>46023</x:v>
      </x:c>
      <x:c r="B1259" s="5" t="str">
        <x:v>Marketing</x:v>
      </x:c>
      <x:c r="C1259" s="5" t="str">
        <x:v>Sales &amp; Marketing</x:v>
      </x:c>
      <x:c r="D1259" s="5" t="str">
        <x:v>US East</x:v>
      </x:c>
      <x:c r="E1259" s="10" t="n">
        <x:v>4</x:v>
      </x:c>
      <x:c r="F1259" s="7" t="n">
        <x:v>59239.93</x:v>
      </x:c>
      <x:c r="G1259" s="8"/>
    </x:row>
    <x:row r="1260">
      <x:c r="A1260" s="6" t="n">
        <x:v>46023</x:v>
      </x:c>
      <x:c r="B1260" s="5" t="str">
        <x:v>Product &amp; Engineering</x:v>
      </x:c>
      <x:c r="C1260" s="5" t="str">
        <x:v>Research &amp; Development</x:v>
      </x:c>
      <x:c r="D1260" s="5" t="str">
        <x:v>US East</x:v>
      </x:c>
      <x:c r="E1260" s="10" t="n">
        <x:v>16.6</x:v>
      </x:c>
      <x:c r="F1260" s="7" t="n">
        <x:v>372066.91</x:v>
      </x:c>
      <x:c r="G1260" s="8"/>
    </x:row>
    <x:row r="1261">
      <x:c r="A1261" s="6" t="n">
        <x:v>46023</x:v>
      </x:c>
      <x:c r="B1261" s="5" t="str">
        <x:v>Finance</x:v>
      </x:c>
      <x:c r="C1261" s="5" t="str">
        <x:v>General &amp; Administrative</x:v>
      </x:c>
      <x:c r="D1261" s="5" t="str">
        <x:v>US East</x:v>
      </x:c>
      <x:c r="E1261" s="10" t="n">
        <x:v>4</x:v>
      </x:c>
      <x:c r="F1261" s="7" t="n">
        <x:v>88423.86</x:v>
      </x:c>
      <x:c r="G1261" s="8"/>
    </x:row>
    <x:row r="1262">
      <x:c r="A1262" s="6" t="n">
        <x:v>46023</x:v>
      </x:c>
      <x:c r="B1262" s="5" t="str">
        <x:v>People</x:v>
      </x:c>
      <x:c r="C1262" s="5" t="str">
        <x:v>General &amp; Administrative</x:v>
      </x:c>
      <x:c r="D1262" s="5" t="str">
        <x:v>US East</x:v>
      </x:c>
      <x:c r="E1262" s="10" t="n">
        <x:v>5</x:v>
      </x:c>
      <x:c r="F1262" s="7" t="n">
        <x:v>72849.78</x:v>
      </x:c>
      <x:c r="G1262" s="8"/>
    </x:row>
    <x:row r="1263">
      <x:c r="A1263" s="6" t="n">
        <x:v>46023</x:v>
      </x:c>
      <x:c r="B1263" s="5" t="str">
        <x:v>Legal &amp; Compliance</x:v>
      </x:c>
      <x:c r="C1263" s="5" t="str">
        <x:v>General &amp; Administrative</x:v>
      </x:c>
      <x:c r="D1263" s="5" t="str">
        <x:v>US East</x:v>
      </x:c>
      <x:c r="E1263" s="10" t="n">
        <x:v>3</x:v>
      </x:c>
      <x:c r="F1263" s="7" t="n">
        <x:v>116963.53</x:v>
      </x:c>
      <x:c r="G1263" s="8"/>
    </x:row>
    <x:row r="1264">
      <x:c r="A1264" s="6" t="n">
        <x:v>46023</x:v>
      </x:c>
      <x:c r="B1264" s="5" t="str">
        <x:v>Information Technology</x:v>
      </x:c>
      <x:c r="C1264" s="5" t="str">
        <x:v>General &amp; Administrative</x:v>
      </x:c>
      <x:c r="D1264" s="5" t="str">
        <x:v>US East</x:v>
      </x:c>
      <x:c r="E1264" s="10" t="n">
        <x:v>4</x:v>
      </x:c>
      <x:c r="F1264" s="7" t="n">
        <x:v>60333.81</x:v>
      </x:c>
      <x:c r="G1264" s="8"/>
    </x:row>
    <x:row r="1265">
      <x:c r="A1265" s="6" t="n">
        <x:v>46023</x:v>
      </x:c>
      <x:c r="B1265" s="5" t="str">
        <x:v>Executive</x:v>
      </x:c>
      <x:c r="C1265" s="5" t="str">
        <x:v>General &amp; Administrative</x:v>
      </x:c>
      <x:c r="D1265" s="5" t="str">
        <x:v>US East</x:v>
      </x:c>
      <x:c r="E1265" s="10" t="n">
        <x:v>1</x:v>
      </x:c>
      <x:c r="F1265" s="7" t="n">
        <x:v>26323.62</x:v>
      </x:c>
      <x:c r="G1265" s="8"/>
    </x:row>
    <x:row r="1266">
      <x:c r="A1266" s="6" t="n">
        <x:v>46054</x:v>
      </x:c>
      <x:c r="B1266" s="5" t="str">
        <x:v>Cloud Operations</x:v>
      </x:c>
      <x:c r="C1266" s="5" t="str">
        <x:v>Cost of Revenue</x:v>
      </x:c>
      <x:c r="D1266" s="5" t="str">
        <x:v>US East</x:v>
      </x:c>
      <x:c r="E1266" s="10" t="n">
        <x:v>1</x:v>
      </x:c>
      <x:c r="F1266" s="7" t="n">
        <x:v>18589.4</x:v>
      </x:c>
      <x:c r="G1266" s="8"/>
    </x:row>
    <x:row r="1267">
      <x:c r="A1267" s="6" t="n">
        <x:v>46054</x:v>
      </x:c>
      <x:c r="B1267" s="5" t="str">
        <x:v>Customer Support</x:v>
      </x:c>
      <x:c r="C1267" s="5" t="str">
        <x:v>Cost of Revenue</x:v>
      </x:c>
      <x:c r="D1267" s="5" t="str">
        <x:v>US East</x:v>
      </x:c>
      <x:c r="E1267" s="10" t="n">
        <x:v>14</x:v>
      </x:c>
      <x:c r="F1267" s="7" t="n">
        <x:v>167462.51</x:v>
      </x:c>
      <x:c r="G1267" s="8"/>
    </x:row>
    <x:row r="1268">
      <x:c r="A1268" s="6" t="n">
        <x:v>46054</x:v>
      </x:c>
      <x:c r="B1268" s="5" t="str">
        <x:v>Professional Services</x:v>
      </x:c>
      <x:c r="C1268" s="5" t="str">
        <x:v>Cost of Revenue</x:v>
      </x:c>
      <x:c r="D1268" s="5" t="str">
        <x:v>US East</x:v>
      </x:c>
      <x:c r="E1268" s="10" t="n">
        <x:v>22</x:v>
      </x:c>
      <x:c r="F1268" s="7" t="n">
        <x:v>339915.9</x:v>
      </x:c>
      <x:c r="G1268" s="8" t="n">
        <x:v>0.6805</x:v>
      </x:c>
    </x:row>
    <x:row r="1269">
      <x:c r="A1269" s="6" t="n">
        <x:v>46054</x:v>
      </x:c>
      <x:c r="B1269" s="5" t="str">
        <x:v>Sales</x:v>
      </x:c>
      <x:c r="C1269" s="5" t="str">
        <x:v>Sales &amp; Marketing</x:v>
      </x:c>
      <x:c r="D1269" s="5" t="str">
        <x:v>US East</x:v>
      </x:c>
      <x:c r="E1269" s="10" t="n">
        <x:v>31.6</x:v>
      </x:c>
      <x:c r="F1269" s="7" t="n">
        <x:v>618675.62</x:v>
      </x:c>
      <x:c r="G1269" s="8"/>
    </x:row>
    <x:row r="1270">
      <x:c r="A1270" s="6" t="n">
        <x:v>46054</x:v>
      </x:c>
      <x:c r="B1270" s="5" t="str">
        <x:v>Marketing</x:v>
      </x:c>
      <x:c r="C1270" s="5" t="str">
        <x:v>Sales &amp; Marketing</x:v>
      </x:c>
      <x:c r="D1270" s="5" t="str">
        <x:v>US East</x:v>
      </x:c>
      <x:c r="E1270" s="10" t="n">
        <x:v>4</x:v>
      </x:c>
      <x:c r="F1270" s="7" t="n">
        <x:v>59239.93</x:v>
      </x:c>
      <x:c r="G1270" s="8"/>
    </x:row>
    <x:row r="1271">
      <x:c r="A1271" s="6" t="n">
        <x:v>46054</x:v>
      </x:c>
      <x:c r="B1271" s="5" t="str">
        <x:v>Product &amp; Engineering</x:v>
      </x:c>
      <x:c r="C1271" s="5" t="str">
        <x:v>Research &amp; Development</x:v>
      </x:c>
      <x:c r="D1271" s="5" t="str">
        <x:v>US East</x:v>
      </x:c>
      <x:c r="E1271" s="10" t="n">
        <x:v>18.6</x:v>
      </x:c>
      <x:c r="F1271" s="7" t="n">
        <x:v>408165.41</x:v>
      </x:c>
      <x:c r="G1271" s="8"/>
    </x:row>
    <x:row r="1272">
      <x:c r="A1272" s="6" t="n">
        <x:v>46054</x:v>
      </x:c>
      <x:c r="B1272" s="5" t="str">
        <x:v>Finance</x:v>
      </x:c>
      <x:c r="C1272" s="5" t="str">
        <x:v>General &amp; Administrative</x:v>
      </x:c>
      <x:c r="D1272" s="5" t="str">
        <x:v>US East</x:v>
      </x:c>
      <x:c r="E1272" s="10" t="n">
        <x:v>4</x:v>
      </x:c>
      <x:c r="F1272" s="7" t="n">
        <x:v>88423.86</x:v>
      </x:c>
      <x:c r="G1272" s="8"/>
    </x:row>
    <x:row r="1273">
      <x:c r="A1273" s="6" t="n">
        <x:v>46054</x:v>
      </x:c>
      <x:c r="B1273" s="5" t="str">
        <x:v>People</x:v>
      </x:c>
      <x:c r="C1273" s="5" t="str">
        <x:v>General &amp; Administrative</x:v>
      </x:c>
      <x:c r="D1273" s="5" t="str">
        <x:v>US East</x:v>
      </x:c>
      <x:c r="E1273" s="10" t="n">
        <x:v>6</x:v>
      </x:c>
      <x:c r="F1273" s="7" t="n">
        <x:v>84225.8</x:v>
      </x:c>
      <x:c r="G1273" s="8"/>
    </x:row>
    <x:row r="1274">
      <x:c r="A1274" s="6" t="n">
        <x:v>46054</x:v>
      </x:c>
      <x:c r="B1274" s="5" t="str">
        <x:v>Legal &amp; Compliance</x:v>
      </x:c>
      <x:c r="C1274" s="5" t="str">
        <x:v>General &amp; Administrative</x:v>
      </x:c>
      <x:c r="D1274" s="5" t="str">
        <x:v>US East</x:v>
      </x:c>
      <x:c r="E1274" s="10" t="n">
        <x:v>3</x:v>
      </x:c>
      <x:c r="F1274" s="7" t="n">
        <x:v>116963.53</x:v>
      </x:c>
      <x:c r="G1274" s="8"/>
    </x:row>
    <x:row r="1275">
      <x:c r="A1275" s="6" t="n">
        <x:v>46054</x:v>
      </x:c>
      <x:c r="B1275" s="5" t="str">
        <x:v>Information Technology</x:v>
      </x:c>
      <x:c r="C1275" s="5" t="str">
        <x:v>General &amp; Administrative</x:v>
      </x:c>
      <x:c r="D1275" s="5" t="str">
        <x:v>US East</x:v>
      </x:c>
      <x:c r="E1275" s="10" t="n">
        <x:v>4</x:v>
      </x:c>
      <x:c r="F1275" s="7" t="n">
        <x:v>60333.81</x:v>
      </x:c>
      <x:c r="G1275" s="8"/>
    </x:row>
    <x:row r="1276">
      <x:c r="A1276" s="6" t="n">
        <x:v>46054</x:v>
      </x:c>
      <x:c r="B1276" s="5" t="str">
        <x:v>Executive</x:v>
      </x:c>
      <x:c r="C1276" s="5" t="str">
        <x:v>General &amp; Administrative</x:v>
      </x:c>
      <x:c r="D1276" s="5" t="str">
        <x:v>US East</x:v>
      </x:c>
      <x:c r="E1276" s="10" t="n">
        <x:v>1</x:v>
      </x:c>
      <x:c r="F1276" s="7" t="n">
        <x:v>26323.62</x:v>
      </x:c>
      <x:c r="G1276" s="8"/>
    </x:row>
    <x:row r="1277">
      <x:c r="A1277" s="6" t="n">
        <x:v>46082</x:v>
      </x:c>
      <x:c r="B1277" s="5" t="str">
        <x:v>Cloud Operations</x:v>
      </x:c>
      <x:c r="C1277" s="5" t="str">
        <x:v>Cost of Revenue</x:v>
      </x:c>
      <x:c r="D1277" s="5" t="str">
        <x:v>US East</x:v>
      </x:c>
      <x:c r="E1277" s="10" t="n">
        <x:v>1</x:v>
      </x:c>
      <x:c r="F1277" s="7" t="n">
        <x:v>18589.4</x:v>
      </x:c>
      <x:c r="G1277" s="8"/>
    </x:row>
    <x:row r="1278">
      <x:c r="A1278" s="6" t="n">
        <x:v>46082</x:v>
      </x:c>
      <x:c r="B1278" s="5" t="str">
        <x:v>Customer Support</x:v>
      </x:c>
      <x:c r="C1278" s="5" t="str">
        <x:v>Cost of Revenue</x:v>
      </x:c>
      <x:c r="D1278" s="5" t="str">
        <x:v>US East</x:v>
      </x:c>
      <x:c r="E1278" s="10" t="n">
        <x:v>13</x:v>
      </x:c>
      <x:c r="F1278" s="7" t="n">
        <x:v>154900.33</x:v>
      </x:c>
      <x:c r="G1278" s="8"/>
    </x:row>
    <x:row r="1279">
      <x:c r="A1279" s="6" t="n">
        <x:v>46082</x:v>
      </x:c>
      <x:c r="B1279" s="5" t="str">
        <x:v>Professional Services</x:v>
      </x:c>
      <x:c r="C1279" s="5" t="str">
        <x:v>Cost of Revenue</x:v>
      </x:c>
      <x:c r="D1279" s="5" t="str">
        <x:v>US East</x:v>
      </x:c>
      <x:c r="E1279" s="10" t="n">
        <x:v>22</x:v>
      </x:c>
      <x:c r="F1279" s="7" t="n">
        <x:v>339915.9</x:v>
      </x:c>
      <x:c r="G1279" s="8" t="n">
        <x:v>0.7388</x:v>
      </x:c>
    </x:row>
    <x:row r="1280">
      <x:c r="A1280" s="6" t="n">
        <x:v>46082</x:v>
      </x:c>
      <x:c r="B1280" s="5" t="str">
        <x:v>Sales</x:v>
      </x:c>
      <x:c r="C1280" s="5" t="str">
        <x:v>Sales &amp; Marketing</x:v>
      </x:c>
      <x:c r="D1280" s="5" t="str">
        <x:v>US East</x:v>
      </x:c>
      <x:c r="E1280" s="10" t="n">
        <x:v>31.6</x:v>
      </x:c>
      <x:c r="F1280" s="7" t="n">
        <x:v>618675.62</x:v>
      </x:c>
      <x:c r="G1280" s="8"/>
    </x:row>
    <x:row r="1281">
      <x:c r="A1281" s="6" t="n">
        <x:v>46082</x:v>
      </x:c>
      <x:c r="B1281" s="5" t="str">
        <x:v>Marketing</x:v>
      </x:c>
      <x:c r="C1281" s="5" t="str">
        <x:v>Sales &amp; Marketing</x:v>
      </x:c>
      <x:c r="D1281" s="5" t="str">
        <x:v>US East</x:v>
      </x:c>
      <x:c r="E1281" s="10" t="n">
        <x:v>4</x:v>
      </x:c>
      <x:c r="F1281" s="7" t="n">
        <x:v>59239.93</x:v>
      </x:c>
      <x:c r="G1281" s="8"/>
    </x:row>
    <x:row r="1282">
      <x:c r="A1282" s="6" t="n">
        <x:v>46082</x:v>
      </x:c>
      <x:c r="B1282" s="5" t="str">
        <x:v>Product &amp; Engineering</x:v>
      </x:c>
      <x:c r="C1282" s="5" t="str">
        <x:v>Research &amp; Development</x:v>
      </x:c>
      <x:c r="D1282" s="5" t="str">
        <x:v>US East</x:v>
      </x:c>
      <x:c r="E1282" s="10" t="n">
        <x:v>18.6</x:v>
      </x:c>
      <x:c r="F1282" s="7" t="n">
        <x:v>408165.41</x:v>
      </x:c>
      <x:c r="G1282" s="8"/>
    </x:row>
    <x:row r="1283">
      <x:c r="A1283" s="6" t="n">
        <x:v>46082</x:v>
      </x:c>
      <x:c r="B1283" s="5" t="str">
        <x:v>Finance</x:v>
      </x:c>
      <x:c r="C1283" s="5" t="str">
        <x:v>General &amp; Administrative</x:v>
      </x:c>
      <x:c r="D1283" s="5" t="str">
        <x:v>US East</x:v>
      </x:c>
      <x:c r="E1283" s="10" t="n">
        <x:v>4</x:v>
      </x:c>
      <x:c r="F1283" s="7" t="n">
        <x:v>88423.86</x:v>
      </x:c>
      <x:c r="G1283" s="8"/>
    </x:row>
    <x:row r="1284">
      <x:c r="A1284" s="6" t="n">
        <x:v>46082</x:v>
      </x:c>
      <x:c r="B1284" s="5" t="str">
        <x:v>People</x:v>
      </x:c>
      <x:c r="C1284" s="5" t="str">
        <x:v>General &amp; Administrative</x:v>
      </x:c>
      <x:c r="D1284" s="5" t="str">
        <x:v>US East</x:v>
      </x:c>
      <x:c r="E1284" s="10" t="n">
        <x:v>6</x:v>
      </x:c>
      <x:c r="F1284" s="7" t="n">
        <x:v>84225.8</x:v>
      </x:c>
      <x:c r="G1284" s="8"/>
    </x:row>
    <x:row r="1285">
      <x:c r="A1285" s="6" t="n">
        <x:v>46082</x:v>
      </x:c>
      <x:c r="B1285" s="5" t="str">
        <x:v>Legal &amp; Compliance</x:v>
      </x:c>
      <x:c r="C1285" s="5" t="str">
        <x:v>General &amp; Administrative</x:v>
      </x:c>
      <x:c r="D1285" s="5" t="str">
        <x:v>US East</x:v>
      </x:c>
      <x:c r="E1285" s="10" t="n">
        <x:v>3</x:v>
      </x:c>
      <x:c r="F1285" s="7" t="n">
        <x:v>116963.53</x:v>
      </x:c>
      <x:c r="G1285" s="8"/>
    </x:row>
    <x:row r="1286">
      <x:c r="A1286" s="6" t="n">
        <x:v>46082</x:v>
      </x:c>
      <x:c r="B1286" s="5" t="str">
        <x:v>Information Technology</x:v>
      </x:c>
      <x:c r="C1286" s="5" t="str">
        <x:v>General &amp; Administrative</x:v>
      </x:c>
      <x:c r="D1286" s="5" t="str">
        <x:v>US East</x:v>
      </x:c>
      <x:c r="E1286" s="10" t="n">
        <x:v>4</x:v>
      </x:c>
      <x:c r="F1286" s="7" t="n">
        <x:v>60333.81</x:v>
      </x:c>
      <x:c r="G1286" s="8"/>
    </x:row>
    <x:row r="1287">
      <x:c r="A1287" s="6" t="n">
        <x:v>46082</x:v>
      </x:c>
      <x:c r="B1287" s="5" t="str">
        <x:v>Executive</x:v>
      </x:c>
      <x:c r="C1287" s="5" t="str">
        <x:v>General &amp; Administrative</x:v>
      </x:c>
      <x:c r="D1287" s="5" t="str">
        <x:v>US East</x:v>
      </x:c>
      <x:c r="E1287" s="10" t="n">
        <x:v>1</x:v>
      </x:c>
      <x:c r="F1287" s="7" t="n">
        <x:v>26323.62</x:v>
      </x:c>
      <x:c r="G1287" s="8"/>
    </x:row>
    <x:row r="1288">
      <x:c r="A1288" s="6" t="n">
        <x:v>46113</x:v>
      </x:c>
      <x:c r="B1288" s="5" t="str">
        <x:v>Cloud Operations</x:v>
      </x:c>
      <x:c r="C1288" s="5" t="str">
        <x:v>Cost of Revenue</x:v>
      </x:c>
      <x:c r="D1288" s="5" t="str">
        <x:v>US East</x:v>
      </x:c>
      <x:c r="E1288" s="10" t="n">
        <x:v>1</x:v>
      </x:c>
      <x:c r="F1288" s="7" t="n">
        <x:v>18589.4</x:v>
      </x:c>
      <x:c r="G1288" s="8"/>
    </x:row>
    <x:row r="1289">
      <x:c r="A1289" s="6" t="n">
        <x:v>46113</x:v>
      </x:c>
      <x:c r="B1289" s="5" t="str">
        <x:v>Customer Support</x:v>
      </x:c>
      <x:c r="C1289" s="5" t="str">
        <x:v>Cost of Revenue</x:v>
      </x:c>
      <x:c r="D1289" s="5" t="str">
        <x:v>US East</x:v>
      </x:c>
      <x:c r="E1289" s="10" t="n">
        <x:v>14</x:v>
      </x:c>
      <x:c r="F1289" s="7" t="n">
        <x:v>170783.44</x:v>
      </x:c>
      <x:c r="G1289" s="8"/>
    </x:row>
    <x:row r="1290">
      <x:c r="A1290" s="6" t="n">
        <x:v>46113</x:v>
      </x:c>
      <x:c r="B1290" s="5" t="str">
        <x:v>Professional Services</x:v>
      </x:c>
      <x:c r="C1290" s="5" t="str">
        <x:v>Cost of Revenue</x:v>
      </x:c>
      <x:c r="D1290" s="5" t="str">
        <x:v>US East</x:v>
      </x:c>
      <x:c r="E1290" s="10" t="n">
        <x:v>22</x:v>
      </x:c>
      <x:c r="F1290" s="7" t="n">
        <x:v>339915.9</x:v>
      </x:c>
      <x:c r="G1290" s="8" t="n">
        <x:v>0.758</x:v>
      </x:c>
    </x:row>
    <x:row r="1291">
      <x:c r="A1291" s="6" t="n">
        <x:v>46113</x:v>
      </x:c>
      <x:c r="B1291" s="5" t="str">
        <x:v>Sales</x:v>
      </x:c>
      <x:c r="C1291" s="5" t="str">
        <x:v>Sales &amp; Marketing</x:v>
      </x:c>
      <x:c r="D1291" s="5" t="str">
        <x:v>US East</x:v>
      </x:c>
      <x:c r="E1291" s="10" t="n">
        <x:v>31.6</x:v>
      </x:c>
      <x:c r="F1291" s="7" t="n">
        <x:v>618675.62</x:v>
      </x:c>
      <x:c r="G1291" s="8"/>
    </x:row>
    <x:row r="1292">
      <x:c r="A1292" s="6" t="n">
        <x:v>46113</x:v>
      </x:c>
      <x:c r="B1292" s="5" t="str">
        <x:v>Marketing</x:v>
      </x:c>
      <x:c r="C1292" s="5" t="str">
        <x:v>Sales &amp; Marketing</x:v>
      </x:c>
      <x:c r="D1292" s="5" t="str">
        <x:v>US East</x:v>
      </x:c>
      <x:c r="E1292" s="10" t="n">
        <x:v>4</x:v>
      </x:c>
      <x:c r="F1292" s="7" t="n">
        <x:v>59239.93</x:v>
      </x:c>
      <x:c r="G1292" s="8"/>
    </x:row>
    <x:row r="1293">
      <x:c r="A1293" s="6" t="n">
        <x:v>46113</x:v>
      </x:c>
      <x:c r="B1293" s="5" t="str">
        <x:v>Product &amp; Engineering</x:v>
      </x:c>
      <x:c r="C1293" s="5" t="str">
        <x:v>Research &amp; Development</x:v>
      </x:c>
      <x:c r="D1293" s="5" t="str">
        <x:v>US East</x:v>
      </x:c>
      <x:c r="E1293" s="10" t="n">
        <x:v>18.6</x:v>
      </x:c>
      <x:c r="F1293" s="7" t="n">
        <x:v>408165.41</x:v>
      </x:c>
      <x:c r="G1293" s="8"/>
    </x:row>
    <x:row r="1294">
      <x:c r="A1294" s="6" t="n">
        <x:v>46113</x:v>
      </x:c>
      <x:c r="B1294" s="5" t="str">
        <x:v>Finance</x:v>
      </x:c>
      <x:c r="C1294" s="5" t="str">
        <x:v>General &amp; Administrative</x:v>
      </x:c>
      <x:c r="D1294" s="5" t="str">
        <x:v>US East</x:v>
      </x:c>
      <x:c r="E1294" s="10" t="n">
        <x:v>4</x:v>
      </x:c>
      <x:c r="F1294" s="7" t="n">
        <x:v>88423.86</x:v>
      </x:c>
      <x:c r="G1294" s="8"/>
    </x:row>
    <x:row r="1295">
      <x:c r="A1295" s="6" t="n">
        <x:v>46113</x:v>
      </x:c>
      <x:c r="B1295" s="5" t="str">
        <x:v>People</x:v>
      </x:c>
      <x:c r="C1295" s="5" t="str">
        <x:v>General &amp; Administrative</x:v>
      </x:c>
      <x:c r="D1295" s="5" t="str">
        <x:v>US East</x:v>
      </x:c>
      <x:c r="E1295" s="10" t="n">
        <x:v>6</x:v>
      </x:c>
      <x:c r="F1295" s="7" t="n">
        <x:v>84225.8</x:v>
      </x:c>
      <x:c r="G1295" s="8"/>
    </x:row>
    <x:row r="1296">
      <x:c r="A1296" s="6" t="n">
        <x:v>46113</x:v>
      </x:c>
      <x:c r="B1296" s="5" t="str">
        <x:v>Legal &amp; Compliance</x:v>
      </x:c>
      <x:c r="C1296" s="5" t="str">
        <x:v>General &amp; Administrative</x:v>
      </x:c>
      <x:c r="D1296" s="5" t="str">
        <x:v>US East</x:v>
      </x:c>
      <x:c r="E1296" s="10" t="n">
        <x:v>3</x:v>
      </x:c>
      <x:c r="F1296" s="7" t="n">
        <x:v>116963.53</x:v>
      </x:c>
      <x:c r="G1296" s="8"/>
    </x:row>
    <x:row r="1297">
      <x:c r="A1297" s="6" t="n">
        <x:v>46113</x:v>
      </x:c>
      <x:c r="B1297" s="5" t="str">
        <x:v>Information Technology</x:v>
      </x:c>
      <x:c r="C1297" s="5" t="str">
        <x:v>General &amp; Administrative</x:v>
      </x:c>
      <x:c r="D1297" s="5" t="str">
        <x:v>US East</x:v>
      </x:c>
      <x:c r="E1297" s="10" t="n">
        <x:v>4</x:v>
      </x:c>
      <x:c r="F1297" s="7" t="n">
        <x:v>60333.81</x:v>
      </x:c>
      <x:c r="G1297" s="8"/>
    </x:row>
    <x:row r="1298">
      <x:c r="A1298" s="6" t="n">
        <x:v>46113</x:v>
      </x:c>
      <x:c r="B1298" s="5" t="str">
        <x:v>Executive</x:v>
      </x:c>
      <x:c r="C1298" s="5" t="str">
        <x:v>General &amp; Administrative</x:v>
      </x:c>
      <x:c r="D1298" s="5" t="str">
        <x:v>US East</x:v>
      </x:c>
      <x:c r="E1298" s="10" t="n">
        <x:v>1</x:v>
      </x:c>
      <x:c r="F1298" s="7" t="n">
        <x:v>26323.62</x:v>
      </x:c>
      <x:c r="G1298" s="8"/>
    </x:row>
    <x:row r="1299">
      <x:c r="A1299" s="6" t="n">
        <x:v>46143</x:v>
      </x:c>
      <x:c r="B1299" s="5" t="str">
        <x:v>Cloud Operations</x:v>
      </x:c>
      <x:c r="C1299" s="5" t="str">
        <x:v>Cost of Revenue</x:v>
      </x:c>
      <x:c r="D1299" s="5" t="str">
        <x:v>US East</x:v>
      </x:c>
      <x:c r="E1299" s="10" t="n">
        <x:v>1</x:v>
      </x:c>
      <x:c r="F1299" s="7" t="n">
        <x:v>18589.4</x:v>
      </x:c>
      <x:c r="G1299" s="8"/>
    </x:row>
    <x:row r="1300">
      <x:c r="A1300" s="6" t="n">
        <x:v>46143</x:v>
      </x:c>
      <x:c r="B1300" s="5" t="str">
        <x:v>Customer Support</x:v>
      </x:c>
      <x:c r="C1300" s="5" t="str">
        <x:v>Cost of Revenue</x:v>
      </x:c>
      <x:c r="D1300" s="5" t="str">
        <x:v>US East</x:v>
      </x:c>
      <x:c r="E1300" s="10" t="n">
        <x:v>15</x:v>
      </x:c>
      <x:c r="F1300" s="7" t="n">
        <x:v>181784.6</x:v>
      </x:c>
      <x:c r="G1300" s="8"/>
    </x:row>
    <x:row r="1301">
      <x:c r="A1301" s="6" t="n">
        <x:v>46143</x:v>
      </x:c>
      <x:c r="B1301" s="5" t="str">
        <x:v>Professional Services</x:v>
      </x:c>
      <x:c r="C1301" s="5" t="str">
        <x:v>Cost of Revenue</x:v>
      </x:c>
      <x:c r="D1301" s="5" t="str">
        <x:v>US East</x:v>
      </x:c>
      <x:c r="E1301" s="10" t="n">
        <x:v>22</x:v>
      </x:c>
      <x:c r="F1301" s="7" t="n">
        <x:v>339915.9</x:v>
      </x:c>
      <x:c r="G1301" s="8" t="n">
        <x:v>0.7877</x:v>
      </x:c>
    </x:row>
    <x:row r="1302">
      <x:c r="A1302" s="6" t="n">
        <x:v>46143</x:v>
      </x:c>
      <x:c r="B1302" s="5" t="str">
        <x:v>Sales</x:v>
      </x:c>
      <x:c r="C1302" s="5" t="str">
        <x:v>Sales &amp; Marketing</x:v>
      </x:c>
      <x:c r="D1302" s="5" t="str">
        <x:v>US East</x:v>
      </x:c>
      <x:c r="E1302" s="10" t="n">
        <x:v>32.6</x:v>
      </x:c>
      <x:c r="F1302" s="7" t="n">
        <x:v>622319.82</x:v>
      </x:c>
      <x:c r="G1302" s="8"/>
    </x:row>
    <x:row r="1303">
      <x:c r="A1303" s="6" t="n">
        <x:v>46143</x:v>
      </x:c>
      <x:c r="B1303" s="5" t="str">
        <x:v>Marketing</x:v>
      </x:c>
      <x:c r="C1303" s="5" t="str">
        <x:v>Sales &amp; Marketing</x:v>
      </x:c>
      <x:c r="D1303" s="5" t="str">
        <x:v>US East</x:v>
      </x:c>
      <x:c r="E1303" s="10" t="n">
        <x:v>4</x:v>
      </x:c>
      <x:c r="F1303" s="7" t="n">
        <x:v>59239.93</x:v>
      </x:c>
      <x:c r="G1303" s="8"/>
    </x:row>
    <x:row r="1304">
      <x:c r="A1304" s="6" t="n">
        <x:v>46143</x:v>
      </x:c>
      <x:c r="B1304" s="5" t="str">
        <x:v>Product &amp; Engineering</x:v>
      </x:c>
      <x:c r="C1304" s="5" t="str">
        <x:v>Research &amp; Development</x:v>
      </x:c>
      <x:c r="D1304" s="5" t="str">
        <x:v>US East</x:v>
      </x:c>
      <x:c r="E1304" s="10" t="n">
        <x:v>18.6</x:v>
      </x:c>
      <x:c r="F1304" s="7" t="n">
        <x:v>408165.41</x:v>
      </x:c>
      <x:c r="G1304" s="8"/>
    </x:row>
    <x:row r="1305">
      <x:c r="A1305" s="6" t="n">
        <x:v>46143</x:v>
      </x:c>
      <x:c r="B1305" s="5" t="str">
        <x:v>Finance</x:v>
      </x:c>
      <x:c r="C1305" s="5" t="str">
        <x:v>General &amp; Administrative</x:v>
      </x:c>
      <x:c r="D1305" s="5" t="str">
        <x:v>US East</x:v>
      </x:c>
      <x:c r="E1305" s="10" t="n">
        <x:v>5</x:v>
      </x:c>
      <x:c r="F1305" s="7" t="n">
        <x:v>101565.88</x:v>
      </x:c>
      <x:c r="G1305" s="8"/>
    </x:row>
    <x:row r="1306">
      <x:c r="A1306" s="6" t="n">
        <x:v>46143</x:v>
      </x:c>
      <x:c r="B1306" s="5" t="str">
        <x:v>People</x:v>
      </x:c>
      <x:c r="C1306" s="5" t="str">
        <x:v>General &amp; Administrative</x:v>
      </x:c>
      <x:c r="D1306" s="5" t="str">
        <x:v>US East</x:v>
      </x:c>
      <x:c r="E1306" s="10" t="n">
        <x:v>6</x:v>
      </x:c>
      <x:c r="F1306" s="7" t="n">
        <x:v>84225.8</x:v>
      </x:c>
      <x:c r="G1306" s="8"/>
    </x:row>
    <x:row r="1307">
      <x:c r="A1307" s="6" t="n">
        <x:v>46143</x:v>
      </x:c>
      <x:c r="B1307" s="5" t="str">
        <x:v>Legal &amp; Compliance</x:v>
      </x:c>
      <x:c r="C1307" s="5" t="str">
        <x:v>General &amp; Administrative</x:v>
      </x:c>
      <x:c r="D1307" s="5" t="str">
        <x:v>US East</x:v>
      </x:c>
      <x:c r="E1307" s="10" t="n">
        <x:v>3</x:v>
      </x:c>
      <x:c r="F1307" s="7" t="n">
        <x:v>116963.53</x:v>
      </x:c>
      <x:c r="G1307" s="8"/>
    </x:row>
    <x:row r="1308">
      <x:c r="A1308" s="6" t="n">
        <x:v>46143</x:v>
      </x:c>
      <x:c r="B1308" s="5" t="str">
        <x:v>Information Technology</x:v>
      </x:c>
      <x:c r="C1308" s="5" t="str">
        <x:v>General &amp; Administrative</x:v>
      </x:c>
      <x:c r="D1308" s="5" t="str">
        <x:v>US East</x:v>
      </x:c>
      <x:c r="E1308" s="10" t="n">
        <x:v>4</x:v>
      </x:c>
      <x:c r="F1308" s="7" t="n">
        <x:v>60333.81</x:v>
      </x:c>
      <x:c r="G1308" s="8"/>
    </x:row>
    <x:row r="1309">
      <x:c r="A1309" s="6" t="n">
        <x:v>46143</x:v>
      </x:c>
      <x:c r="B1309" s="5" t="str">
        <x:v>Executive</x:v>
      </x:c>
      <x:c r="C1309" s="5" t="str">
        <x:v>General &amp; Administrative</x:v>
      </x:c>
      <x:c r="D1309" s="5" t="str">
        <x:v>US East</x:v>
      </x:c>
      <x:c r="E1309" s="10" t="n">
        <x:v>1</x:v>
      </x:c>
      <x:c r="F1309" s="7" t="n">
        <x:v>26323.62</x:v>
      </x:c>
      <x:c r="G1309" s="8"/>
    </x:row>
    <x:row r="1310">
      <x:c r="A1310" s="6" t="n">
        <x:v>46174</x:v>
      </x:c>
      <x:c r="B1310" s="5" t="str">
        <x:v>Cloud Operations</x:v>
      </x:c>
      <x:c r="C1310" s="5" t="str">
        <x:v>Cost of Revenue</x:v>
      </x:c>
      <x:c r="D1310" s="5" t="str">
        <x:v>US East</x:v>
      </x:c>
      <x:c r="E1310" s="10" t="n">
        <x:v>1</x:v>
      </x:c>
      <x:c r="F1310" s="7" t="n">
        <x:v>18589.4</x:v>
      </x:c>
      <x:c r="G1310" s="8"/>
    </x:row>
    <x:row r="1311">
      <x:c r="A1311" s="6" t="n">
        <x:v>46174</x:v>
      </x:c>
      <x:c r="B1311" s="5" t="str">
        <x:v>Customer Support</x:v>
      </x:c>
      <x:c r="C1311" s="5" t="str">
        <x:v>Cost of Revenue</x:v>
      </x:c>
      <x:c r="D1311" s="5" t="str">
        <x:v>US East</x:v>
      </x:c>
      <x:c r="E1311" s="10" t="n">
        <x:v>15</x:v>
      </x:c>
      <x:c r="F1311" s="7" t="n">
        <x:v>181784.6</x:v>
      </x:c>
      <x:c r="G1311" s="8"/>
    </x:row>
    <x:row r="1312">
      <x:c r="A1312" s="6" t="n">
        <x:v>46174</x:v>
      </x:c>
      <x:c r="B1312" s="5" t="str">
        <x:v>Professional Services</x:v>
      </x:c>
      <x:c r="C1312" s="5" t="str">
        <x:v>Cost of Revenue</x:v>
      </x:c>
      <x:c r="D1312" s="5" t="str">
        <x:v>US East</x:v>
      </x:c>
      <x:c r="E1312" s="10" t="n">
        <x:v>22</x:v>
      </x:c>
      <x:c r="F1312" s="7" t="n">
        <x:v>339915.9</x:v>
      </x:c>
      <x:c r="G1312" s="8" t="n">
        <x:v>0.761</x:v>
      </x:c>
    </x:row>
    <x:row r="1313">
      <x:c r="A1313" s="6" t="n">
        <x:v>46174</x:v>
      </x:c>
      <x:c r="B1313" s="5" t="str">
        <x:v>Sales</x:v>
      </x:c>
      <x:c r="C1313" s="5" t="str">
        <x:v>Sales &amp; Marketing</x:v>
      </x:c>
      <x:c r="D1313" s="5" t="str">
        <x:v>US East</x:v>
      </x:c>
      <x:c r="E1313" s="10" t="n">
        <x:v>32.6</x:v>
      </x:c>
      <x:c r="F1313" s="7" t="n">
        <x:v>622319.82</x:v>
      </x:c>
      <x:c r="G1313" s="8"/>
    </x:row>
    <x:row r="1314">
      <x:c r="A1314" s="6" t="n">
        <x:v>46174</x:v>
      </x:c>
      <x:c r="B1314" s="5" t="str">
        <x:v>Marketing</x:v>
      </x:c>
      <x:c r="C1314" s="5" t="str">
        <x:v>Sales &amp; Marketing</x:v>
      </x:c>
      <x:c r="D1314" s="5" t="str">
        <x:v>US East</x:v>
      </x:c>
      <x:c r="E1314" s="10" t="n">
        <x:v>4</x:v>
      </x:c>
      <x:c r="F1314" s="7" t="n">
        <x:v>59239.93</x:v>
      </x:c>
      <x:c r="G1314" s="8"/>
    </x:row>
    <x:row r="1315">
      <x:c r="A1315" s="6" t="n">
        <x:v>46174</x:v>
      </x:c>
      <x:c r="B1315" s="5" t="str">
        <x:v>Product &amp; Engineering</x:v>
      </x:c>
      <x:c r="C1315" s="5" t="str">
        <x:v>Research &amp; Development</x:v>
      </x:c>
      <x:c r="D1315" s="5" t="str">
        <x:v>US East</x:v>
      </x:c>
      <x:c r="E1315" s="10" t="n">
        <x:v>18.6</x:v>
      </x:c>
      <x:c r="F1315" s="7" t="n">
        <x:v>408165.41</x:v>
      </x:c>
      <x:c r="G1315" s="8"/>
    </x:row>
    <x:row r="1316">
      <x:c r="A1316" s="6" t="n">
        <x:v>46174</x:v>
      </x:c>
      <x:c r="B1316" s="5" t="str">
        <x:v>Finance</x:v>
      </x:c>
      <x:c r="C1316" s="5" t="str">
        <x:v>General &amp; Administrative</x:v>
      </x:c>
      <x:c r="D1316" s="5" t="str">
        <x:v>US East</x:v>
      </x:c>
      <x:c r="E1316" s="10" t="n">
        <x:v>5</x:v>
      </x:c>
      <x:c r="F1316" s="7" t="n">
        <x:v>101565.88</x:v>
      </x:c>
      <x:c r="G1316" s="8"/>
    </x:row>
    <x:row r="1317">
      <x:c r="A1317" s="6" t="n">
        <x:v>46174</x:v>
      </x:c>
      <x:c r="B1317" s="5" t="str">
        <x:v>People</x:v>
      </x:c>
      <x:c r="C1317" s="5" t="str">
        <x:v>General &amp; Administrative</x:v>
      </x:c>
      <x:c r="D1317" s="5" t="str">
        <x:v>US East</x:v>
      </x:c>
      <x:c r="E1317" s="10" t="n">
        <x:v>6</x:v>
      </x:c>
      <x:c r="F1317" s="7" t="n">
        <x:v>84225.8</x:v>
      </x:c>
      <x:c r="G1317" s="8"/>
    </x:row>
    <x:row r="1318">
      <x:c r="A1318" s="6" t="n">
        <x:v>46174</x:v>
      </x:c>
      <x:c r="B1318" s="5" t="str">
        <x:v>Legal &amp; Compliance</x:v>
      </x:c>
      <x:c r="C1318" s="5" t="str">
        <x:v>General &amp; Administrative</x:v>
      </x:c>
      <x:c r="D1318" s="5" t="str">
        <x:v>US East</x:v>
      </x:c>
      <x:c r="E1318" s="10" t="n">
        <x:v>3</x:v>
      </x:c>
      <x:c r="F1318" s="7" t="n">
        <x:v>116963.53</x:v>
      </x:c>
      <x:c r="G1318" s="8"/>
    </x:row>
    <x:row r="1319">
      <x:c r="A1319" s="6" t="n">
        <x:v>46174</x:v>
      </x:c>
      <x:c r="B1319" s="5" t="str">
        <x:v>Information Technology</x:v>
      </x:c>
      <x:c r="C1319" s="5" t="str">
        <x:v>General &amp; Administrative</x:v>
      </x:c>
      <x:c r="D1319" s="5" t="str">
        <x:v>US East</x:v>
      </x:c>
      <x:c r="E1319" s="10" t="n">
        <x:v>4</x:v>
      </x:c>
      <x:c r="F1319" s="7" t="n">
        <x:v>60333.81</x:v>
      </x:c>
      <x:c r="G1319" s="8"/>
    </x:row>
    <x:row r="1320">
      <x:c r="A1320" s="6" t="n">
        <x:v>46174</x:v>
      </x:c>
      <x:c r="B1320" s="5" t="str">
        <x:v>Executive</x:v>
      </x:c>
      <x:c r="C1320" s="5" t="str">
        <x:v>General &amp; Administrative</x:v>
      </x:c>
      <x:c r="D1320" s="5" t="str">
        <x:v>US East</x:v>
      </x:c>
      <x:c r="E1320" s="10" t="n">
        <x:v>1</x:v>
      </x:c>
      <x:c r="F1320" s="7" t="n">
        <x:v>26323.62</x:v>
      </x:c>
      <x:c r="G1320" s="8"/>
    </x:row>
    <x:row r="1321">
      <x:c r="A1321" s="6" t="n">
        <x:v>44927</x:v>
      </x:c>
      <x:c r="B1321" s="5" t="str">
        <x:v>Cloud Operations</x:v>
      </x:c>
      <x:c r="C1321" s="5" t="str">
        <x:v>Cost of Revenue</x:v>
      </x:c>
      <x:c r="D1321" s="5" t="str">
        <x:v>Canada</x:v>
      </x:c>
      <x:c r="E1321" s="10" t="n">
        <x:v>4</x:v>
      </x:c>
      <x:c r="F1321" s="7" t="n">
        <x:v>60613.27</x:v>
      </x:c>
      <x:c r="G1321" s="8"/>
    </x:row>
    <x:row r="1322">
      <x:c r="A1322" s="6" t="n">
        <x:v>44927</x:v>
      </x:c>
      <x:c r="B1322" s="5" t="str">
        <x:v>Customer Support</x:v>
      </x:c>
      <x:c r="C1322" s="5" t="str">
        <x:v>Cost of Revenue</x:v>
      </x:c>
      <x:c r="D1322" s="5" t="str">
        <x:v>Canada</x:v>
      </x:c>
      <x:c r="E1322" s="10" t="n">
        <x:v>5</x:v>
      </x:c>
      <x:c r="F1322" s="7" t="n">
        <x:v>34178.31</x:v>
      </x:c>
      <x:c r="G1322" s="8"/>
    </x:row>
    <x:row r="1323">
      <x:c r="A1323" s="6" t="n">
        <x:v>44927</x:v>
      </x:c>
      <x:c r="B1323" s="5" t="str">
        <x:v>Professional Services</x:v>
      </x:c>
      <x:c r="C1323" s="5" t="str">
        <x:v>Cost of Revenue</x:v>
      </x:c>
      <x:c r="D1323" s="5" t="str">
        <x:v>Canada</x:v>
      </x:c>
      <x:c r="E1323" s="10" t="n">
        <x:v>4</x:v>
      </x:c>
      <x:c r="F1323" s="7" t="n">
        <x:v>44561.41</x:v>
      </x:c>
      <x:c r="G1323" s="8" t="n">
        <x:v>0.7212</x:v>
      </x:c>
    </x:row>
    <x:row r="1324">
      <x:c r="A1324" s="6" t="n">
        <x:v>44927</x:v>
      </x:c>
      <x:c r="B1324" s="5" t="str">
        <x:v>Sales</x:v>
      </x:c>
      <x:c r="C1324" s="5" t="str">
        <x:v>Sales &amp; Marketing</x:v>
      </x:c>
      <x:c r="D1324" s="5" t="str">
        <x:v>Canada</x:v>
      </x:c>
      <x:c r="E1324" s="10" t="n">
        <x:v>5</x:v>
      </x:c>
      <x:c r="F1324" s="7" t="n">
        <x:v>47523.25</x:v>
      </x:c>
      <x:c r="G1324" s="8"/>
    </x:row>
    <x:row r="1325">
      <x:c r="A1325" s="6" t="n">
        <x:v>44927</x:v>
      </x:c>
      <x:c r="B1325" s="5" t="str">
        <x:v>Marketing</x:v>
      </x:c>
      <x:c r="C1325" s="5" t="str">
        <x:v>Sales &amp; Marketing</x:v>
      </x:c>
      <x:c r="D1325" s="5" t="str">
        <x:v>Canada</x:v>
      </x:c>
      <x:c r="E1325" s="10" t="n">
        <x:v>4</x:v>
      </x:c>
      <x:c r="F1325" s="7" t="n">
        <x:v>36102.19</x:v>
      </x:c>
      <x:c r="G1325" s="8"/>
    </x:row>
    <x:row r="1326">
      <x:c r="A1326" s="6" t="n">
        <x:v>44927</x:v>
      </x:c>
      <x:c r="B1326" s="5" t="str">
        <x:v>Product &amp; Engineering</x:v>
      </x:c>
      <x:c r="C1326" s="5" t="str">
        <x:v>Research &amp; Development</x:v>
      </x:c>
      <x:c r="D1326" s="5" t="str">
        <x:v>Canada</x:v>
      </x:c>
      <x:c r="E1326" s="10" t="n">
        <x:v>13</x:v>
      </x:c>
      <x:c r="F1326" s="7" t="n">
        <x:v>192877.58</x:v>
      </x:c>
      <x:c r="G1326" s="8"/>
    </x:row>
    <x:row r="1327">
      <x:c r="A1327" s="6" t="n">
        <x:v>44927</x:v>
      </x:c>
      <x:c r="B1327" s="5" t="str">
        <x:v>Finance</x:v>
      </x:c>
      <x:c r="C1327" s="5" t="str">
        <x:v>General &amp; Administrative</x:v>
      </x:c>
      <x:c r="D1327" s="5" t="str">
        <x:v>Canada</x:v>
      </x:c>
      <x:c r="E1327" s="10" t="n">
        <x:v>1</x:v>
      </x:c>
      <x:c r="F1327" s="7" t="n">
        <x:v>9293.75</x:v>
      </x:c>
      <x:c r="G1327" s="8"/>
    </x:row>
    <x:row r="1328">
      <x:c r="A1328" s="6" t="n">
        <x:v>44927</x:v>
      </x:c>
      <x:c r="B1328" s="5" t="str">
        <x:v>People</x:v>
      </x:c>
      <x:c r="C1328" s="5" t="str">
        <x:v>General &amp; Administrative</x:v>
      </x:c>
      <x:c r="D1328" s="5" t="str">
        <x:v>Canada</x:v>
      </x:c>
      <x:c r="E1328" s="10" t="n">
        <x:v>1</x:v>
      </x:c>
      <x:c r="F1328" s="7" t="n">
        <x:v>21572.63</x:v>
      </x:c>
      <x:c r="G1328" s="8"/>
    </x:row>
    <x:row r="1329">
      <x:c r="A1329" s="6" t="n">
        <x:v>44927</x:v>
      </x:c>
      <x:c r="B1329" s="5" t="str">
        <x:v>Information Technology</x:v>
      </x:c>
      <x:c r="C1329" s="5" t="str">
        <x:v>General &amp; Administrative</x:v>
      </x:c>
      <x:c r="D1329" s="5" t="str">
        <x:v>Canada</x:v>
      </x:c>
      <x:c r="E1329" s="10" t="n">
        <x:v>3</x:v>
      </x:c>
      <x:c r="F1329" s="7" t="n">
        <x:v>35936.18</x:v>
      </x:c>
      <x:c r="G1329" s="8"/>
    </x:row>
    <x:row r="1330">
      <x:c r="A1330" s="6" t="n">
        <x:v>44958</x:v>
      </x:c>
      <x:c r="B1330" s="5" t="str">
        <x:v>Cloud Operations</x:v>
      </x:c>
      <x:c r="C1330" s="5" t="str">
        <x:v>Cost of Revenue</x:v>
      </x:c>
      <x:c r="D1330" s="5" t="str">
        <x:v>Canada</x:v>
      </x:c>
      <x:c r="E1330" s="10" t="n">
        <x:v>4</x:v>
      </x:c>
      <x:c r="F1330" s="7" t="n">
        <x:v>60613.27</x:v>
      </x:c>
      <x:c r="G1330" s="8"/>
    </x:row>
    <x:row r="1331">
      <x:c r="A1331" s="6" t="n">
        <x:v>44958</x:v>
      </x:c>
      <x:c r="B1331" s="5" t="str">
        <x:v>Customer Support</x:v>
      </x:c>
      <x:c r="C1331" s="5" t="str">
        <x:v>Cost of Revenue</x:v>
      </x:c>
      <x:c r="D1331" s="5" t="str">
        <x:v>Canada</x:v>
      </x:c>
      <x:c r="E1331" s="10" t="n">
        <x:v>5</x:v>
      </x:c>
      <x:c r="F1331" s="7" t="n">
        <x:v>34178.31</x:v>
      </x:c>
      <x:c r="G1331" s="8"/>
    </x:row>
    <x:row r="1332">
      <x:c r="A1332" s="6" t="n">
        <x:v>44958</x:v>
      </x:c>
      <x:c r="B1332" s="5" t="str">
        <x:v>Professional Services</x:v>
      </x:c>
      <x:c r="C1332" s="5" t="str">
        <x:v>Cost of Revenue</x:v>
      </x:c>
      <x:c r="D1332" s="5" t="str">
        <x:v>Canada</x:v>
      </x:c>
      <x:c r="E1332" s="10" t="n">
        <x:v>4</x:v>
      </x:c>
      <x:c r="F1332" s="7" t="n">
        <x:v>44561.41</x:v>
      </x:c>
      <x:c r="G1332" s="8" t="n">
        <x:v>0.7249</x:v>
      </x:c>
    </x:row>
    <x:row r="1333">
      <x:c r="A1333" s="6" t="n">
        <x:v>44958</x:v>
      </x:c>
      <x:c r="B1333" s="5" t="str">
        <x:v>Sales</x:v>
      </x:c>
      <x:c r="C1333" s="5" t="str">
        <x:v>Sales &amp; Marketing</x:v>
      </x:c>
      <x:c r="D1333" s="5" t="str">
        <x:v>Canada</x:v>
      </x:c>
      <x:c r="E1333" s="10" t="n">
        <x:v>5</x:v>
      </x:c>
      <x:c r="F1333" s="7" t="n">
        <x:v>47523.25</x:v>
      </x:c>
      <x:c r="G1333" s="8"/>
    </x:row>
    <x:row r="1334">
      <x:c r="A1334" s="6" t="n">
        <x:v>44958</x:v>
      </x:c>
      <x:c r="B1334" s="5" t="str">
        <x:v>Marketing</x:v>
      </x:c>
      <x:c r="C1334" s="5" t="str">
        <x:v>Sales &amp; Marketing</x:v>
      </x:c>
      <x:c r="D1334" s="5" t="str">
        <x:v>Canada</x:v>
      </x:c>
      <x:c r="E1334" s="10" t="n">
        <x:v>4</x:v>
      </x:c>
      <x:c r="F1334" s="7" t="n">
        <x:v>36102.19</x:v>
      </x:c>
      <x:c r="G1334" s="8"/>
    </x:row>
    <x:row r="1335">
      <x:c r="A1335" s="6" t="n">
        <x:v>44958</x:v>
      </x:c>
      <x:c r="B1335" s="5" t="str">
        <x:v>Product &amp; Engineering</x:v>
      </x:c>
      <x:c r="C1335" s="5" t="str">
        <x:v>Research &amp; Development</x:v>
      </x:c>
      <x:c r="D1335" s="5" t="str">
        <x:v>Canada</x:v>
      </x:c>
      <x:c r="E1335" s="10" t="n">
        <x:v>13</x:v>
      </x:c>
      <x:c r="F1335" s="7" t="n">
        <x:v>192877.58</x:v>
      </x:c>
      <x:c r="G1335" s="8"/>
    </x:row>
    <x:row r="1336">
      <x:c r="A1336" s="6" t="n">
        <x:v>44958</x:v>
      </x:c>
      <x:c r="B1336" s="5" t="str">
        <x:v>Finance</x:v>
      </x:c>
      <x:c r="C1336" s="5" t="str">
        <x:v>General &amp; Administrative</x:v>
      </x:c>
      <x:c r="D1336" s="5" t="str">
        <x:v>Canada</x:v>
      </x:c>
      <x:c r="E1336" s="10" t="n">
        <x:v>1</x:v>
      </x:c>
      <x:c r="F1336" s="7" t="n">
        <x:v>9293.75</x:v>
      </x:c>
      <x:c r="G1336" s="8"/>
    </x:row>
    <x:row r="1337">
      <x:c r="A1337" s="6" t="n">
        <x:v>44958</x:v>
      </x:c>
      <x:c r="B1337" s="5" t="str">
        <x:v>People</x:v>
      </x:c>
      <x:c r="C1337" s="5" t="str">
        <x:v>General &amp; Administrative</x:v>
      </x:c>
      <x:c r="D1337" s="5" t="str">
        <x:v>Canada</x:v>
      </x:c>
      <x:c r="E1337" s="10" t="n">
        <x:v>1</x:v>
      </x:c>
      <x:c r="F1337" s="7" t="n">
        <x:v>21572.63</x:v>
      </x:c>
      <x:c r="G1337" s="8"/>
    </x:row>
    <x:row r="1338">
      <x:c r="A1338" s="6" t="n">
        <x:v>44958</x:v>
      </x:c>
      <x:c r="B1338" s="5" t="str">
        <x:v>Information Technology</x:v>
      </x:c>
      <x:c r="C1338" s="5" t="str">
        <x:v>General &amp; Administrative</x:v>
      </x:c>
      <x:c r="D1338" s="5" t="str">
        <x:v>Canada</x:v>
      </x:c>
      <x:c r="E1338" s="10" t="n">
        <x:v>3</x:v>
      </x:c>
      <x:c r="F1338" s="7" t="n">
        <x:v>35936.18</x:v>
      </x:c>
      <x:c r="G1338" s="8"/>
    </x:row>
    <x:row r="1339">
      <x:c r="A1339" s="6" t="n">
        <x:v>44986</x:v>
      </x:c>
      <x:c r="B1339" s="5" t="str">
        <x:v>Cloud Operations</x:v>
      </x:c>
      <x:c r="C1339" s="5" t="str">
        <x:v>Cost of Revenue</x:v>
      </x:c>
      <x:c r="D1339" s="5" t="str">
        <x:v>Canada</x:v>
      </x:c>
      <x:c r="E1339" s="10" t="n">
        <x:v>4</x:v>
      </x:c>
      <x:c r="F1339" s="7" t="n">
        <x:v>60613.27</x:v>
      </x:c>
      <x:c r="G1339" s="8"/>
    </x:row>
    <x:row r="1340">
      <x:c r="A1340" s="6" t="n">
        <x:v>44986</x:v>
      </x:c>
      <x:c r="B1340" s="5" t="str">
        <x:v>Customer Support</x:v>
      </x:c>
      <x:c r="C1340" s="5" t="str">
        <x:v>Cost of Revenue</x:v>
      </x:c>
      <x:c r="D1340" s="5" t="str">
        <x:v>Canada</x:v>
      </x:c>
      <x:c r="E1340" s="10" t="n">
        <x:v>5</x:v>
      </x:c>
      <x:c r="F1340" s="7" t="n">
        <x:v>34178.31</x:v>
      </x:c>
      <x:c r="G1340" s="8"/>
    </x:row>
    <x:row r="1341">
      <x:c r="A1341" s="6" t="n">
        <x:v>44986</x:v>
      </x:c>
      <x:c r="B1341" s="5" t="str">
        <x:v>Professional Services</x:v>
      </x:c>
      <x:c r="C1341" s="5" t="str">
        <x:v>Cost of Revenue</x:v>
      </x:c>
      <x:c r="D1341" s="5" t="str">
        <x:v>Canada</x:v>
      </x:c>
      <x:c r="E1341" s="10" t="n">
        <x:v>4</x:v>
      </x:c>
      <x:c r="F1341" s="7" t="n">
        <x:v>44561.41</x:v>
      </x:c>
      <x:c r="G1341" s="8" t="n">
        <x:v>0.7472</x:v>
      </x:c>
    </x:row>
    <x:row r="1342">
      <x:c r="A1342" s="6" t="n">
        <x:v>44986</x:v>
      </x:c>
      <x:c r="B1342" s="5" t="str">
        <x:v>Sales</x:v>
      </x:c>
      <x:c r="C1342" s="5" t="str">
        <x:v>Sales &amp; Marketing</x:v>
      </x:c>
      <x:c r="D1342" s="5" t="str">
        <x:v>Canada</x:v>
      </x:c>
      <x:c r="E1342" s="10" t="n">
        <x:v>5</x:v>
      </x:c>
      <x:c r="F1342" s="7" t="n">
        <x:v>47523.25</x:v>
      </x:c>
      <x:c r="G1342" s="8"/>
    </x:row>
    <x:row r="1343">
      <x:c r="A1343" s="6" t="n">
        <x:v>44986</x:v>
      </x:c>
      <x:c r="B1343" s="5" t="str">
        <x:v>Marketing</x:v>
      </x:c>
      <x:c r="C1343" s="5" t="str">
        <x:v>Sales &amp; Marketing</x:v>
      </x:c>
      <x:c r="D1343" s="5" t="str">
        <x:v>Canada</x:v>
      </x:c>
      <x:c r="E1343" s="10" t="n">
        <x:v>4</x:v>
      </x:c>
      <x:c r="F1343" s="7" t="n">
        <x:v>36102.19</x:v>
      </x:c>
      <x:c r="G1343" s="8"/>
    </x:row>
    <x:row r="1344">
      <x:c r="A1344" s="6" t="n">
        <x:v>44986</x:v>
      </x:c>
      <x:c r="B1344" s="5" t="str">
        <x:v>Product &amp; Engineering</x:v>
      </x:c>
      <x:c r="C1344" s="5" t="str">
        <x:v>Research &amp; Development</x:v>
      </x:c>
      <x:c r="D1344" s="5" t="str">
        <x:v>Canada</x:v>
      </x:c>
      <x:c r="E1344" s="10" t="n">
        <x:v>12</x:v>
      </x:c>
      <x:c r="F1344" s="7" t="n">
        <x:v>177651.95</x:v>
      </x:c>
      <x:c r="G1344" s="8"/>
    </x:row>
    <x:row r="1345">
      <x:c r="A1345" s="6" t="n">
        <x:v>44986</x:v>
      </x:c>
      <x:c r="B1345" s="5" t="str">
        <x:v>Finance</x:v>
      </x:c>
      <x:c r="C1345" s="5" t="str">
        <x:v>General &amp; Administrative</x:v>
      </x:c>
      <x:c r="D1345" s="5" t="str">
        <x:v>Canada</x:v>
      </x:c>
      <x:c r="E1345" s="10" t="n">
        <x:v>1</x:v>
      </x:c>
      <x:c r="F1345" s="7" t="n">
        <x:v>9293.75</x:v>
      </x:c>
      <x:c r="G1345" s="8"/>
    </x:row>
    <x:row r="1346">
      <x:c r="A1346" s="6" t="n">
        <x:v>44986</x:v>
      </x:c>
      <x:c r="B1346" s="5" t="str">
        <x:v>People</x:v>
      </x:c>
      <x:c r="C1346" s="5" t="str">
        <x:v>General &amp; Administrative</x:v>
      </x:c>
      <x:c r="D1346" s="5" t="str">
        <x:v>Canada</x:v>
      </x:c>
      <x:c r="E1346" s="10" t="n">
        <x:v>1</x:v>
      </x:c>
      <x:c r="F1346" s="7" t="n">
        <x:v>21572.63</x:v>
      </x:c>
      <x:c r="G1346" s="8"/>
    </x:row>
    <x:row r="1347">
      <x:c r="A1347" s="6" t="n">
        <x:v>44986</x:v>
      </x:c>
      <x:c r="B1347" s="5" t="str">
        <x:v>Information Technology</x:v>
      </x:c>
      <x:c r="C1347" s="5" t="str">
        <x:v>General &amp; Administrative</x:v>
      </x:c>
      <x:c r="D1347" s="5" t="str">
        <x:v>Canada</x:v>
      </x:c>
      <x:c r="E1347" s="10" t="n">
        <x:v>3</x:v>
      </x:c>
      <x:c r="F1347" s="7" t="n">
        <x:v>35936.18</x:v>
      </x:c>
      <x:c r="G1347" s="8"/>
    </x:row>
    <x:row r="1348">
      <x:c r="A1348" s="6" t="n">
        <x:v>45017</x:v>
      </x:c>
      <x:c r="B1348" s="5" t="str">
        <x:v>Cloud Operations</x:v>
      </x:c>
      <x:c r="C1348" s="5" t="str">
        <x:v>Cost of Revenue</x:v>
      </x:c>
      <x:c r="D1348" s="5" t="str">
        <x:v>Canada</x:v>
      </x:c>
      <x:c r="E1348" s="10" t="n">
        <x:v>4</x:v>
      </x:c>
      <x:c r="F1348" s="7" t="n">
        <x:v>60613.27</x:v>
      </x:c>
      <x:c r="G1348" s="8"/>
    </x:row>
    <x:row r="1349">
      <x:c r="A1349" s="6" t="n">
        <x:v>45017</x:v>
      </x:c>
      <x:c r="B1349" s="5" t="str">
        <x:v>Customer Support</x:v>
      </x:c>
      <x:c r="C1349" s="5" t="str">
        <x:v>Cost of Revenue</x:v>
      </x:c>
      <x:c r="D1349" s="5" t="str">
        <x:v>Canada</x:v>
      </x:c>
      <x:c r="E1349" s="10" t="n">
        <x:v>5</x:v>
      </x:c>
      <x:c r="F1349" s="7" t="n">
        <x:v>34178.31</x:v>
      </x:c>
      <x:c r="G1349" s="8"/>
    </x:row>
    <x:row r="1350">
      <x:c r="A1350" s="6" t="n">
        <x:v>45017</x:v>
      </x:c>
      <x:c r="B1350" s="5" t="str">
        <x:v>Professional Services</x:v>
      </x:c>
      <x:c r="C1350" s="5" t="str">
        <x:v>Cost of Revenue</x:v>
      </x:c>
      <x:c r="D1350" s="5" t="str">
        <x:v>Canada</x:v>
      </x:c>
      <x:c r="E1350" s="10" t="n">
        <x:v>5</x:v>
      </x:c>
      <x:c r="F1350" s="7" t="n">
        <x:v>56328.64</x:v>
      </x:c>
      <x:c r="G1350" s="8" t="n">
        <x:v>0.7832</x:v>
      </x:c>
    </x:row>
    <x:row r="1351">
      <x:c r="A1351" s="6" t="n">
        <x:v>45017</x:v>
      </x:c>
      <x:c r="B1351" s="5" t="str">
        <x:v>Sales</x:v>
      </x:c>
      <x:c r="C1351" s="5" t="str">
        <x:v>Sales &amp; Marketing</x:v>
      </x:c>
      <x:c r="D1351" s="5" t="str">
        <x:v>Canada</x:v>
      </x:c>
      <x:c r="E1351" s="10" t="n">
        <x:v>5</x:v>
      </x:c>
      <x:c r="F1351" s="7" t="n">
        <x:v>47523.25</x:v>
      </x:c>
      <x:c r="G1351" s="8"/>
    </x:row>
    <x:row r="1352">
      <x:c r="A1352" s="6" t="n">
        <x:v>45017</x:v>
      </x:c>
      <x:c r="B1352" s="5" t="str">
        <x:v>Marketing</x:v>
      </x:c>
      <x:c r="C1352" s="5" t="str">
        <x:v>Sales &amp; Marketing</x:v>
      </x:c>
      <x:c r="D1352" s="5" t="str">
        <x:v>Canada</x:v>
      </x:c>
      <x:c r="E1352" s="10" t="n">
        <x:v>4</x:v>
      </x:c>
      <x:c r="F1352" s="7" t="n">
        <x:v>36102.19</x:v>
      </x:c>
      <x:c r="G1352" s="8"/>
    </x:row>
    <x:row r="1353">
      <x:c r="A1353" s="6" t="n">
        <x:v>45017</x:v>
      </x:c>
      <x:c r="B1353" s="5" t="str">
        <x:v>Product &amp; Engineering</x:v>
      </x:c>
      <x:c r="C1353" s="5" t="str">
        <x:v>Research &amp; Development</x:v>
      </x:c>
      <x:c r="D1353" s="5" t="str">
        <x:v>Canada</x:v>
      </x:c>
      <x:c r="E1353" s="10" t="n">
        <x:v>12</x:v>
      </x:c>
      <x:c r="F1353" s="7" t="n">
        <x:v>177651.95</x:v>
      </x:c>
      <x:c r="G1353" s="8"/>
    </x:row>
    <x:row r="1354">
      <x:c r="A1354" s="6" t="n">
        <x:v>45017</x:v>
      </x:c>
      <x:c r="B1354" s="5" t="str">
        <x:v>Finance</x:v>
      </x:c>
      <x:c r="C1354" s="5" t="str">
        <x:v>General &amp; Administrative</x:v>
      </x:c>
      <x:c r="D1354" s="5" t="str">
        <x:v>Canada</x:v>
      </x:c>
      <x:c r="E1354" s="10" t="n">
        <x:v>1</x:v>
      </x:c>
      <x:c r="F1354" s="7" t="n">
        <x:v>9293.75</x:v>
      </x:c>
      <x:c r="G1354" s="8"/>
    </x:row>
    <x:row r="1355">
      <x:c r="A1355" s="6" t="n">
        <x:v>45017</x:v>
      </x:c>
      <x:c r="B1355" s="5" t="str">
        <x:v>People</x:v>
      </x:c>
      <x:c r="C1355" s="5" t="str">
        <x:v>General &amp; Administrative</x:v>
      </x:c>
      <x:c r="D1355" s="5" t="str">
        <x:v>Canada</x:v>
      </x:c>
      <x:c r="E1355" s="10" t="n">
        <x:v>1</x:v>
      </x:c>
      <x:c r="F1355" s="7" t="n">
        <x:v>21572.63</x:v>
      </x:c>
      <x:c r="G1355" s="8"/>
    </x:row>
    <x:row r="1356">
      <x:c r="A1356" s="6" t="n">
        <x:v>45017</x:v>
      </x:c>
      <x:c r="B1356" s="5" t="str">
        <x:v>Legal &amp; Compliance</x:v>
      </x:c>
      <x:c r="C1356" s="5" t="str">
        <x:v>General &amp; Administrative</x:v>
      </x:c>
      <x:c r="D1356" s="5" t="str">
        <x:v>Canada</x:v>
      </x:c>
      <x:c r="E1356" s="10" t="n">
        <x:v>1</x:v>
      </x:c>
      <x:c r="F1356" s="7" t="n">
        <x:v>16699.33</x:v>
      </x:c>
      <x:c r="G1356" s="8"/>
    </x:row>
    <x:row r="1357">
      <x:c r="A1357" s="6" t="n">
        <x:v>45017</x:v>
      </x:c>
      <x:c r="B1357" s="5" t="str">
        <x:v>Information Technology</x:v>
      </x:c>
      <x:c r="C1357" s="5" t="str">
        <x:v>General &amp; Administrative</x:v>
      </x:c>
      <x:c r="D1357" s="5" t="str">
        <x:v>Canada</x:v>
      </x:c>
      <x:c r="E1357" s="10" t="n">
        <x:v>3</x:v>
      </x:c>
      <x:c r="F1357" s="7" t="n">
        <x:v>35936.18</x:v>
      </x:c>
      <x:c r="G1357" s="8"/>
    </x:row>
    <x:row r="1358">
      <x:c r="A1358" s="6" t="n">
        <x:v>45047</x:v>
      </x:c>
      <x:c r="B1358" s="5" t="str">
        <x:v>Cloud Operations</x:v>
      </x:c>
      <x:c r="C1358" s="5" t="str">
        <x:v>Cost of Revenue</x:v>
      </x:c>
      <x:c r="D1358" s="5" t="str">
        <x:v>Canada</x:v>
      </x:c>
      <x:c r="E1358" s="10" t="n">
        <x:v>4</x:v>
      </x:c>
      <x:c r="F1358" s="7" t="n">
        <x:v>60613.27</x:v>
      </x:c>
      <x:c r="G1358" s="8"/>
    </x:row>
    <x:row r="1359">
      <x:c r="A1359" s="6" t="n">
        <x:v>45047</x:v>
      </x:c>
      <x:c r="B1359" s="5" t="str">
        <x:v>Customer Support</x:v>
      </x:c>
      <x:c r="C1359" s="5" t="str">
        <x:v>Cost of Revenue</x:v>
      </x:c>
      <x:c r="D1359" s="5" t="str">
        <x:v>Canada</x:v>
      </x:c>
      <x:c r="E1359" s="10" t="n">
        <x:v>5</x:v>
      </x:c>
      <x:c r="F1359" s="7" t="n">
        <x:v>34178.31</x:v>
      </x:c>
      <x:c r="G1359" s="8"/>
    </x:row>
    <x:row r="1360">
      <x:c r="A1360" s="6" t="n">
        <x:v>45047</x:v>
      </x:c>
      <x:c r="B1360" s="5" t="str">
        <x:v>Professional Services</x:v>
      </x:c>
      <x:c r="C1360" s="5" t="str">
        <x:v>Cost of Revenue</x:v>
      </x:c>
      <x:c r="D1360" s="5" t="str">
        <x:v>Canada</x:v>
      </x:c>
      <x:c r="E1360" s="10" t="n">
        <x:v>5</x:v>
      </x:c>
      <x:c r="F1360" s="7" t="n">
        <x:v>56328.64</x:v>
      </x:c>
      <x:c r="G1360" s="8" t="n">
        <x:v>0.7436</x:v>
      </x:c>
    </x:row>
    <x:row r="1361">
      <x:c r="A1361" s="6" t="n">
        <x:v>45047</x:v>
      </x:c>
      <x:c r="B1361" s="5" t="str">
        <x:v>Sales</x:v>
      </x:c>
      <x:c r="C1361" s="5" t="str">
        <x:v>Sales &amp; Marketing</x:v>
      </x:c>
      <x:c r="D1361" s="5" t="str">
        <x:v>Canada</x:v>
      </x:c>
      <x:c r="E1361" s="10" t="n">
        <x:v>5</x:v>
      </x:c>
      <x:c r="F1361" s="7" t="n">
        <x:v>47523.25</x:v>
      </x:c>
      <x:c r="G1361" s="8"/>
    </x:row>
    <x:row r="1362">
      <x:c r="A1362" s="6" t="n">
        <x:v>45047</x:v>
      </x:c>
      <x:c r="B1362" s="5" t="str">
        <x:v>Marketing</x:v>
      </x:c>
      <x:c r="C1362" s="5" t="str">
        <x:v>Sales &amp; Marketing</x:v>
      </x:c>
      <x:c r="D1362" s="5" t="str">
        <x:v>Canada</x:v>
      </x:c>
      <x:c r="E1362" s="10" t="n">
        <x:v>4</x:v>
      </x:c>
      <x:c r="F1362" s="7" t="n">
        <x:v>36102.19</x:v>
      </x:c>
      <x:c r="G1362" s="8"/>
    </x:row>
    <x:row r="1363">
      <x:c r="A1363" s="6" t="n">
        <x:v>45047</x:v>
      </x:c>
      <x:c r="B1363" s="5" t="str">
        <x:v>Product &amp; Engineering</x:v>
      </x:c>
      <x:c r="C1363" s="5" t="str">
        <x:v>Research &amp; Development</x:v>
      </x:c>
      <x:c r="D1363" s="5" t="str">
        <x:v>Canada</x:v>
      </x:c>
      <x:c r="E1363" s="10" t="n">
        <x:v>12</x:v>
      </x:c>
      <x:c r="F1363" s="7" t="n">
        <x:v>177651.95</x:v>
      </x:c>
      <x:c r="G1363" s="8"/>
    </x:row>
    <x:row r="1364">
      <x:c r="A1364" s="6" t="n">
        <x:v>45047</x:v>
      </x:c>
      <x:c r="B1364" s="5" t="str">
        <x:v>Finance</x:v>
      </x:c>
      <x:c r="C1364" s="5" t="str">
        <x:v>General &amp; Administrative</x:v>
      </x:c>
      <x:c r="D1364" s="5" t="str">
        <x:v>Canada</x:v>
      </x:c>
      <x:c r="E1364" s="10" t="n">
        <x:v>1</x:v>
      </x:c>
      <x:c r="F1364" s="7" t="n">
        <x:v>9293.75</x:v>
      </x:c>
      <x:c r="G1364" s="8"/>
    </x:row>
    <x:row r="1365">
      <x:c r="A1365" s="6" t="n">
        <x:v>45047</x:v>
      </x:c>
      <x:c r="B1365" s="5" t="str">
        <x:v>People</x:v>
      </x:c>
      <x:c r="C1365" s="5" t="str">
        <x:v>General &amp; Administrative</x:v>
      </x:c>
      <x:c r="D1365" s="5" t="str">
        <x:v>Canada</x:v>
      </x:c>
      <x:c r="E1365" s="10" t="n">
        <x:v>1</x:v>
      </x:c>
      <x:c r="F1365" s="7" t="n">
        <x:v>21572.63</x:v>
      </x:c>
      <x:c r="G1365" s="8"/>
    </x:row>
    <x:row r="1366">
      <x:c r="A1366" s="6" t="n">
        <x:v>45047</x:v>
      </x:c>
      <x:c r="B1366" s="5" t="str">
        <x:v>Legal &amp; Compliance</x:v>
      </x:c>
      <x:c r="C1366" s="5" t="str">
        <x:v>General &amp; Administrative</x:v>
      </x:c>
      <x:c r="D1366" s="5" t="str">
        <x:v>Canada</x:v>
      </x:c>
      <x:c r="E1366" s="10" t="n">
        <x:v>1</x:v>
      </x:c>
      <x:c r="F1366" s="7" t="n">
        <x:v>16699.33</x:v>
      </x:c>
      <x:c r="G1366" s="8"/>
    </x:row>
    <x:row r="1367">
      <x:c r="A1367" s="6" t="n">
        <x:v>45047</x:v>
      </x:c>
      <x:c r="B1367" s="5" t="str">
        <x:v>Information Technology</x:v>
      </x:c>
      <x:c r="C1367" s="5" t="str">
        <x:v>General &amp; Administrative</x:v>
      </x:c>
      <x:c r="D1367" s="5" t="str">
        <x:v>Canada</x:v>
      </x:c>
      <x:c r="E1367" s="10" t="n">
        <x:v>3</x:v>
      </x:c>
      <x:c r="F1367" s="7" t="n">
        <x:v>35936.18</x:v>
      </x:c>
      <x:c r="G1367" s="8"/>
    </x:row>
    <x:row r="1368">
      <x:c r="A1368" s="6" t="n">
        <x:v>45078</x:v>
      </x:c>
      <x:c r="B1368" s="5" t="str">
        <x:v>Cloud Operations</x:v>
      </x:c>
      <x:c r="C1368" s="5" t="str">
        <x:v>Cost of Revenue</x:v>
      </x:c>
      <x:c r="D1368" s="5" t="str">
        <x:v>Canada</x:v>
      </x:c>
      <x:c r="E1368" s="10" t="n">
        <x:v>4</x:v>
      </x:c>
      <x:c r="F1368" s="7" t="n">
        <x:v>60613.27</x:v>
      </x:c>
      <x:c r="G1368" s="8"/>
    </x:row>
    <x:row r="1369">
      <x:c r="A1369" s="6" t="n">
        <x:v>45078</x:v>
      </x:c>
      <x:c r="B1369" s="5" t="str">
        <x:v>Customer Support</x:v>
      </x:c>
      <x:c r="C1369" s="5" t="str">
        <x:v>Cost of Revenue</x:v>
      </x:c>
      <x:c r="D1369" s="5" t="str">
        <x:v>Canada</x:v>
      </x:c>
      <x:c r="E1369" s="10" t="n">
        <x:v>5</x:v>
      </x:c>
      <x:c r="F1369" s="7" t="n">
        <x:v>34178.31</x:v>
      </x:c>
      <x:c r="G1369" s="8"/>
    </x:row>
    <x:row r="1370">
      <x:c r="A1370" s="6" t="n">
        <x:v>45078</x:v>
      </x:c>
      <x:c r="B1370" s="5" t="str">
        <x:v>Professional Services</x:v>
      </x:c>
      <x:c r="C1370" s="5" t="str">
        <x:v>Cost of Revenue</x:v>
      </x:c>
      <x:c r="D1370" s="5" t="str">
        <x:v>Canada</x:v>
      </x:c>
      <x:c r="E1370" s="10" t="n">
        <x:v>5</x:v>
      </x:c>
      <x:c r="F1370" s="7" t="n">
        <x:v>56328.64</x:v>
      </x:c>
      <x:c r="G1370" s="8" t="n">
        <x:v>0.7324</x:v>
      </x:c>
    </x:row>
    <x:row r="1371">
      <x:c r="A1371" s="6" t="n">
        <x:v>45078</x:v>
      </x:c>
      <x:c r="B1371" s="5" t="str">
        <x:v>Sales</x:v>
      </x:c>
      <x:c r="C1371" s="5" t="str">
        <x:v>Sales &amp; Marketing</x:v>
      </x:c>
      <x:c r="D1371" s="5" t="str">
        <x:v>Canada</x:v>
      </x:c>
      <x:c r="E1371" s="10" t="n">
        <x:v>5</x:v>
      </x:c>
      <x:c r="F1371" s="7" t="n">
        <x:v>47523.25</x:v>
      </x:c>
      <x:c r="G1371" s="8"/>
    </x:row>
    <x:row r="1372">
      <x:c r="A1372" s="6" t="n">
        <x:v>45078</x:v>
      </x:c>
      <x:c r="B1372" s="5" t="str">
        <x:v>Marketing</x:v>
      </x:c>
      <x:c r="C1372" s="5" t="str">
        <x:v>Sales &amp; Marketing</x:v>
      </x:c>
      <x:c r="D1372" s="5" t="str">
        <x:v>Canada</x:v>
      </x:c>
      <x:c r="E1372" s="10" t="n">
        <x:v>4</x:v>
      </x:c>
      <x:c r="F1372" s="7" t="n">
        <x:v>36102.19</x:v>
      </x:c>
      <x:c r="G1372" s="8"/>
    </x:row>
    <x:row r="1373">
      <x:c r="A1373" s="6" t="n">
        <x:v>45078</x:v>
      </x:c>
      <x:c r="B1373" s="5" t="str">
        <x:v>Product &amp; Engineering</x:v>
      </x:c>
      <x:c r="C1373" s="5" t="str">
        <x:v>Research &amp; Development</x:v>
      </x:c>
      <x:c r="D1373" s="5" t="str">
        <x:v>Canada</x:v>
      </x:c>
      <x:c r="E1373" s="10" t="n">
        <x:v>11</x:v>
      </x:c>
      <x:c r="F1373" s="7" t="n">
        <x:v>165039.75</x:v>
      </x:c>
      <x:c r="G1373" s="8"/>
    </x:row>
    <x:row r="1374">
      <x:c r="A1374" s="6" t="n">
        <x:v>45078</x:v>
      </x:c>
      <x:c r="B1374" s="5" t="str">
        <x:v>Finance</x:v>
      </x:c>
      <x:c r="C1374" s="5" t="str">
        <x:v>General &amp; Administrative</x:v>
      </x:c>
      <x:c r="D1374" s="5" t="str">
        <x:v>Canada</x:v>
      </x:c>
      <x:c r="E1374" s="10" t="n">
        <x:v>1</x:v>
      </x:c>
      <x:c r="F1374" s="7" t="n">
        <x:v>9293.75</x:v>
      </x:c>
      <x:c r="G1374" s="8"/>
    </x:row>
    <x:row r="1375">
      <x:c r="A1375" s="6" t="n">
        <x:v>45078</x:v>
      </x:c>
      <x:c r="B1375" s="5" t="str">
        <x:v>People</x:v>
      </x:c>
      <x:c r="C1375" s="5" t="str">
        <x:v>General &amp; Administrative</x:v>
      </x:c>
      <x:c r="D1375" s="5" t="str">
        <x:v>Canada</x:v>
      </x:c>
      <x:c r="E1375" s="10" t="n">
        <x:v>1</x:v>
      </x:c>
      <x:c r="F1375" s="7" t="n">
        <x:v>21572.63</x:v>
      </x:c>
      <x:c r="G1375" s="8"/>
    </x:row>
    <x:row r="1376">
      <x:c r="A1376" s="6" t="n">
        <x:v>45078</x:v>
      </x:c>
      <x:c r="B1376" s="5" t="str">
        <x:v>Legal &amp; Compliance</x:v>
      </x:c>
      <x:c r="C1376" s="5" t="str">
        <x:v>General &amp; Administrative</x:v>
      </x:c>
      <x:c r="D1376" s="5" t="str">
        <x:v>Canada</x:v>
      </x:c>
      <x:c r="E1376" s="10" t="n">
        <x:v>1</x:v>
      </x:c>
      <x:c r="F1376" s="7" t="n">
        <x:v>16699.33</x:v>
      </x:c>
      <x:c r="G1376" s="8"/>
    </x:row>
    <x:row r="1377">
      <x:c r="A1377" s="6" t="n">
        <x:v>45078</x:v>
      </x:c>
      <x:c r="B1377" s="5" t="str">
        <x:v>Information Technology</x:v>
      </x:c>
      <x:c r="C1377" s="5" t="str">
        <x:v>General &amp; Administrative</x:v>
      </x:c>
      <x:c r="D1377" s="5" t="str">
        <x:v>Canada</x:v>
      </x:c>
      <x:c r="E1377" s="10" t="n">
        <x:v>3</x:v>
      </x:c>
      <x:c r="F1377" s="7" t="n">
        <x:v>35936.18</x:v>
      </x:c>
      <x:c r="G1377" s="8"/>
    </x:row>
    <x:row r="1378">
      <x:c r="A1378" s="6" t="n">
        <x:v>45108</x:v>
      </x:c>
      <x:c r="B1378" s="5" t="str">
        <x:v>Cloud Operations</x:v>
      </x:c>
      <x:c r="C1378" s="5" t="str">
        <x:v>Cost of Revenue</x:v>
      </x:c>
      <x:c r="D1378" s="5" t="str">
        <x:v>Canada</x:v>
      </x:c>
      <x:c r="E1378" s="10" t="n">
        <x:v>4</x:v>
      </x:c>
      <x:c r="F1378" s="7" t="n">
        <x:v>60613.27</x:v>
      </x:c>
      <x:c r="G1378" s="8"/>
    </x:row>
    <x:row r="1379">
      <x:c r="A1379" s="6" t="n">
        <x:v>45108</x:v>
      </x:c>
      <x:c r="B1379" s="5" t="str">
        <x:v>Customer Support</x:v>
      </x:c>
      <x:c r="C1379" s="5" t="str">
        <x:v>Cost of Revenue</x:v>
      </x:c>
      <x:c r="D1379" s="5" t="str">
        <x:v>Canada</x:v>
      </x:c>
      <x:c r="E1379" s="10" t="n">
        <x:v>5</x:v>
      </x:c>
      <x:c r="F1379" s="7" t="n">
        <x:v>34178.31</x:v>
      </x:c>
      <x:c r="G1379" s="8"/>
    </x:row>
    <x:row r="1380">
      <x:c r="A1380" s="6" t="n">
        <x:v>45108</x:v>
      </x:c>
      <x:c r="B1380" s="5" t="str">
        <x:v>Professional Services</x:v>
      </x:c>
      <x:c r="C1380" s="5" t="str">
        <x:v>Cost of Revenue</x:v>
      </x:c>
      <x:c r="D1380" s="5" t="str">
        <x:v>Canada</x:v>
      </x:c>
      <x:c r="E1380" s="10" t="n">
        <x:v>6</x:v>
      </x:c>
      <x:c r="F1380" s="7" t="n">
        <x:v>65676.27</x:v>
      </x:c>
      <x:c r="G1380" s="8" t="n">
        <x:v>0.7906</x:v>
      </x:c>
    </x:row>
    <x:row r="1381">
      <x:c r="A1381" s="6" t="n">
        <x:v>45108</x:v>
      </x:c>
      <x:c r="B1381" s="5" t="str">
        <x:v>Sales</x:v>
      </x:c>
      <x:c r="C1381" s="5" t="str">
        <x:v>Sales &amp; Marketing</x:v>
      </x:c>
      <x:c r="D1381" s="5" t="str">
        <x:v>Canada</x:v>
      </x:c>
      <x:c r="E1381" s="10" t="n">
        <x:v>5</x:v>
      </x:c>
      <x:c r="F1381" s="7" t="n">
        <x:v>47523.25</x:v>
      </x:c>
      <x:c r="G1381" s="8"/>
    </x:row>
    <x:row r="1382">
      <x:c r="A1382" s="6" t="n">
        <x:v>45108</x:v>
      </x:c>
      <x:c r="B1382" s="5" t="str">
        <x:v>Marketing</x:v>
      </x:c>
      <x:c r="C1382" s="5" t="str">
        <x:v>Sales &amp; Marketing</x:v>
      </x:c>
      <x:c r="D1382" s="5" t="str">
        <x:v>Canada</x:v>
      </x:c>
      <x:c r="E1382" s="10" t="n">
        <x:v>4</x:v>
      </x:c>
      <x:c r="F1382" s="7" t="n">
        <x:v>36102.19</x:v>
      </x:c>
      <x:c r="G1382" s="8"/>
    </x:row>
    <x:row r="1383">
      <x:c r="A1383" s="6" t="n">
        <x:v>45108</x:v>
      </x:c>
      <x:c r="B1383" s="5" t="str">
        <x:v>Product &amp; Engineering</x:v>
      </x:c>
      <x:c r="C1383" s="5" t="str">
        <x:v>Research &amp; Development</x:v>
      </x:c>
      <x:c r="D1383" s="5" t="str">
        <x:v>Canada</x:v>
      </x:c>
      <x:c r="E1383" s="10" t="n">
        <x:v>10</x:v>
      </x:c>
      <x:c r="F1383" s="7" t="n">
        <x:v>148318.18</x:v>
      </x:c>
      <x:c r="G1383" s="8"/>
    </x:row>
    <x:row r="1384">
      <x:c r="A1384" s="6" t="n">
        <x:v>45108</x:v>
      </x:c>
      <x:c r="B1384" s="5" t="str">
        <x:v>Finance</x:v>
      </x:c>
      <x:c r="C1384" s="5" t="str">
        <x:v>General &amp; Administrative</x:v>
      </x:c>
      <x:c r="D1384" s="5" t="str">
        <x:v>Canada</x:v>
      </x:c>
      <x:c r="E1384" s="10" t="n">
        <x:v>1</x:v>
      </x:c>
      <x:c r="F1384" s="7" t="n">
        <x:v>9293.75</x:v>
      </x:c>
      <x:c r="G1384" s="8"/>
    </x:row>
    <x:row r="1385">
      <x:c r="A1385" s="6" t="n">
        <x:v>45108</x:v>
      </x:c>
      <x:c r="B1385" s="5" t="str">
        <x:v>People</x:v>
      </x:c>
      <x:c r="C1385" s="5" t="str">
        <x:v>General &amp; Administrative</x:v>
      </x:c>
      <x:c r="D1385" s="5" t="str">
        <x:v>Canada</x:v>
      </x:c>
      <x:c r="E1385" s="10" t="n">
        <x:v>1</x:v>
      </x:c>
      <x:c r="F1385" s="7" t="n">
        <x:v>21572.63</x:v>
      </x:c>
      <x:c r="G1385" s="8"/>
    </x:row>
    <x:row r="1386">
      <x:c r="A1386" s="6" t="n">
        <x:v>45108</x:v>
      </x:c>
      <x:c r="B1386" s="5" t="str">
        <x:v>Legal &amp; Compliance</x:v>
      </x:c>
      <x:c r="C1386" s="5" t="str">
        <x:v>General &amp; Administrative</x:v>
      </x:c>
      <x:c r="D1386" s="5" t="str">
        <x:v>Canada</x:v>
      </x:c>
      <x:c r="E1386" s="10" t="n">
        <x:v>1</x:v>
      </x:c>
      <x:c r="F1386" s="7" t="n">
        <x:v>16699.33</x:v>
      </x:c>
      <x:c r="G1386" s="8"/>
    </x:row>
    <x:row r="1387">
      <x:c r="A1387" s="6" t="n">
        <x:v>45108</x:v>
      </x:c>
      <x:c r="B1387" s="5" t="str">
        <x:v>Information Technology</x:v>
      </x:c>
      <x:c r="C1387" s="5" t="str">
        <x:v>General &amp; Administrative</x:v>
      </x:c>
      <x:c r="D1387" s="5" t="str">
        <x:v>Canada</x:v>
      </x:c>
      <x:c r="E1387" s="10" t="n">
        <x:v>3</x:v>
      </x:c>
      <x:c r="F1387" s="7" t="n">
        <x:v>35936.18</x:v>
      </x:c>
      <x:c r="G1387" s="8"/>
    </x:row>
    <x:row r="1388">
      <x:c r="A1388" s="6" t="n">
        <x:v>45139</x:v>
      </x:c>
      <x:c r="B1388" s="5" t="str">
        <x:v>Cloud Operations</x:v>
      </x:c>
      <x:c r="C1388" s="5" t="str">
        <x:v>Cost of Revenue</x:v>
      </x:c>
      <x:c r="D1388" s="5" t="str">
        <x:v>Canada</x:v>
      </x:c>
      <x:c r="E1388" s="10" t="n">
        <x:v>4</x:v>
      </x:c>
      <x:c r="F1388" s="7" t="n">
        <x:v>60613.27</x:v>
      </x:c>
      <x:c r="G1388" s="8"/>
    </x:row>
    <x:row r="1389">
      <x:c r="A1389" s="6" t="n">
        <x:v>45139</x:v>
      </x:c>
      <x:c r="B1389" s="5" t="str">
        <x:v>Customer Support</x:v>
      </x:c>
      <x:c r="C1389" s="5" t="str">
        <x:v>Cost of Revenue</x:v>
      </x:c>
      <x:c r="D1389" s="5" t="str">
        <x:v>Canada</x:v>
      </x:c>
      <x:c r="E1389" s="10" t="n">
        <x:v>5</x:v>
      </x:c>
      <x:c r="F1389" s="7" t="n">
        <x:v>34178.31</x:v>
      </x:c>
      <x:c r="G1389" s="8"/>
    </x:row>
    <x:row r="1390">
      <x:c r="A1390" s="6" t="n">
        <x:v>45139</x:v>
      </x:c>
      <x:c r="B1390" s="5" t="str">
        <x:v>Professional Services</x:v>
      </x:c>
      <x:c r="C1390" s="5" t="str">
        <x:v>Cost of Revenue</x:v>
      </x:c>
      <x:c r="D1390" s="5" t="str">
        <x:v>Canada</x:v>
      </x:c>
      <x:c r="E1390" s="10" t="n">
        <x:v>6</x:v>
      </x:c>
      <x:c r="F1390" s="7" t="n">
        <x:v>65676.27</x:v>
      </x:c>
      <x:c r="G1390" s="8" t="n">
        <x:v>0.7436</x:v>
      </x:c>
    </x:row>
    <x:row r="1391">
      <x:c r="A1391" s="6" t="n">
        <x:v>45139</x:v>
      </x:c>
      <x:c r="B1391" s="5" t="str">
        <x:v>Sales</x:v>
      </x:c>
      <x:c r="C1391" s="5" t="str">
        <x:v>Sales &amp; Marketing</x:v>
      </x:c>
      <x:c r="D1391" s="5" t="str">
        <x:v>Canada</x:v>
      </x:c>
      <x:c r="E1391" s="10" t="n">
        <x:v>5</x:v>
      </x:c>
      <x:c r="F1391" s="7" t="n">
        <x:v>47523.25</x:v>
      </x:c>
      <x:c r="G1391" s="8"/>
    </x:row>
    <x:row r="1392">
      <x:c r="A1392" s="6" t="n">
        <x:v>45139</x:v>
      </x:c>
      <x:c r="B1392" s="5" t="str">
        <x:v>Marketing</x:v>
      </x:c>
      <x:c r="C1392" s="5" t="str">
        <x:v>Sales &amp; Marketing</x:v>
      </x:c>
      <x:c r="D1392" s="5" t="str">
        <x:v>Canada</x:v>
      </x:c>
      <x:c r="E1392" s="10" t="n">
        <x:v>4</x:v>
      </x:c>
      <x:c r="F1392" s="7" t="n">
        <x:v>36102.19</x:v>
      </x:c>
      <x:c r="G1392" s="8"/>
    </x:row>
    <x:row r="1393">
      <x:c r="A1393" s="6" t="n">
        <x:v>45139</x:v>
      </x:c>
      <x:c r="B1393" s="5" t="str">
        <x:v>Product &amp; Engineering</x:v>
      </x:c>
      <x:c r="C1393" s="5" t="str">
        <x:v>Research &amp; Development</x:v>
      </x:c>
      <x:c r="D1393" s="5" t="str">
        <x:v>Canada</x:v>
      </x:c>
      <x:c r="E1393" s="10" t="n">
        <x:v>10</x:v>
      </x:c>
      <x:c r="F1393" s="7" t="n">
        <x:v>148318.18</x:v>
      </x:c>
      <x:c r="G1393" s="8"/>
    </x:row>
    <x:row r="1394">
      <x:c r="A1394" s="6" t="n">
        <x:v>45139</x:v>
      </x:c>
      <x:c r="B1394" s="5" t="str">
        <x:v>Finance</x:v>
      </x:c>
      <x:c r="C1394" s="5" t="str">
        <x:v>General &amp; Administrative</x:v>
      </x:c>
      <x:c r="D1394" s="5" t="str">
        <x:v>Canada</x:v>
      </x:c>
      <x:c r="E1394" s="10" t="n">
        <x:v>2</x:v>
      </x:c>
      <x:c r="F1394" s="7" t="n">
        <x:v>20044.84</x:v>
      </x:c>
      <x:c r="G1394" s="8"/>
    </x:row>
    <x:row r="1395">
      <x:c r="A1395" s="6" t="n">
        <x:v>45139</x:v>
      </x:c>
      <x:c r="B1395" s="5" t="str">
        <x:v>People</x:v>
      </x:c>
      <x:c r="C1395" s="5" t="str">
        <x:v>General &amp; Administrative</x:v>
      </x:c>
      <x:c r="D1395" s="5" t="str">
        <x:v>Canada</x:v>
      </x:c>
      <x:c r="E1395" s="10" t="n">
        <x:v>1</x:v>
      </x:c>
      <x:c r="F1395" s="7" t="n">
        <x:v>21572.63</x:v>
      </x:c>
      <x:c r="G1395" s="8"/>
    </x:row>
    <x:row r="1396">
      <x:c r="A1396" s="6" t="n">
        <x:v>45139</x:v>
      </x:c>
      <x:c r="B1396" s="5" t="str">
        <x:v>Legal &amp; Compliance</x:v>
      </x:c>
      <x:c r="C1396" s="5" t="str">
        <x:v>General &amp; Administrative</x:v>
      </x:c>
      <x:c r="D1396" s="5" t="str">
        <x:v>Canada</x:v>
      </x:c>
      <x:c r="E1396" s="10" t="n">
        <x:v>1</x:v>
      </x:c>
      <x:c r="F1396" s="7" t="n">
        <x:v>16699.33</x:v>
      </x:c>
      <x:c r="G1396" s="8"/>
    </x:row>
    <x:row r="1397">
      <x:c r="A1397" s="6" t="n">
        <x:v>45139</x:v>
      </x:c>
      <x:c r="B1397" s="5" t="str">
        <x:v>Information Technology</x:v>
      </x:c>
      <x:c r="C1397" s="5" t="str">
        <x:v>General &amp; Administrative</x:v>
      </x:c>
      <x:c r="D1397" s="5" t="str">
        <x:v>Canada</x:v>
      </x:c>
      <x:c r="E1397" s="10" t="n">
        <x:v>3</x:v>
      </x:c>
      <x:c r="F1397" s="7" t="n">
        <x:v>35936.18</x:v>
      </x:c>
      <x:c r="G1397" s="8"/>
    </x:row>
    <x:row r="1398">
      <x:c r="A1398" s="6" t="n">
        <x:v>45170</x:v>
      </x:c>
      <x:c r="B1398" s="5" t="str">
        <x:v>Cloud Operations</x:v>
      </x:c>
      <x:c r="C1398" s="5" t="str">
        <x:v>Cost of Revenue</x:v>
      </x:c>
      <x:c r="D1398" s="5" t="str">
        <x:v>Canada</x:v>
      </x:c>
      <x:c r="E1398" s="10" t="n">
        <x:v>4</x:v>
      </x:c>
      <x:c r="F1398" s="7" t="n">
        <x:v>60613.27</x:v>
      </x:c>
      <x:c r="G1398" s="8"/>
    </x:row>
    <x:row r="1399">
      <x:c r="A1399" s="6" t="n">
        <x:v>45170</x:v>
      </x:c>
      <x:c r="B1399" s="5" t="str">
        <x:v>Customer Support</x:v>
      </x:c>
      <x:c r="C1399" s="5" t="str">
        <x:v>Cost of Revenue</x:v>
      </x:c>
      <x:c r="D1399" s="5" t="str">
        <x:v>Canada</x:v>
      </x:c>
      <x:c r="E1399" s="10" t="n">
        <x:v>5</x:v>
      </x:c>
      <x:c r="F1399" s="7" t="n">
        <x:v>34178.31</x:v>
      </x:c>
      <x:c r="G1399" s="8"/>
    </x:row>
    <x:row r="1400">
      <x:c r="A1400" s="6" t="n">
        <x:v>45170</x:v>
      </x:c>
      <x:c r="B1400" s="5" t="str">
        <x:v>Professional Services</x:v>
      </x:c>
      <x:c r="C1400" s="5" t="str">
        <x:v>Cost of Revenue</x:v>
      </x:c>
      <x:c r="D1400" s="5" t="str">
        <x:v>Canada</x:v>
      </x:c>
      <x:c r="E1400" s="10" t="n">
        <x:v>6</x:v>
      </x:c>
      <x:c r="F1400" s="7" t="n">
        <x:v>65676.27</x:v>
      </x:c>
      <x:c r="G1400" s="8" t="n">
        <x:v>0.7304</x:v>
      </x:c>
    </x:row>
    <x:row r="1401">
      <x:c r="A1401" s="6" t="n">
        <x:v>45170</x:v>
      </x:c>
      <x:c r="B1401" s="5" t="str">
        <x:v>Sales</x:v>
      </x:c>
      <x:c r="C1401" s="5" t="str">
        <x:v>Sales &amp; Marketing</x:v>
      </x:c>
      <x:c r="D1401" s="5" t="str">
        <x:v>Canada</x:v>
      </x:c>
      <x:c r="E1401" s="10" t="n">
        <x:v>5</x:v>
      </x:c>
      <x:c r="F1401" s="7" t="n">
        <x:v>47523.25</x:v>
      </x:c>
      <x:c r="G1401" s="8"/>
    </x:row>
    <x:row r="1402">
      <x:c r="A1402" s="6" t="n">
        <x:v>45170</x:v>
      </x:c>
      <x:c r="B1402" s="5" t="str">
        <x:v>Marketing</x:v>
      </x:c>
      <x:c r="C1402" s="5" t="str">
        <x:v>Sales &amp; Marketing</x:v>
      </x:c>
      <x:c r="D1402" s="5" t="str">
        <x:v>Canada</x:v>
      </x:c>
      <x:c r="E1402" s="10" t="n">
        <x:v>4</x:v>
      </x:c>
      <x:c r="F1402" s="7" t="n">
        <x:v>36102.19</x:v>
      </x:c>
      <x:c r="G1402" s="8"/>
    </x:row>
    <x:row r="1403">
      <x:c r="A1403" s="6" t="n">
        <x:v>45170</x:v>
      </x:c>
      <x:c r="B1403" s="5" t="str">
        <x:v>Product &amp; Engineering</x:v>
      </x:c>
      <x:c r="C1403" s="5" t="str">
        <x:v>Research &amp; Development</x:v>
      </x:c>
      <x:c r="D1403" s="5" t="str">
        <x:v>Canada</x:v>
      </x:c>
      <x:c r="E1403" s="10" t="n">
        <x:v>10</x:v>
      </x:c>
      <x:c r="F1403" s="7" t="n">
        <x:v>148318.18</x:v>
      </x:c>
      <x:c r="G1403" s="8"/>
    </x:row>
    <x:row r="1404">
      <x:c r="A1404" s="6" t="n">
        <x:v>45170</x:v>
      </x:c>
      <x:c r="B1404" s="5" t="str">
        <x:v>Finance</x:v>
      </x:c>
      <x:c r="C1404" s="5" t="str">
        <x:v>General &amp; Administrative</x:v>
      </x:c>
      <x:c r="D1404" s="5" t="str">
        <x:v>Canada</x:v>
      </x:c>
      <x:c r="E1404" s="10" t="n">
        <x:v>2</x:v>
      </x:c>
      <x:c r="F1404" s="7" t="n">
        <x:v>20044.84</x:v>
      </x:c>
      <x:c r="G1404" s="8"/>
    </x:row>
    <x:row r="1405">
      <x:c r="A1405" s="6" t="n">
        <x:v>45170</x:v>
      </x:c>
      <x:c r="B1405" s="5" t="str">
        <x:v>People</x:v>
      </x:c>
      <x:c r="C1405" s="5" t="str">
        <x:v>General &amp; Administrative</x:v>
      </x:c>
      <x:c r="D1405" s="5" t="str">
        <x:v>Canada</x:v>
      </x:c>
      <x:c r="E1405" s="10" t="n">
        <x:v>1</x:v>
      </x:c>
      <x:c r="F1405" s="7" t="n">
        <x:v>21572.63</x:v>
      </x:c>
      <x:c r="G1405" s="8"/>
    </x:row>
    <x:row r="1406">
      <x:c r="A1406" s="6" t="n">
        <x:v>45170</x:v>
      </x:c>
      <x:c r="B1406" s="5" t="str">
        <x:v>Legal &amp; Compliance</x:v>
      </x:c>
      <x:c r="C1406" s="5" t="str">
        <x:v>General &amp; Administrative</x:v>
      </x:c>
      <x:c r="D1406" s="5" t="str">
        <x:v>Canada</x:v>
      </x:c>
      <x:c r="E1406" s="10" t="n">
        <x:v>1</x:v>
      </x:c>
      <x:c r="F1406" s="7" t="n">
        <x:v>16699.33</x:v>
      </x:c>
      <x:c r="G1406" s="8"/>
    </x:row>
    <x:row r="1407">
      <x:c r="A1407" s="6" t="n">
        <x:v>45170</x:v>
      </x:c>
      <x:c r="B1407" s="5" t="str">
        <x:v>Information Technology</x:v>
      </x:c>
      <x:c r="C1407" s="5" t="str">
        <x:v>General &amp; Administrative</x:v>
      </x:c>
      <x:c r="D1407" s="5" t="str">
        <x:v>Canada</x:v>
      </x:c>
      <x:c r="E1407" s="10" t="n">
        <x:v>3</x:v>
      </x:c>
      <x:c r="F1407" s="7" t="n">
        <x:v>35936.18</x:v>
      </x:c>
      <x:c r="G1407" s="8"/>
    </x:row>
    <x:row r="1408">
      <x:c r="A1408" s="6" t="n">
        <x:v>45200</x:v>
      </x:c>
      <x:c r="B1408" s="5" t="str">
        <x:v>Cloud Operations</x:v>
      </x:c>
      <x:c r="C1408" s="5" t="str">
        <x:v>Cost of Revenue</x:v>
      </x:c>
      <x:c r="D1408" s="5" t="str">
        <x:v>Canada</x:v>
      </x:c>
      <x:c r="E1408" s="10" t="n">
        <x:v>4</x:v>
      </x:c>
      <x:c r="F1408" s="7" t="n">
        <x:v>60613.27</x:v>
      </x:c>
      <x:c r="G1408" s="8"/>
    </x:row>
    <x:row r="1409">
      <x:c r="A1409" s="6" t="n">
        <x:v>45200</x:v>
      </x:c>
      <x:c r="B1409" s="5" t="str">
        <x:v>Customer Support</x:v>
      </x:c>
      <x:c r="C1409" s="5" t="str">
        <x:v>Cost of Revenue</x:v>
      </x:c>
      <x:c r="D1409" s="5" t="str">
        <x:v>Canada</x:v>
      </x:c>
      <x:c r="E1409" s="10" t="n">
        <x:v>5</x:v>
      </x:c>
      <x:c r="F1409" s="7" t="n">
        <x:v>34178.31</x:v>
      </x:c>
      <x:c r="G1409" s="8"/>
    </x:row>
    <x:row r="1410">
      <x:c r="A1410" s="6" t="n">
        <x:v>45200</x:v>
      </x:c>
      <x:c r="B1410" s="5" t="str">
        <x:v>Professional Services</x:v>
      </x:c>
      <x:c r="C1410" s="5" t="str">
        <x:v>Cost of Revenue</x:v>
      </x:c>
      <x:c r="D1410" s="5" t="str">
        <x:v>Canada</x:v>
      </x:c>
      <x:c r="E1410" s="10" t="n">
        <x:v>6</x:v>
      </x:c>
      <x:c r="F1410" s="7" t="n">
        <x:v>65676.27</x:v>
      </x:c>
      <x:c r="G1410" s="8" t="n">
        <x:v>0.7842</x:v>
      </x:c>
    </x:row>
    <x:row r="1411">
      <x:c r="A1411" s="6" t="n">
        <x:v>45200</x:v>
      </x:c>
      <x:c r="B1411" s="5" t="str">
        <x:v>Sales</x:v>
      </x:c>
      <x:c r="C1411" s="5" t="str">
        <x:v>Sales &amp; Marketing</x:v>
      </x:c>
      <x:c r="D1411" s="5" t="str">
        <x:v>Canada</x:v>
      </x:c>
      <x:c r="E1411" s="10" t="n">
        <x:v>5</x:v>
      </x:c>
      <x:c r="F1411" s="7" t="n">
        <x:v>47523.25</x:v>
      </x:c>
      <x:c r="G1411" s="8"/>
    </x:row>
    <x:row r="1412">
      <x:c r="A1412" s="6" t="n">
        <x:v>45200</x:v>
      </x:c>
      <x:c r="B1412" s="5" t="str">
        <x:v>Marketing</x:v>
      </x:c>
      <x:c r="C1412" s="5" t="str">
        <x:v>Sales &amp; Marketing</x:v>
      </x:c>
      <x:c r="D1412" s="5" t="str">
        <x:v>Canada</x:v>
      </x:c>
      <x:c r="E1412" s="10" t="n">
        <x:v>4</x:v>
      </x:c>
      <x:c r="F1412" s="7" t="n">
        <x:v>36102.19</x:v>
      </x:c>
      <x:c r="G1412" s="8"/>
    </x:row>
    <x:row r="1413">
      <x:c r="A1413" s="6" t="n">
        <x:v>45200</x:v>
      </x:c>
      <x:c r="B1413" s="5" t="str">
        <x:v>Product &amp; Engineering</x:v>
      </x:c>
      <x:c r="C1413" s="5" t="str">
        <x:v>Research &amp; Development</x:v>
      </x:c>
      <x:c r="D1413" s="5" t="str">
        <x:v>Canada</x:v>
      </x:c>
      <x:c r="E1413" s="10" t="n">
        <x:v>10</x:v>
      </x:c>
      <x:c r="F1413" s="7" t="n">
        <x:v>148318.18</x:v>
      </x:c>
      <x:c r="G1413" s="8"/>
    </x:row>
    <x:row r="1414">
      <x:c r="A1414" s="6" t="n">
        <x:v>45200</x:v>
      </x:c>
      <x:c r="B1414" s="5" t="str">
        <x:v>Finance</x:v>
      </x:c>
      <x:c r="C1414" s="5" t="str">
        <x:v>General &amp; Administrative</x:v>
      </x:c>
      <x:c r="D1414" s="5" t="str">
        <x:v>Canada</x:v>
      </x:c>
      <x:c r="E1414" s="10" t="n">
        <x:v>2</x:v>
      </x:c>
      <x:c r="F1414" s="7" t="n">
        <x:v>20044.84</x:v>
      </x:c>
      <x:c r="G1414" s="8"/>
    </x:row>
    <x:row r="1415">
      <x:c r="A1415" s="6" t="n">
        <x:v>45200</x:v>
      </x:c>
      <x:c r="B1415" s="5" t="str">
        <x:v>People</x:v>
      </x:c>
      <x:c r="C1415" s="5" t="str">
        <x:v>General &amp; Administrative</x:v>
      </x:c>
      <x:c r="D1415" s="5" t="str">
        <x:v>Canada</x:v>
      </x:c>
      <x:c r="E1415" s="10" t="n">
        <x:v>1</x:v>
      </x:c>
      <x:c r="F1415" s="7" t="n">
        <x:v>21572.63</x:v>
      </x:c>
      <x:c r="G1415" s="8"/>
    </x:row>
    <x:row r="1416">
      <x:c r="A1416" s="6" t="n">
        <x:v>45200</x:v>
      </x:c>
      <x:c r="B1416" s="5" t="str">
        <x:v>Legal &amp; Compliance</x:v>
      </x:c>
      <x:c r="C1416" s="5" t="str">
        <x:v>General &amp; Administrative</x:v>
      </x:c>
      <x:c r="D1416" s="5" t="str">
        <x:v>Canada</x:v>
      </x:c>
      <x:c r="E1416" s="10" t="n">
        <x:v>1</x:v>
      </x:c>
      <x:c r="F1416" s="7" t="n">
        <x:v>16699.33</x:v>
      </x:c>
      <x:c r="G1416" s="8"/>
    </x:row>
    <x:row r="1417">
      <x:c r="A1417" s="6" t="n">
        <x:v>45200</x:v>
      </x:c>
      <x:c r="B1417" s="5" t="str">
        <x:v>Information Technology</x:v>
      </x:c>
      <x:c r="C1417" s="5" t="str">
        <x:v>General &amp; Administrative</x:v>
      </x:c>
      <x:c r="D1417" s="5" t="str">
        <x:v>Canada</x:v>
      </x:c>
      <x:c r="E1417" s="10" t="n">
        <x:v>3</x:v>
      </x:c>
      <x:c r="F1417" s="7" t="n">
        <x:v>35936.18</x:v>
      </x:c>
      <x:c r="G1417" s="8"/>
    </x:row>
    <x:row r="1418">
      <x:c r="A1418" s="6" t="n">
        <x:v>45231</x:v>
      </x:c>
      <x:c r="B1418" s="5" t="str">
        <x:v>Cloud Operations</x:v>
      </x:c>
      <x:c r="C1418" s="5" t="str">
        <x:v>Cost of Revenue</x:v>
      </x:c>
      <x:c r="D1418" s="5" t="str">
        <x:v>Canada</x:v>
      </x:c>
      <x:c r="E1418" s="10" t="n">
        <x:v>4</x:v>
      </x:c>
      <x:c r="F1418" s="7" t="n">
        <x:v>60613.27</x:v>
      </x:c>
      <x:c r="G1418" s="8"/>
    </x:row>
    <x:row r="1419">
      <x:c r="A1419" s="6" t="n">
        <x:v>45231</x:v>
      </x:c>
      <x:c r="B1419" s="5" t="str">
        <x:v>Customer Support</x:v>
      </x:c>
      <x:c r="C1419" s="5" t="str">
        <x:v>Cost of Revenue</x:v>
      </x:c>
      <x:c r="D1419" s="5" t="str">
        <x:v>Canada</x:v>
      </x:c>
      <x:c r="E1419" s="10" t="n">
        <x:v>5</x:v>
      </x:c>
      <x:c r="F1419" s="7" t="n">
        <x:v>34178.31</x:v>
      </x:c>
      <x:c r="G1419" s="8"/>
    </x:row>
    <x:row r="1420">
      <x:c r="A1420" s="6" t="n">
        <x:v>45231</x:v>
      </x:c>
      <x:c r="B1420" s="5" t="str">
        <x:v>Professional Services</x:v>
      </x:c>
      <x:c r="C1420" s="5" t="str">
        <x:v>Cost of Revenue</x:v>
      </x:c>
      <x:c r="D1420" s="5" t="str">
        <x:v>Canada</x:v>
      </x:c>
      <x:c r="E1420" s="10" t="n">
        <x:v>6</x:v>
      </x:c>
      <x:c r="F1420" s="7" t="n">
        <x:v>65676.27</x:v>
      </x:c>
      <x:c r="G1420" s="8" t="n">
        <x:v>0.7342</x:v>
      </x:c>
    </x:row>
    <x:row r="1421">
      <x:c r="A1421" s="6" t="n">
        <x:v>45231</x:v>
      </x:c>
      <x:c r="B1421" s="5" t="str">
        <x:v>Sales</x:v>
      </x:c>
      <x:c r="C1421" s="5" t="str">
        <x:v>Sales &amp; Marketing</x:v>
      </x:c>
      <x:c r="D1421" s="5" t="str">
        <x:v>Canada</x:v>
      </x:c>
      <x:c r="E1421" s="10" t="n">
        <x:v>7</x:v>
      </x:c>
      <x:c r="F1421" s="7" t="n">
        <x:v>73307.66</x:v>
      </x:c>
      <x:c r="G1421" s="8"/>
    </x:row>
    <x:row r="1422">
      <x:c r="A1422" s="6" t="n">
        <x:v>45231</x:v>
      </x:c>
      <x:c r="B1422" s="5" t="str">
        <x:v>Marketing</x:v>
      </x:c>
      <x:c r="C1422" s="5" t="str">
        <x:v>Sales &amp; Marketing</x:v>
      </x:c>
      <x:c r="D1422" s="5" t="str">
        <x:v>Canada</x:v>
      </x:c>
      <x:c r="E1422" s="10" t="n">
        <x:v>4</x:v>
      </x:c>
      <x:c r="F1422" s="7" t="n">
        <x:v>36102.19</x:v>
      </x:c>
      <x:c r="G1422" s="8"/>
    </x:row>
    <x:row r="1423">
      <x:c r="A1423" s="6" t="n">
        <x:v>45231</x:v>
      </x:c>
      <x:c r="B1423" s="5" t="str">
        <x:v>Product &amp; Engineering</x:v>
      </x:c>
      <x:c r="C1423" s="5" t="str">
        <x:v>Research &amp; Development</x:v>
      </x:c>
      <x:c r="D1423" s="5" t="str">
        <x:v>Canada</x:v>
      </x:c>
      <x:c r="E1423" s="10" t="n">
        <x:v>9</x:v>
      </x:c>
      <x:c r="F1423" s="7" t="n">
        <x:v>129093.63</x:v>
      </x:c>
      <x:c r="G1423" s="8"/>
    </x:row>
    <x:row r="1424">
      <x:c r="A1424" s="6" t="n">
        <x:v>45231</x:v>
      </x:c>
      <x:c r="B1424" s="5" t="str">
        <x:v>Finance</x:v>
      </x:c>
      <x:c r="C1424" s="5" t="str">
        <x:v>General &amp; Administrative</x:v>
      </x:c>
      <x:c r="D1424" s="5" t="str">
        <x:v>Canada</x:v>
      </x:c>
      <x:c r="E1424" s="10" t="n">
        <x:v>2</x:v>
      </x:c>
      <x:c r="F1424" s="7" t="n">
        <x:v>20044.84</x:v>
      </x:c>
      <x:c r="G1424" s="8"/>
    </x:row>
    <x:row r="1425">
      <x:c r="A1425" s="6" t="n">
        <x:v>45231</x:v>
      </x:c>
      <x:c r="B1425" s="5" t="str">
        <x:v>People</x:v>
      </x:c>
      <x:c r="C1425" s="5" t="str">
        <x:v>General &amp; Administrative</x:v>
      </x:c>
      <x:c r="D1425" s="5" t="str">
        <x:v>Canada</x:v>
      </x:c>
      <x:c r="E1425" s="10" t="n">
        <x:v>1</x:v>
      </x:c>
      <x:c r="F1425" s="7" t="n">
        <x:v>21572.63</x:v>
      </x:c>
      <x:c r="G1425" s="8"/>
    </x:row>
    <x:row r="1426">
      <x:c r="A1426" s="6" t="n">
        <x:v>45231</x:v>
      </x:c>
      <x:c r="B1426" s="5" t="str">
        <x:v>Legal &amp; Compliance</x:v>
      </x:c>
      <x:c r="C1426" s="5" t="str">
        <x:v>General &amp; Administrative</x:v>
      </x:c>
      <x:c r="D1426" s="5" t="str">
        <x:v>Canada</x:v>
      </x:c>
      <x:c r="E1426" s="10" t="n">
        <x:v>1</x:v>
      </x:c>
      <x:c r="F1426" s="7" t="n">
        <x:v>16699.33</x:v>
      </x:c>
      <x:c r="G1426" s="8"/>
    </x:row>
    <x:row r="1427">
      <x:c r="A1427" s="6" t="n">
        <x:v>45231</x:v>
      </x:c>
      <x:c r="B1427" s="5" t="str">
        <x:v>Information Technology</x:v>
      </x:c>
      <x:c r="C1427" s="5" t="str">
        <x:v>General &amp; Administrative</x:v>
      </x:c>
      <x:c r="D1427" s="5" t="str">
        <x:v>Canada</x:v>
      </x:c>
      <x:c r="E1427" s="10" t="n">
        <x:v>3</x:v>
      </x:c>
      <x:c r="F1427" s="7" t="n">
        <x:v>35936.18</x:v>
      </x:c>
      <x:c r="G1427" s="8"/>
    </x:row>
    <x:row r="1428">
      <x:c r="A1428" s="6" t="n">
        <x:v>45261</x:v>
      </x:c>
      <x:c r="B1428" s="5" t="str">
        <x:v>Cloud Operations</x:v>
      </x:c>
      <x:c r="C1428" s="5" t="str">
        <x:v>Cost of Revenue</x:v>
      </x:c>
      <x:c r="D1428" s="5" t="str">
        <x:v>Canada</x:v>
      </x:c>
      <x:c r="E1428" s="10" t="n">
        <x:v>4</x:v>
      </x:c>
      <x:c r="F1428" s="7" t="n">
        <x:v>60613.27</x:v>
      </x:c>
      <x:c r="G1428" s="8"/>
    </x:row>
    <x:row r="1429">
      <x:c r="A1429" s="6" t="n">
        <x:v>45261</x:v>
      </x:c>
      <x:c r="B1429" s="5" t="str">
        <x:v>Customer Support</x:v>
      </x:c>
      <x:c r="C1429" s="5" t="str">
        <x:v>Cost of Revenue</x:v>
      </x:c>
      <x:c r="D1429" s="5" t="str">
        <x:v>Canada</x:v>
      </x:c>
      <x:c r="E1429" s="10" t="n">
        <x:v>5</x:v>
      </x:c>
      <x:c r="F1429" s="7" t="n">
        <x:v>34178.31</x:v>
      </x:c>
      <x:c r="G1429" s="8"/>
    </x:row>
    <x:row r="1430">
      <x:c r="A1430" s="6" t="n">
        <x:v>45261</x:v>
      </x:c>
      <x:c r="B1430" s="5" t="str">
        <x:v>Professional Services</x:v>
      </x:c>
      <x:c r="C1430" s="5" t="str">
        <x:v>Cost of Revenue</x:v>
      </x:c>
      <x:c r="D1430" s="5" t="str">
        <x:v>Canada</x:v>
      </x:c>
      <x:c r="E1430" s="10" t="n">
        <x:v>6</x:v>
      </x:c>
      <x:c r="F1430" s="7" t="n">
        <x:v>65676.27</x:v>
      </x:c>
      <x:c r="G1430" s="8" t="n">
        <x:v>0.6827</x:v>
      </x:c>
    </x:row>
    <x:row r="1431">
      <x:c r="A1431" s="6" t="n">
        <x:v>45261</x:v>
      </x:c>
      <x:c r="B1431" s="5" t="str">
        <x:v>Sales</x:v>
      </x:c>
      <x:c r="C1431" s="5" t="str">
        <x:v>Sales &amp; Marketing</x:v>
      </x:c>
      <x:c r="D1431" s="5" t="str">
        <x:v>Canada</x:v>
      </x:c>
      <x:c r="E1431" s="10" t="n">
        <x:v>7</x:v>
      </x:c>
      <x:c r="F1431" s="7" t="n">
        <x:v>73307.66</x:v>
      </x:c>
      <x:c r="G1431" s="8"/>
    </x:row>
    <x:row r="1432">
      <x:c r="A1432" s="6" t="n">
        <x:v>45261</x:v>
      </x:c>
      <x:c r="B1432" s="5" t="str">
        <x:v>Marketing</x:v>
      </x:c>
      <x:c r="C1432" s="5" t="str">
        <x:v>Sales &amp; Marketing</x:v>
      </x:c>
      <x:c r="D1432" s="5" t="str">
        <x:v>Canada</x:v>
      </x:c>
      <x:c r="E1432" s="10" t="n">
        <x:v>4</x:v>
      </x:c>
      <x:c r="F1432" s="7" t="n">
        <x:v>36102.19</x:v>
      </x:c>
      <x:c r="G1432" s="8"/>
    </x:row>
    <x:row r="1433">
      <x:c r="A1433" s="6" t="n">
        <x:v>45261</x:v>
      </x:c>
      <x:c r="B1433" s="5" t="str">
        <x:v>Product &amp; Engineering</x:v>
      </x:c>
      <x:c r="C1433" s="5" t="str">
        <x:v>Research &amp; Development</x:v>
      </x:c>
      <x:c r="D1433" s="5" t="str">
        <x:v>Canada</x:v>
      </x:c>
      <x:c r="E1433" s="10" t="n">
        <x:v>9</x:v>
      </x:c>
      <x:c r="F1433" s="7" t="n">
        <x:v>129093.63</x:v>
      </x:c>
      <x:c r="G1433" s="8"/>
    </x:row>
    <x:row r="1434">
      <x:c r="A1434" s="6" t="n">
        <x:v>45261</x:v>
      </x:c>
      <x:c r="B1434" s="5" t="str">
        <x:v>Finance</x:v>
      </x:c>
      <x:c r="C1434" s="5" t="str">
        <x:v>General &amp; Administrative</x:v>
      </x:c>
      <x:c r="D1434" s="5" t="str">
        <x:v>Canada</x:v>
      </x:c>
      <x:c r="E1434" s="10" t="n">
        <x:v>2</x:v>
      </x:c>
      <x:c r="F1434" s="7" t="n">
        <x:v>20044.84</x:v>
      </x:c>
      <x:c r="G1434" s="8"/>
    </x:row>
    <x:row r="1435">
      <x:c r="A1435" s="6" t="n">
        <x:v>45261</x:v>
      </x:c>
      <x:c r="B1435" s="5" t="str">
        <x:v>People</x:v>
      </x:c>
      <x:c r="C1435" s="5" t="str">
        <x:v>General &amp; Administrative</x:v>
      </x:c>
      <x:c r="D1435" s="5" t="str">
        <x:v>Canada</x:v>
      </x:c>
      <x:c r="E1435" s="10" t="n">
        <x:v>1</x:v>
      </x:c>
      <x:c r="F1435" s="7" t="n">
        <x:v>21572.63</x:v>
      </x:c>
      <x:c r="G1435" s="8"/>
    </x:row>
    <x:row r="1436">
      <x:c r="A1436" s="6" t="n">
        <x:v>45261</x:v>
      </x:c>
      <x:c r="B1436" s="5" t="str">
        <x:v>Legal &amp; Compliance</x:v>
      </x:c>
      <x:c r="C1436" s="5" t="str">
        <x:v>General &amp; Administrative</x:v>
      </x:c>
      <x:c r="D1436" s="5" t="str">
        <x:v>Canada</x:v>
      </x:c>
      <x:c r="E1436" s="10" t="n">
        <x:v>1</x:v>
      </x:c>
      <x:c r="F1436" s="7" t="n">
        <x:v>16699.33</x:v>
      </x:c>
      <x:c r="G1436" s="8"/>
    </x:row>
    <x:row r="1437">
      <x:c r="A1437" s="6" t="n">
        <x:v>45261</x:v>
      </x:c>
      <x:c r="B1437" s="5" t="str">
        <x:v>Information Technology</x:v>
      </x:c>
      <x:c r="C1437" s="5" t="str">
        <x:v>General &amp; Administrative</x:v>
      </x:c>
      <x:c r="D1437" s="5" t="str">
        <x:v>Canada</x:v>
      </x:c>
      <x:c r="E1437" s="10" t="n">
        <x:v>3</x:v>
      </x:c>
      <x:c r="F1437" s="7" t="n">
        <x:v>35936.18</x:v>
      </x:c>
      <x:c r="G1437" s="8"/>
    </x:row>
    <x:row r="1438">
      <x:c r="A1438" s="6" t="n">
        <x:v>45292</x:v>
      </x:c>
      <x:c r="B1438" s="5" t="str">
        <x:v>Cloud Operations</x:v>
      </x:c>
      <x:c r="C1438" s="5" t="str">
        <x:v>Cost of Revenue</x:v>
      </x:c>
      <x:c r="D1438" s="5" t="str">
        <x:v>Canada</x:v>
      </x:c>
      <x:c r="E1438" s="10" t="n">
        <x:v>4</x:v>
      </x:c>
      <x:c r="F1438" s="7" t="n">
        <x:v>62734.74</x:v>
      </x:c>
      <x:c r="G1438" s="8"/>
    </x:row>
    <x:row r="1439">
      <x:c r="A1439" s="6" t="n">
        <x:v>45292</x:v>
      </x:c>
      <x:c r="B1439" s="5" t="str">
        <x:v>Customer Support</x:v>
      </x:c>
      <x:c r="C1439" s="5" t="str">
        <x:v>Cost of Revenue</x:v>
      </x:c>
      <x:c r="D1439" s="5" t="str">
        <x:v>Canada</x:v>
      </x:c>
      <x:c r="E1439" s="10" t="n">
        <x:v>5</x:v>
      </x:c>
      <x:c r="F1439" s="7" t="n">
        <x:v>35374.54</x:v>
      </x:c>
      <x:c r="G1439" s="8"/>
    </x:row>
    <x:row r="1440">
      <x:c r="A1440" s="6" t="n">
        <x:v>45292</x:v>
      </x:c>
      <x:c r="B1440" s="5" t="str">
        <x:v>Professional Services</x:v>
      </x:c>
      <x:c r="C1440" s="5" t="str">
        <x:v>Cost of Revenue</x:v>
      </x:c>
      <x:c r="D1440" s="5" t="str">
        <x:v>Canada</x:v>
      </x:c>
      <x:c r="E1440" s="10" t="n">
        <x:v>6</x:v>
      </x:c>
      <x:c r="F1440" s="7" t="n">
        <x:v>67974.94</x:v>
      </x:c>
      <x:c r="G1440" s="8" t="n">
        <x:v>0.7159</x:v>
      </x:c>
    </x:row>
    <x:row r="1441">
      <x:c r="A1441" s="6" t="n">
        <x:v>45292</x:v>
      </x:c>
      <x:c r="B1441" s="5" t="str">
        <x:v>Sales</x:v>
      </x:c>
      <x:c r="C1441" s="5" t="str">
        <x:v>Sales &amp; Marketing</x:v>
      </x:c>
      <x:c r="D1441" s="5" t="str">
        <x:v>Canada</x:v>
      </x:c>
      <x:c r="E1441" s="10" t="n">
        <x:v>7</x:v>
      </x:c>
      <x:c r="F1441" s="7" t="n">
        <x:v>75873.42</x:v>
      </x:c>
      <x:c r="G1441" s="8"/>
    </x:row>
    <x:row r="1442">
      <x:c r="A1442" s="6" t="n">
        <x:v>45292</x:v>
      </x:c>
      <x:c r="B1442" s="5" t="str">
        <x:v>Marketing</x:v>
      </x:c>
      <x:c r="C1442" s="5" t="str">
        <x:v>Sales &amp; Marketing</x:v>
      </x:c>
      <x:c r="D1442" s="5" t="str">
        <x:v>Canada</x:v>
      </x:c>
      <x:c r="E1442" s="10" t="n">
        <x:v>4</x:v>
      </x:c>
      <x:c r="F1442" s="7" t="n">
        <x:v>37365.75</x:v>
      </x:c>
      <x:c r="G1442" s="8"/>
    </x:row>
    <x:row r="1443">
      <x:c r="A1443" s="6" t="n">
        <x:v>45292</x:v>
      </x:c>
      <x:c r="B1443" s="5" t="str">
        <x:v>Product &amp; Engineering</x:v>
      </x:c>
      <x:c r="C1443" s="5" t="str">
        <x:v>Research &amp; Development</x:v>
      </x:c>
      <x:c r="D1443" s="5" t="str">
        <x:v>Canada</x:v>
      </x:c>
      <x:c r="E1443" s="10" t="n">
        <x:v>9</x:v>
      </x:c>
      <x:c r="F1443" s="7" t="n">
        <x:v>133611.91</x:v>
      </x:c>
      <x:c r="G1443" s="8"/>
    </x:row>
    <x:row r="1444">
      <x:c r="A1444" s="6" t="n">
        <x:v>45292</x:v>
      </x:c>
      <x:c r="B1444" s="5" t="str">
        <x:v>Finance</x:v>
      </x:c>
      <x:c r="C1444" s="5" t="str">
        <x:v>General &amp; Administrative</x:v>
      </x:c>
      <x:c r="D1444" s="5" t="str">
        <x:v>Canada</x:v>
      </x:c>
      <x:c r="E1444" s="10" t="n">
        <x:v>2</x:v>
      </x:c>
      <x:c r="F1444" s="7" t="n">
        <x:v>20746.41</x:v>
      </x:c>
      <x:c r="G1444" s="8"/>
    </x:row>
    <x:row r="1445">
      <x:c r="A1445" s="6" t="n">
        <x:v>45292</x:v>
      </x:c>
      <x:c r="B1445" s="5" t="str">
        <x:v>People</x:v>
      </x:c>
      <x:c r="C1445" s="5" t="str">
        <x:v>General &amp; Administrative</x:v>
      </x:c>
      <x:c r="D1445" s="5" t="str">
        <x:v>Canada</x:v>
      </x:c>
      <x:c r="E1445" s="10" t="n">
        <x:v>1</x:v>
      </x:c>
      <x:c r="F1445" s="7" t="n">
        <x:v>22327.68</x:v>
      </x:c>
      <x:c r="G1445" s="8"/>
    </x:row>
    <x:row r="1446">
      <x:c r="A1446" s="6" t="n">
        <x:v>45292</x:v>
      </x:c>
      <x:c r="B1446" s="5" t="str">
        <x:v>Legal &amp; Compliance</x:v>
      </x:c>
      <x:c r="C1446" s="5" t="str">
        <x:v>General &amp; Administrative</x:v>
      </x:c>
      <x:c r="D1446" s="5" t="str">
        <x:v>Canada</x:v>
      </x:c>
      <x:c r="E1446" s="10" t="n">
        <x:v>1</x:v>
      </x:c>
      <x:c r="F1446" s="7" t="n">
        <x:v>17283.81</x:v>
      </x:c>
      <x:c r="G1446" s="8"/>
    </x:row>
    <x:row r="1447">
      <x:c r="A1447" s="6" t="n">
        <x:v>45292</x:v>
      </x:c>
      <x:c r="B1447" s="5" t="str">
        <x:v>Information Technology</x:v>
      </x:c>
      <x:c r="C1447" s="5" t="str">
        <x:v>General &amp; Administrative</x:v>
      </x:c>
      <x:c r="D1447" s="5" t="str">
        <x:v>Canada</x:v>
      </x:c>
      <x:c r="E1447" s="10" t="n">
        <x:v>3</x:v>
      </x:c>
      <x:c r="F1447" s="7" t="n">
        <x:v>37193.95</x:v>
      </x:c>
      <x:c r="G1447" s="8"/>
    </x:row>
    <x:row r="1448">
      <x:c r="A1448" s="6" t="n">
        <x:v>45323</x:v>
      </x:c>
      <x:c r="B1448" s="5" t="str">
        <x:v>Cloud Operations</x:v>
      </x:c>
      <x:c r="C1448" s="5" t="str">
        <x:v>Cost of Revenue</x:v>
      </x:c>
      <x:c r="D1448" s="5" t="str">
        <x:v>Canada</x:v>
      </x:c>
      <x:c r="E1448" s="10" t="n">
        <x:v>4</x:v>
      </x:c>
      <x:c r="F1448" s="7" t="n">
        <x:v>62734.74</x:v>
      </x:c>
      <x:c r="G1448" s="8"/>
    </x:row>
    <x:row r="1449">
      <x:c r="A1449" s="6" t="n">
        <x:v>45323</x:v>
      </x:c>
      <x:c r="B1449" s="5" t="str">
        <x:v>Customer Support</x:v>
      </x:c>
      <x:c r="C1449" s="5" t="str">
        <x:v>Cost of Revenue</x:v>
      </x:c>
      <x:c r="D1449" s="5" t="str">
        <x:v>Canada</x:v>
      </x:c>
      <x:c r="E1449" s="10" t="n">
        <x:v>5</x:v>
      </x:c>
      <x:c r="F1449" s="7" t="n">
        <x:v>35374.54</x:v>
      </x:c>
      <x:c r="G1449" s="8"/>
    </x:row>
    <x:row r="1450">
      <x:c r="A1450" s="6" t="n">
        <x:v>45323</x:v>
      </x:c>
      <x:c r="B1450" s="5" t="str">
        <x:v>Professional Services</x:v>
      </x:c>
      <x:c r="C1450" s="5" t="str">
        <x:v>Cost of Revenue</x:v>
      </x:c>
      <x:c r="D1450" s="5" t="str">
        <x:v>Canada</x:v>
      </x:c>
      <x:c r="E1450" s="10" t="n">
        <x:v>6</x:v>
      </x:c>
      <x:c r="F1450" s="7" t="n">
        <x:v>67974.94</x:v>
      </x:c>
      <x:c r="G1450" s="8" t="n">
        <x:v>0.7321</x:v>
      </x:c>
    </x:row>
    <x:row r="1451">
      <x:c r="A1451" s="6" t="n">
        <x:v>45323</x:v>
      </x:c>
      <x:c r="B1451" s="5" t="str">
        <x:v>Sales</x:v>
      </x:c>
      <x:c r="C1451" s="5" t="str">
        <x:v>Sales &amp; Marketing</x:v>
      </x:c>
      <x:c r="D1451" s="5" t="str">
        <x:v>Canada</x:v>
      </x:c>
      <x:c r="E1451" s="10" t="n">
        <x:v>7</x:v>
      </x:c>
      <x:c r="F1451" s="7" t="n">
        <x:v>75873.42</x:v>
      </x:c>
      <x:c r="G1451" s="8"/>
    </x:row>
    <x:row r="1452">
      <x:c r="A1452" s="6" t="n">
        <x:v>45323</x:v>
      </x:c>
      <x:c r="B1452" s="5" t="str">
        <x:v>Marketing</x:v>
      </x:c>
      <x:c r="C1452" s="5" t="str">
        <x:v>Sales &amp; Marketing</x:v>
      </x:c>
      <x:c r="D1452" s="5" t="str">
        <x:v>Canada</x:v>
      </x:c>
      <x:c r="E1452" s="10" t="n">
        <x:v>4</x:v>
      </x:c>
      <x:c r="F1452" s="7" t="n">
        <x:v>37365.75</x:v>
      </x:c>
      <x:c r="G1452" s="8"/>
    </x:row>
    <x:row r="1453">
      <x:c r="A1453" s="6" t="n">
        <x:v>45323</x:v>
      </x:c>
      <x:c r="B1453" s="5" t="str">
        <x:v>Product &amp; Engineering</x:v>
      </x:c>
      <x:c r="C1453" s="5" t="str">
        <x:v>Research &amp; Development</x:v>
      </x:c>
      <x:c r="D1453" s="5" t="str">
        <x:v>Canada</x:v>
      </x:c>
      <x:c r="E1453" s="10" t="n">
        <x:v>10</x:v>
      </x:c>
      <x:c r="F1453" s="7" t="n">
        <x:v>145888.82</x:v>
      </x:c>
      <x:c r="G1453" s="8"/>
    </x:row>
    <x:row r="1454">
      <x:c r="A1454" s="6" t="n">
        <x:v>45323</x:v>
      </x:c>
      <x:c r="B1454" s="5" t="str">
        <x:v>Finance</x:v>
      </x:c>
      <x:c r="C1454" s="5" t="str">
        <x:v>General &amp; Administrative</x:v>
      </x:c>
      <x:c r="D1454" s="5" t="str">
        <x:v>Canada</x:v>
      </x:c>
      <x:c r="E1454" s="10" t="n">
        <x:v>2</x:v>
      </x:c>
      <x:c r="F1454" s="7" t="n">
        <x:v>20746.41</x:v>
      </x:c>
      <x:c r="G1454" s="8"/>
    </x:row>
    <x:row r="1455">
      <x:c r="A1455" s="6" t="n">
        <x:v>45323</x:v>
      </x:c>
      <x:c r="B1455" s="5" t="str">
        <x:v>People</x:v>
      </x:c>
      <x:c r="C1455" s="5" t="str">
        <x:v>General &amp; Administrative</x:v>
      </x:c>
      <x:c r="D1455" s="5" t="str">
        <x:v>Canada</x:v>
      </x:c>
      <x:c r="E1455" s="10" t="n">
        <x:v>1</x:v>
      </x:c>
      <x:c r="F1455" s="7" t="n">
        <x:v>22327.68</x:v>
      </x:c>
      <x:c r="G1455" s="8"/>
    </x:row>
    <x:row r="1456">
      <x:c r="A1456" s="6" t="n">
        <x:v>45323</x:v>
      </x:c>
      <x:c r="B1456" s="5" t="str">
        <x:v>Legal &amp; Compliance</x:v>
      </x:c>
      <x:c r="C1456" s="5" t="str">
        <x:v>General &amp; Administrative</x:v>
      </x:c>
      <x:c r="D1456" s="5" t="str">
        <x:v>Canada</x:v>
      </x:c>
      <x:c r="E1456" s="10" t="n">
        <x:v>1</x:v>
      </x:c>
      <x:c r="F1456" s="7" t="n">
        <x:v>17283.81</x:v>
      </x:c>
      <x:c r="G1456" s="8"/>
    </x:row>
    <x:row r="1457">
      <x:c r="A1457" s="6" t="n">
        <x:v>45323</x:v>
      </x:c>
      <x:c r="B1457" s="5" t="str">
        <x:v>Information Technology</x:v>
      </x:c>
      <x:c r="C1457" s="5" t="str">
        <x:v>General &amp; Administrative</x:v>
      </x:c>
      <x:c r="D1457" s="5" t="str">
        <x:v>Canada</x:v>
      </x:c>
      <x:c r="E1457" s="10" t="n">
        <x:v>3</x:v>
      </x:c>
      <x:c r="F1457" s="7" t="n">
        <x:v>37193.95</x:v>
      </x:c>
      <x:c r="G1457" s="8"/>
    </x:row>
    <x:row r="1458">
      <x:c r="A1458" s="6" t="n">
        <x:v>45352</x:v>
      </x:c>
      <x:c r="B1458" s="5" t="str">
        <x:v>Cloud Operations</x:v>
      </x:c>
      <x:c r="C1458" s="5" t="str">
        <x:v>Cost of Revenue</x:v>
      </x:c>
      <x:c r="D1458" s="5" t="str">
        <x:v>Canada</x:v>
      </x:c>
      <x:c r="E1458" s="10" t="n">
        <x:v>4</x:v>
      </x:c>
      <x:c r="F1458" s="7" t="n">
        <x:v>62734.74</x:v>
      </x:c>
      <x:c r="G1458" s="8"/>
    </x:row>
    <x:row r="1459">
      <x:c r="A1459" s="6" t="n">
        <x:v>45352</x:v>
      </x:c>
      <x:c r="B1459" s="5" t="str">
        <x:v>Customer Support</x:v>
      </x:c>
      <x:c r="C1459" s="5" t="str">
        <x:v>Cost of Revenue</x:v>
      </x:c>
      <x:c r="D1459" s="5" t="str">
        <x:v>Canada</x:v>
      </x:c>
      <x:c r="E1459" s="10" t="n">
        <x:v>5</x:v>
      </x:c>
      <x:c r="F1459" s="7" t="n">
        <x:v>35374.54</x:v>
      </x:c>
      <x:c r="G1459" s="8"/>
    </x:row>
    <x:row r="1460">
      <x:c r="A1460" s="6" t="n">
        <x:v>45352</x:v>
      </x:c>
      <x:c r="B1460" s="5" t="str">
        <x:v>Professional Services</x:v>
      </x:c>
      <x:c r="C1460" s="5" t="str">
        <x:v>Cost of Revenue</x:v>
      </x:c>
      <x:c r="D1460" s="5" t="str">
        <x:v>Canada</x:v>
      </x:c>
      <x:c r="E1460" s="10" t="n">
        <x:v>6</x:v>
      </x:c>
      <x:c r="F1460" s="7" t="n">
        <x:v>67974.94</x:v>
      </x:c>
      <x:c r="G1460" s="8" t="n">
        <x:v>0.753</x:v>
      </x:c>
    </x:row>
    <x:row r="1461">
      <x:c r="A1461" s="6" t="n">
        <x:v>45352</x:v>
      </x:c>
      <x:c r="B1461" s="5" t="str">
        <x:v>Sales</x:v>
      </x:c>
      <x:c r="C1461" s="5" t="str">
        <x:v>Sales &amp; Marketing</x:v>
      </x:c>
      <x:c r="D1461" s="5" t="str">
        <x:v>Canada</x:v>
      </x:c>
      <x:c r="E1461" s="10" t="n">
        <x:v>7</x:v>
      </x:c>
      <x:c r="F1461" s="7" t="n">
        <x:v>75873.42</x:v>
      </x:c>
      <x:c r="G1461" s="8"/>
    </x:row>
    <x:row r="1462">
      <x:c r="A1462" s="6" t="n">
        <x:v>45352</x:v>
      </x:c>
      <x:c r="B1462" s="5" t="str">
        <x:v>Marketing</x:v>
      </x:c>
      <x:c r="C1462" s="5" t="str">
        <x:v>Sales &amp; Marketing</x:v>
      </x:c>
      <x:c r="D1462" s="5" t="str">
        <x:v>Canada</x:v>
      </x:c>
      <x:c r="E1462" s="10" t="n">
        <x:v>4</x:v>
      </x:c>
      <x:c r="F1462" s="7" t="n">
        <x:v>37365.75</x:v>
      </x:c>
      <x:c r="G1462" s="8"/>
    </x:row>
    <x:row r="1463">
      <x:c r="A1463" s="6" t="n">
        <x:v>45352</x:v>
      </x:c>
      <x:c r="B1463" s="5" t="str">
        <x:v>Product &amp; Engineering</x:v>
      </x:c>
      <x:c r="C1463" s="5" t="str">
        <x:v>Research &amp; Development</x:v>
      </x:c>
      <x:c r="D1463" s="5" t="str">
        <x:v>Canada</x:v>
      </x:c>
      <x:c r="E1463" s="10" t="n">
        <x:v>10</x:v>
      </x:c>
      <x:c r="F1463" s="7" t="n">
        <x:v>145888.82</x:v>
      </x:c>
      <x:c r="G1463" s="8"/>
    </x:row>
    <x:row r="1464">
      <x:c r="A1464" s="6" t="n">
        <x:v>45352</x:v>
      </x:c>
      <x:c r="B1464" s="5" t="str">
        <x:v>Finance</x:v>
      </x:c>
      <x:c r="C1464" s="5" t="str">
        <x:v>General &amp; Administrative</x:v>
      </x:c>
      <x:c r="D1464" s="5" t="str">
        <x:v>Canada</x:v>
      </x:c>
      <x:c r="E1464" s="10" t="n">
        <x:v>2</x:v>
      </x:c>
      <x:c r="F1464" s="7" t="n">
        <x:v>20746.41</x:v>
      </x:c>
      <x:c r="G1464" s="8"/>
    </x:row>
    <x:row r="1465">
      <x:c r="A1465" s="6" t="n">
        <x:v>45352</x:v>
      </x:c>
      <x:c r="B1465" s="5" t="str">
        <x:v>People</x:v>
      </x:c>
      <x:c r="C1465" s="5" t="str">
        <x:v>General &amp; Administrative</x:v>
      </x:c>
      <x:c r="D1465" s="5" t="str">
        <x:v>Canada</x:v>
      </x:c>
      <x:c r="E1465" s="10" t="n">
        <x:v>1</x:v>
      </x:c>
      <x:c r="F1465" s="7" t="n">
        <x:v>22327.68</x:v>
      </x:c>
      <x:c r="G1465" s="8"/>
    </x:row>
    <x:row r="1466">
      <x:c r="A1466" s="6" t="n">
        <x:v>45352</x:v>
      </x:c>
      <x:c r="B1466" s="5" t="str">
        <x:v>Legal &amp; Compliance</x:v>
      </x:c>
      <x:c r="C1466" s="5" t="str">
        <x:v>General &amp; Administrative</x:v>
      </x:c>
      <x:c r="D1466" s="5" t="str">
        <x:v>Canada</x:v>
      </x:c>
      <x:c r="E1466" s="10" t="n">
        <x:v>2</x:v>
      </x:c>
      <x:c r="F1466" s="7" t="n">
        <x:v>27340.76</x:v>
      </x:c>
      <x:c r="G1466" s="8"/>
    </x:row>
    <x:row r="1467">
      <x:c r="A1467" s="6" t="n">
        <x:v>45352</x:v>
      </x:c>
      <x:c r="B1467" s="5" t="str">
        <x:v>Information Technology</x:v>
      </x:c>
      <x:c r="C1467" s="5" t="str">
        <x:v>General &amp; Administrative</x:v>
      </x:c>
      <x:c r="D1467" s="5" t="str">
        <x:v>Canada</x:v>
      </x:c>
      <x:c r="E1467" s="10" t="n">
        <x:v>3</x:v>
      </x:c>
      <x:c r="F1467" s="7" t="n">
        <x:v>37193.95</x:v>
      </x:c>
      <x:c r="G1467" s="8"/>
    </x:row>
    <x:row r="1468">
      <x:c r="A1468" s="6" t="n">
        <x:v>45383</x:v>
      </x:c>
      <x:c r="B1468" s="5" t="str">
        <x:v>Cloud Operations</x:v>
      </x:c>
      <x:c r="C1468" s="5" t="str">
        <x:v>Cost of Revenue</x:v>
      </x:c>
      <x:c r="D1468" s="5" t="str">
        <x:v>Canada</x:v>
      </x:c>
      <x:c r="E1468" s="10" t="n">
        <x:v>4</x:v>
      </x:c>
      <x:c r="F1468" s="7" t="n">
        <x:v>62734.74</x:v>
      </x:c>
      <x:c r="G1468" s="8"/>
    </x:row>
    <x:row r="1469">
      <x:c r="A1469" s="6" t="n">
        <x:v>45383</x:v>
      </x:c>
      <x:c r="B1469" s="5" t="str">
        <x:v>Customer Support</x:v>
      </x:c>
      <x:c r="C1469" s="5" t="str">
        <x:v>Cost of Revenue</x:v>
      </x:c>
      <x:c r="D1469" s="5" t="str">
        <x:v>Canada</x:v>
      </x:c>
      <x:c r="E1469" s="10" t="n">
        <x:v>5</x:v>
      </x:c>
      <x:c r="F1469" s="7" t="n">
        <x:v>35374.54</x:v>
      </x:c>
      <x:c r="G1469" s="8"/>
    </x:row>
    <x:row r="1470">
      <x:c r="A1470" s="6" t="n">
        <x:v>45383</x:v>
      </x:c>
      <x:c r="B1470" s="5" t="str">
        <x:v>Professional Services</x:v>
      </x:c>
      <x:c r="C1470" s="5" t="str">
        <x:v>Cost of Revenue</x:v>
      </x:c>
      <x:c r="D1470" s="5" t="str">
        <x:v>Canada</x:v>
      </x:c>
      <x:c r="E1470" s="10" t="n">
        <x:v>6</x:v>
      </x:c>
      <x:c r="F1470" s="7" t="n">
        <x:v>67974.94</x:v>
      </x:c>
      <x:c r="G1470" s="8" t="n">
        <x:v>0.7961</x:v>
      </x:c>
    </x:row>
    <x:row r="1471">
      <x:c r="A1471" s="6" t="n">
        <x:v>45383</x:v>
      </x:c>
      <x:c r="B1471" s="5" t="str">
        <x:v>Sales</x:v>
      </x:c>
      <x:c r="C1471" s="5" t="str">
        <x:v>Sales &amp; Marketing</x:v>
      </x:c>
      <x:c r="D1471" s="5" t="str">
        <x:v>Canada</x:v>
      </x:c>
      <x:c r="E1471" s="10" t="n">
        <x:v>7</x:v>
      </x:c>
      <x:c r="F1471" s="7" t="n">
        <x:v>75873.42</x:v>
      </x:c>
      <x:c r="G1471" s="8"/>
    </x:row>
    <x:row r="1472">
      <x:c r="A1472" s="6" t="n">
        <x:v>45383</x:v>
      </x:c>
      <x:c r="B1472" s="5" t="str">
        <x:v>Marketing</x:v>
      </x:c>
      <x:c r="C1472" s="5" t="str">
        <x:v>Sales &amp; Marketing</x:v>
      </x:c>
      <x:c r="D1472" s="5" t="str">
        <x:v>Canada</x:v>
      </x:c>
      <x:c r="E1472" s="10" t="n">
        <x:v>4</x:v>
      </x:c>
      <x:c r="F1472" s="7" t="n">
        <x:v>37365.75</x:v>
      </x:c>
      <x:c r="G1472" s="8"/>
    </x:row>
    <x:row r="1473">
      <x:c r="A1473" s="6" t="n">
        <x:v>45383</x:v>
      </x:c>
      <x:c r="B1473" s="5" t="str">
        <x:v>Product &amp; Engineering</x:v>
      </x:c>
      <x:c r="C1473" s="5" t="str">
        <x:v>Research &amp; Development</x:v>
      </x:c>
      <x:c r="D1473" s="5" t="str">
        <x:v>Canada</x:v>
      </x:c>
      <x:c r="E1473" s="10" t="n">
        <x:v>10</x:v>
      </x:c>
      <x:c r="F1473" s="7" t="n">
        <x:v>145888.82</x:v>
      </x:c>
      <x:c r="G1473" s="8"/>
    </x:row>
    <x:row r="1474">
      <x:c r="A1474" s="6" t="n">
        <x:v>45383</x:v>
      </x:c>
      <x:c r="B1474" s="5" t="str">
        <x:v>Finance</x:v>
      </x:c>
      <x:c r="C1474" s="5" t="str">
        <x:v>General &amp; Administrative</x:v>
      </x:c>
      <x:c r="D1474" s="5" t="str">
        <x:v>Canada</x:v>
      </x:c>
      <x:c r="E1474" s="10" t="n">
        <x:v>2</x:v>
      </x:c>
      <x:c r="F1474" s="7" t="n">
        <x:v>20746.41</x:v>
      </x:c>
      <x:c r="G1474" s="8"/>
    </x:row>
    <x:row r="1475">
      <x:c r="A1475" s="6" t="n">
        <x:v>45383</x:v>
      </x:c>
      <x:c r="B1475" s="5" t="str">
        <x:v>People</x:v>
      </x:c>
      <x:c r="C1475" s="5" t="str">
        <x:v>General &amp; Administrative</x:v>
      </x:c>
      <x:c r="D1475" s="5" t="str">
        <x:v>Canada</x:v>
      </x:c>
      <x:c r="E1475" s="10" t="n">
        <x:v>1</x:v>
      </x:c>
      <x:c r="F1475" s="7" t="n">
        <x:v>22327.68</x:v>
      </x:c>
      <x:c r="G1475" s="8"/>
    </x:row>
    <x:row r="1476">
      <x:c r="A1476" s="6" t="n">
        <x:v>45383</x:v>
      </x:c>
      <x:c r="B1476" s="5" t="str">
        <x:v>Legal &amp; Compliance</x:v>
      </x:c>
      <x:c r="C1476" s="5" t="str">
        <x:v>General &amp; Administrative</x:v>
      </x:c>
      <x:c r="D1476" s="5" t="str">
        <x:v>Canada</x:v>
      </x:c>
      <x:c r="E1476" s="10" t="n">
        <x:v>2</x:v>
      </x:c>
      <x:c r="F1476" s="7" t="n">
        <x:v>27340.76</x:v>
      </x:c>
      <x:c r="G1476" s="8"/>
    </x:row>
    <x:row r="1477">
      <x:c r="A1477" s="6" t="n">
        <x:v>45383</x:v>
      </x:c>
      <x:c r="B1477" s="5" t="str">
        <x:v>Information Technology</x:v>
      </x:c>
      <x:c r="C1477" s="5" t="str">
        <x:v>General &amp; Administrative</x:v>
      </x:c>
      <x:c r="D1477" s="5" t="str">
        <x:v>Canada</x:v>
      </x:c>
      <x:c r="E1477" s="10" t="n">
        <x:v>3</x:v>
      </x:c>
      <x:c r="F1477" s="7" t="n">
        <x:v>37193.95</x:v>
      </x:c>
      <x:c r="G1477" s="8"/>
    </x:row>
    <x:row r="1478">
      <x:c r="A1478" s="6" t="n">
        <x:v>45413</x:v>
      </x:c>
      <x:c r="B1478" s="5" t="str">
        <x:v>Cloud Operations</x:v>
      </x:c>
      <x:c r="C1478" s="5" t="str">
        <x:v>Cost of Revenue</x:v>
      </x:c>
      <x:c r="D1478" s="5" t="str">
        <x:v>Canada</x:v>
      </x:c>
      <x:c r="E1478" s="10" t="n">
        <x:v>4</x:v>
      </x:c>
      <x:c r="F1478" s="7" t="n">
        <x:v>62734.74</x:v>
      </x:c>
      <x:c r="G1478" s="8"/>
    </x:row>
    <x:row r="1479">
      <x:c r="A1479" s="6" t="n">
        <x:v>45413</x:v>
      </x:c>
      <x:c r="B1479" s="5" t="str">
        <x:v>Customer Support</x:v>
      </x:c>
      <x:c r="C1479" s="5" t="str">
        <x:v>Cost of Revenue</x:v>
      </x:c>
      <x:c r="D1479" s="5" t="str">
        <x:v>Canada</x:v>
      </x:c>
      <x:c r="E1479" s="10" t="n">
        <x:v>5</x:v>
      </x:c>
      <x:c r="F1479" s="7" t="n">
        <x:v>35374.54</x:v>
      </x:c>
      <x:c r="G1479" s="8"/>
    </x:row>
    <x:row r="1480">
      <x:c r="A1480" s="6" t="n">
        <x:v>45413</x:v>
      </x:c>
      <x:c r="B1480" s="5" t="str">
        <x:v>Professional Services</x:v>
      </x:c>
      <x:c r="C1480" s="5" t="str">
        <x:v>Cost of Revenue</x:v>
      </x:c>
      <x:c r="D1480" s="5" t="str">
        <x:v>Canada</x:v>
      </x:c>
      <x:c r="E1480" s="10" t="n">
        <x:v>6</x:v>
      </x:c>
      <x:c r="F1480" s="7" t="n">
        <x:v>67974.94</x:v>
      </x:c>
      <x:c r="G1480" s="8" t="n">
        <x:v>0.7425</x:v>
      </x:c>
    </x:row>
    <x:row r="1481">
      <x:c r="A1481" s="6" t="n">
        <x:v>45413</x:v>
      </x:c>
      <x:c r="B1481" s="5" t="str">
        <x:v>Sales</x:v>
      </x:c>
      <x:c r="C1481" s="5" t="str">
        <x:v>Sales &amp; Marketing</x:v>
      </x:c>
      <x:c r="D1481" s="5" t="str">
        <x:v>Canada</x:v>
      </x:c>
      <x:c r="E1481" s="10" t="n">
        <x:v>7</x:v>
      </x:c>
      <x:c r="F1481" s="7" t="n">
        <x:v>75873.42</x:v>
      </x:c>
      <x:c r="G1481" s="8"/>
    </x:row>
    <x:row r="1482">
      <x:c r="A1482" s="6" t="n">
        <x:v>45413</x:v>
      </x:c>
      <x:c r="B1482" s="5" t="str">
        <x:v>Marketing</x:v>
      </x:c>
      <x:c r="C1482" s="5" t="str">
        <x:v>Sales &amp; Marketing</x:v>
      </x:c>
      <x:c r="D1482" s="5" t="str">
        <x:v>Canada</x:v>
      </x:c>
      <x:c r="E1482" s="10" t="n">
        <x:v>4</x:v>
      </x:c>
      <x:c r="F1482" s="7" t="n">
        <x:v>37365.75</x:v>
      </x:c>
      <x:c r="G1482" s="8"/>
    </x:row>
    <x:row r="1483">
      <x:c r="A1483" s="6" t="n">
        <x:v>45413</x:v>
      </x:c>
      <x:c r="B1483" s="5" t="str">
        <x:v>Product &amp; Engineering</x:v>
      </x:c>
      <x:c r="C1483" s="5" t="str">
        <x:v>Research &amp; Development</x:v>
      </x:c>
      <x:c r="D1483" s="5" t="str">
        <x:v>Canada</x:v>
      </x:c>
      <x:c r="E1483" s="10" t="n">
        <x:v>10</x:v>
      </x:c>
      <x:c r="F1483" s="7" t="n">
        <x:v>145888.82</x:v>
      </x:c>
      <x:c r="G1483" s="8"/>
    </x:row>
    <x:row r="1484">
      <x:c r="A1484" s="6" t="n">
        <x:v>45413</x:v>
      </x:c>
      <x:c r="B1484" s="5" t="str">
        <x:v>Finance</x:v>
      </x:c>
      <x:c r="C1484" s="5" t="str">
        <x:v>General &amp; Administrative</x:v>
      </x:c>
      <x:c r="D1484" s="5" t="str">
        <x:v>Canada</x:v>
      </x:c>
      <x:c r="E1484" s="10" t="n">
        <x:v>2</x:v>
      </x:c>
      <x:c r="F1484" s="7" t="n">
        <x:v>20746.41</x:v>
      </x:c>
      <x:c r="G1484" s="8"/>
    </x:row>
    <x:row r="1485">
      <x:c r="A1485" s="6" t="n">
        <x:v>45413</x:v>
      </x:c>
      <x:c r="B1485" s="5" t="str">
        <x:v>People</x:v>
      </x:c>
      <x:c r="C1485" s="5" t="str">
        <x:v>General &amp; Administrative</x:v>
      </x:c>
      <x:c r="D1485" s="5" t="str">
        <x:v>Canada</x:v>
      </x:c>
      <x:c r="E1485" s="10" t="n">
        <x:v>1</x:v>
      </x:c>
      <x:c r="F1485" s="7" t="n">
        <x:v>22327.68</x:v>
      </x:c>
      <x:c r="G1485" s="8"/>
    </x:row>
    <x:row r="1486">
      <x:c r="A1486" s="6" t="n">
        <x:v>45413</x:v>
      </x:c>
      <x:c r="B1486" s="5" t="str">
        <x:v>Legal &amp; Compliance</x:v>
      </x:c>
      <x:c r="C1486" s="5" t="str">
        <x:v>General &amp; Administrative</x:v>
      </x:c>
      <x:c r="D1486" s="5" t="str">
        <x:v>Canada</x:v>
      </x:c>
      <x:c r="E1486" s="10" t="n">
        <x:v>2</x:v>
      </x:c>
      <x:c r="F1486" s="7" t="n">
        <x:v>27340.76</x:v>
      </x:c>
      <x:c r="G1486" s="8"/>
    </x:row>
    <x:row r="1487">
      <x:c r="A1487" s="6" t="n">
        <x:v>45413</x:v>
      </x:c>
      <x:c r="B1487" s="5" t="str">
        <x:v>Information Technology</x:v>
      </x:c>
      <x:c r="C1487" s="5" t="str">
        <x:v>General &amp; Administrative</x:v>
      </x:c>
      <x:c r="D1487" s="5" t="str">
        <x:v>Canada</x:v>
      </x:c>
      <x:c r="E1487" s="10" t="n">
        <x:v>3</x:v>
      </x:c>
      <x:c r="F1487" s="7" t="n">
        <x:v>37193.95</x:v>
      </x:c>
      <x:c r="G1487" s="8"/>
    </x:row>
    <x:row r="1488">
      <x:c r="A1488" s="6" t="n">
        <x:v>45444</x:v>
      </x:c>
      <x:c r="B1488" s="5" t="str">
        <x:v>Cloud Operations</x:v>
      </x:c>
      <x:c r="C1488" s="5" t="str">
        <x:v>Cost of Revenue</x:v>
      </x:c>
      <x:c r="D1488" s="5" t="str">
        <x:v>Canada</x:v>
      </x:c>
      <x:c r="E1488" s="10" t="n">
        <x:v>4</x:v>
      </x:c>
      <x:c r="F1488" s="7" t="n">
        <x:v>62734.74</x:v>
      </x:c>
      <x:c r="G1488" s="8"/>
    </x:row>
    <x:row r="1489">
      <x:c r="A1489" s="6" t="n">
        <x:v>45444</x:v>
      </x:c>
      <x:c r="B1489" s="5" t="str">
        <x:v>Customer Support</x:v>
      </x:c>
      <x:c r="C1489" s="5" t="str">
        <x:v>Cost of Revenue</x:v>
      </x:c>
      <x:c r="D1489" s="5" t="str">
        <x:v>Canada</x:v>
      </x:c>
      <x:c r="E1489" s="10" t="n">
        <x:v>5</x:v>
      </x:c>
      <x:c r="F1489" s="7" t="n">
        <x:v>35374.54</x:v>
      </x:c>
      <x:c r="G1489" s="8"/>
    </x:row>
    <x:row r="1490">
      <x:c r="A1490" s="6" t="n">
        <x:v>45444</x:v>
      </x:c>
      <x:c r="B1490" s="5" t="str">
        <x:v>Professional Services</x:v>
      </x:c>
      <x:c r="C1490" s="5" t="str">
        <x:v>Cost of Revenue</x:v>
      </x:c>
      <x:c r="D1490" s="5" t="str">
        <x:v>Canada</x:v>
      </x:c>
      <x:c r="E1490" s="10" t="n">
        <x:v>6</x:v>
      </x:c>
      <x:c r="F1490" s="7" t="n">
        <x:v>67974.94</x:v>
      </x:c>
      <x:c r="G1490" s="8" t="n">
        <x:v>0.7426</x:v>
      </x:c>
    </x:row>
    <x:row r="1491">
      <x:c r="A1491" s="6" t="n">
        <x:v>45444</x:v>
      </x:c>
      <x:c r="B1491" s="5" t="str">
        <x:v>Sales</x:v>
      </x:c>
      <x:c r="C1491" s="5" t="str">
        <x:v>Sales &amp; Marketing</x:v>
      </x:c>
      <x:c r="D1491" s="5" t="str">
        <x:v>Canada</x:v>
      </x:c>
      <x:c r="E1491" s="10" t="n">
        <x:v>7</x:v>
      </x:c>
      <x:c r="F1491" s="7" t="n">
        <x:v>75873.42</x:v>
      </x:c>
      <x:c r="G1491" s="8"/>
    </x:row>
    <x:row r="1492">
      <x:c r="A1492" s="6" t="n">
        <x:v>45444</x:v>
      </x:c>
      <x:c r="B1492" s="5" t="str">
        <x:v>Marketing</x:v>
      </x:c>
      <x:c r="C1492" s="5" t="str">
        <x:v>Sales &amp; Marketing</x:v>
      </x:c>
      <x:c r="D1492" s="5" t="str">
        <x:v>Canada</x:v>
      </x:c>
      <x:c r="E1492" s="10" t="n">
        <x:v>4</x:v>
      </x:c>
      <x:c r="F1492" s="7" t="n">
        <x:v>37365.75</x:v>
      </x:c>
      <x:c r="G1492" s="8"/>
    </x:row>
    <x:row r="1493">
      <x:c r="A1493" s="6" t="n">
        <x:v>45444</x:v>
      </x:c>
      <x:c r="B1493" s="5" t="str">
        <x:v>Product &amp; Engineering</x:v>
      </x:c>
      <x:c r="C1493" s="5" t="str">
        <x:v>Research &amp; Development</x:v>
      </x:c>
      <x:c r="D1493" s="5" t="str">
        <x:v>Canada</x:v>
      </x:c>
      <x:c r="E1493" s="10" t="n">
        <x:v>10</x:v>
      </x:c>
      <x:c r="F1493" s="7" t="n">
        <x:v>145888.82</x:v>
      </x:c>
      <x:c r="G1493" s="8"/>
    </x:row>
    <x:row r="1494">
      <x:c r="A1494" s="6" t="n">
        <x:v>45444</x:v>
      </x:c>
      <x:c r="B1494" s="5" t="str">
        <x:v>Finance</x:v>
      </x:c>
      <x:c r="C1494" s="5" t="str">
        <x:v>General &amp; Administrative</x:v>
      </x:c>
      <x:c r="D1494" s="5" t="str">
        <x:v>Canada</x:v>
      </x:c>
      <x:c r="E1494" s="10" t="n">
        <x:v>2</x:v>
      </x:c>
      <x:c r="F1494" s="7" t="n">
        <x:v>20746.41</x:v>
      </x:c>
      <x:c r="G1494" s="8"/>
    </x:row>
    <x:row r="1495">
      <x:c r="A1495" s="6" t="n">
        <x:v>45444</x:v>
      </x:c>
      <x:c r="B1495" s="5" t="str">
        <x:v>People</x:v>
      </x:c>
      <x:c r="C1495" s="5" t="str">
        <x:v>General &amp; Administrative</x:v>
      </x:c>
      <x:c r="D1495" s="5" t="str">
        <x:v>Canada</x:v>
      </x:c>
      <x:c r="E1495" s="10" t="n">
        <x:v>1</x:v>
      </x:c>
      <x:c r="F1495" s="7" t="n">
        <x:v>22327.68</x:v>
      </x:c>
      <x:c r="G1495" s="8"/>
    </x:row>
    <x:row r="1496">
      <x:c r="A1496" s="6" t="n">
        <x:v>45444</x:v>
      </x:c>
      <x:c r="B1496" s="5" t="str">
        <x:v>Legal &amp; Compliance</x:v>
      </x:c>
      <x:c r="C1496" s="5" t="str">
        <x:v>General &amp; Administrative</x:v>
      </x:c>
      <x:c r="D1496" s="5" t="str">
        <x:v>Canada</x:v>
      </x:c>
      <x:c r="E1496" s="10" t="n">
        <x:v>2</x:v>
      </x:c>
      <x:c r="F1496" s="7" t="n">
        <x:v>27340.76</x:v>
      </x:c>
      <x:c r="G1496" s="8"/>
    </x:row>
    <x:row r="1497">
      <x:c r="A1497" s="6" t="n">
        <x:v>45444</x:v>
      </x:c>
      <x:c r="B1497" s="5" t="str">
        <x:v>Information Technology</x:v>
      </x:c>
      <x:c r="C1497" s="5" t="str">
        <x:v>General &amp; Administrative</x:v>
      </x:c>
      <x:c r="D1497" s="5" t="str">
        <x:v>Canada</x:v>
      </x:c>
      <x:c r="E1497" s="10" t="n">
        <x:v>3</x:v>
      </x:c>
      <x:c r="F1497" s="7" t="n">
        <x:v>37193.95</x:v>
      </x:c>
      <x:c r="G1497" s="8"/>
    </x:row>
    <x:row r="1498">
      <x:c r="A1498" s="6" t="n">
        <x:v>45474</x:v>
      </x:c>
      <x:c r="B1498" s="5" t="str">
        <x:v>Cloud Operations</x:v>
      </x:c>
      <x:c r="C1498" s="5" t="str">
        <x:v>Cost of Revenue</x:v>
      </x:c>
      <x:c r="D1498" s="5" t="str">
        <x:v>Canada</x:v>
      </x:c>
      <x:c r="E1498" s="10" t="n">
        <x:v>4</x:v>
      </x:c>
      <x:c r="F1498" s="7" t="n">
        <x:v>62734.74</x:v>
      </x:c>
      <x:c r="G1498" s="8"/>
    </x:row>
    <x:row r="1499">
      <x:c r="A1499" s="6" t="n">
        <x:v>45474</x:v>
      </x:c>
      <x:c r="B1499" s="5" t="str">
        <x:v>Customer Support</x:v>
      </x:c>
      <x:c r="C1499" s="5" t="str">
        <x:v>Cost of Revenue</x:v>
      </x:c>
      <x:c r="D1499" s="5" t="str">
        <x:v>Canada</x:v>
      </x:c>
      <x:c r="E1499" s="10" t="n">
        <x:v>5</x:v>
      </x:c>
      <x:c r="F1499" s="7" t="n">
        <x:v>35374.54</x:v>
      </x:c>
      <x:c r="G1499" s="8"/>
    </x:row>
    <x:row r="1500">
      <x:c r="A1500" s="6" t="n">
        <x:v>45474</x:v>
      </x:c>
      <x:c r="B1500" s="5" t="str">
        <x:v>Professional Services</x:v>
      </x:c>
      <x:c r="C1500" s="5" t="str">
        <x:v>Cost of Revenue</x:v>
      </x:c>
      <x:c r="D1500" s="5" t="str">
        <x:v>Canada</x:v>
      </x:c>
      <x:c r="E1500" s="10" t="n">
        <x:v>6</x:v>
      </x:c>
      <x:c r="F1500" s="7" t="n">
        <x:v>67974.94</x:v>
      </x:c>
      <x:c r="G1500" s="8" t="n">
        <x:v>0.7621</x:v>
      </x:c>
    </x:row>
    <x:row r="1501">
      <x:c r="A1501" s="6" t="n">
        <x:v>45474</x:v>
      </x:c>
      <x:c r="B1501" s="5" t="str">
        <x:v>Sales</x:v>
      </x:c>
      <x:c r="C1501" s="5" t="str">
        <x:v>Sales &amp; Marketing</x:v>
      </x:c>
      <x:c r="D1501" s="5" t="str">
        <x:v>Canada</x:v>
      </x:c>
      <x:c r="E1501" s="10" t="n">
        <x:v>7</x:v>
      </x:c>
      <x:c r="F1501" s="7" t="n">
        <x:v>75873.42</x:v>
      </x:c>
      <x:c r="G1501" s="8"/>
    </x:row>
    <x:row r="1502">
      <x:c r="A1502" s="6" t="n">
        <x:v>45474</x:v>
      </x:c>
      <x:c r="B1502" s="5" t="str">
        <x:v>Marketing</x:v>
      </x:c>
      <x:c r="C1502" s="5" t="str">
        <x:v>Sales &amp; Marketing</x:v>
      </x:c>
      <x:c r="D1502" s="5" t="str">
        <x:v>Canada</x:v>
      </x:c>
      <x:c r="E1502" s="10" t="n">
        <x:v>4</x:v>
      </x:c>
      <x:c r="F1502" s="7" t="n">
        <x:v>37365.75</x:v>
      </x:c>
      <x:c r="G1502" s="8"/>
    </x:row>
    <x:row r="1503">
      <x:c r="A1503" s="6" t="n">
        <x:v>45474</x:v>
      </x:c>
      <x:c r="B1503" s="5" t="str">
        <x:v>Product &amp; Engineering</x:v>
      </x:c>
      <x:c r="C1503" s="5" t="str">
        <x:v>Research &amp; Development</x:v>
      </x:c>
      <x:c r="D1503" s="5" t="str">
        <x:v>Canada</x:v>
      </x:c>
      <x:c r="E1503" s="10" t="n">
        <x:v>10</x:v>
      </x:c>
      <x:c r="F1503" s="7" t="n">
        <x:v>145888.82</x:v>
      </x:c>
      <x:c r="G1503" s="8"/>
    </x:row>
    <x:row r="1504">
      <x:c r="A1504" s="6" t="n">
        <x:v>45474</x:v>
      </x:c>
      <x:c r="B1504" s="5" t="str">
        <x:v>Finance</x:v>
      </x:c>
      <x:c r="C1504" s="5" t="str">
        <x:v>General &amp; Administrative</x:v>
      </x:c>
      <x:c r="D1504" s="5" t="str">
        <x:v>Canada</x:v>
      </x:c>
      <x:c r="E1504" s="10" t="n">
        <x:v>2</x:v>
      </x:c>
      <x:c r="F1504" s="7" t="n">
        <x:v>20746.41</x:v>
      </x:c>
      <x:c r="G1504" s="8"/>
    </x:row>
    <x:row r="1505">
      <x:c r="A1505" s="6" t="n">
        <x:v>45474</x:v>
      </x:c>
      <x:c r="B1505" s="5" t="str">
        <x:v>People</x:v>
      </x:c>
      <x:c r="C1505" s="5" t="str">
        <x:v>General &amp; Administrative</x:v>
      </x:c>
      <x:c r="D1505" s="5" t="str">
        <x:v>Canada</x:v>
      </x:c>
      <x:c r="E1505" s="10" t="n">
        <x:v>1</x:v>
      </x:c>
      <x:c r="F1505" s="7" t="n">
        <x:v>22327.68</x:v>
      </x:c>
      <x:c r="G1505" s="8"/>
    </x:row>
    <x:row r="1506">
      <x:c r="A1506" s="6" t="n">
        <x:v>45474</x:v>
      </x:c>
      <x:c r="B1506" s="5" t="str">
        <x:v>Legal &amp; Compliance</x:v>
      </x:c>
      <x:c r="C1506" s="5" t="str">
        <x:v>General &amp; Administrative</x:v>
      </x:c>
      <x:c r="D1506" s="5" t="str">
        <x:v>Canada</x:v>
      </x:c>
      <x:c r="E1506" s="10" t="n">
        <x:v>2</x:v>
      </x:c>
      <x:c r="F1506" s="7" t="n">
        <x:v>27340.76</x:v>
      </x:c>
      <x:c r="G1506" s="8"/>
    </x:row>
    <x:row r="1507">
      <x:c r="A1507" s="6" t="n">
        <x:v>45474</x:v>
      </x:c>
      <x:c r="B1507" s="5" t="str">
        <x:v>Information Technology</x:v>
      </x:c>
      <x:c r="C1507" s="5" t="str">
        <x:v>General &amp; Administrative</x:v>
      </x:c>
      <x:c r="D1507" s="5" t="str">
        <x:v>Canada</x:v>
      </x:c>
      <x:c r="E1507" s="10" t="n">
        <x:v>3</x:v>
      </x:c>
      <x:c r="F1507" s="7" t="n">
        <x:v>37193.95</x:v>
      </x:c>
      <x:c r="G1507" s="8"/>
    </x:row>
    <x:row r="1508">
      <x:c r="A1508" s="6" t="n">
        <x:v>45505</x:v>
      </x:c>
      <x:c r="B1508" s="5" t="str">
        <x:v>Cloud Operations</x:v>
      </x:c>
      <x:c r="C1508" s="5" t="str">
        <x:v>Cost of Revenue</x:v>
      </x:c>
      <x:c r="D1508" s="5" t="str">
        <x:v>Canada</x:v>
      </x:c>
      <x:c r="E1508" s="10" t="n">
        <x:v>4</x:v>
      </x:c>
      <x:c r="F1508" s="7" t="n">
        <x:v>62734.74</x:v>
      </x:c>
      <x:c r="G1508" s="8"/>
    </x:row>
    <x:row r="1509">
      <x:c r="A1509" s="6" t="n">
        <x:v>45505</x:v>
      </x:c>
      <x:c r="B1509" s="5" t="str">
        <x:v>Customer Support</x:v>
      </x:c>
      <x:c r="C1509" s="5" t="str">
        <x:v>Cost of Revenue</x:v>
      </x:c>
      <x:c r="D1509" s="5" t="str">
        <x:v>Canada</x:v>
      </x:c>
      <x:c r="E1509" s="10" t="n">
        <x:v>5</x:v>
      </x:c>
      <x:c r="F1509" s="7" t="n">
        <x:v>35374.54</x:v>
      </x:c>
      <x:c r="G1509" s="8"/>
    </x:row>
    <x:row r="1510">
      <x:c r="A1510" s="6" t="n">
        <x:v>45505</x:v>
      </x:c>
      <x:c r="B1510" s="5" t="str">
        <x:v>Professional Services</x:v>
      </x:c>
      <x:c r="C1510" s="5" t="str">
        <x:v>Cost of Revenue</x:v>
      </x:c>
      <x:c r="D1510" s="5" t="str">
        <x:v>Canada</x:v>
      </x:c>
      <x:c r="E1510" s="10" t="n">
        <x:v>6</x:v>
      </x:c>
      <x:c r="F1510" s="7" t="n">
        <x:v>67974.94</x:v>
      </x:c>
      <x:c r="G1510" s="8" t="n">
        <x:v>0.7563</x:v>
      </x:c>
    </x:row>
    <x:row r="1511">
      <x:c r="A1511" s="6" t="n">
        <x:v>45505</x:v>
      </x:c>
      <x:c r="B1511" s="5" t="str">
        <x:v>Sales</x:v>
      </x:c>
      <x:c r="C1511" s="5" t="str">
        <x:v>Sales &amp; Marketing</x:v>
      </x:c>
      <x:c r="D1511" s="5" t="str">
        <x:v>Canada</x:v>
      </x:c>
      <x:c r="E1511" s="10" t="n">
        <x:v>7</x:v>
      </x:c>
      <x:c r="F1511" s="7" t="n">
        <x:v>75873.42</x:v>
      </x:c>
      <x:c r="G1511" s="8"/>
    </x:row>
    <x:row r="1512">
      <x:c r="A1512" s="6" t="n">
        <x:v>45505</x:v>
      </x:c>
      <x:c r="B1512" s="5" t="str">
        <x:v>Marketing</x:v>
      </x:c>
      <x:c r="C1512" s="5" t="str">
        <x:v>Sales &amp; Marketing</x:v>
      </x:c>
      <x:c r="D1512" s="5" t="str">
        <x:v>Canada</x:v>
      </x:c>
      <x:c r="E1512" s="10" t="n">
        <x:v>4</x:v>
      </x:c>
      <x:c r="F1512" s="7" t="n">
        <x:v>37365.75</x:v>
      </x:c>
      <x:c r="G1512" s="8"/>
    </x:row>
    <x:row r="1513">
      <x:c r="A1513" s="6" t="n">
        <x:v>45505</x:v>
      </x:c>
      <x:c r="B1513" s="5" t="str">
        <x:v>Product &amp; Engineering</x:v>
      </x:c>
      <x:c r="C1513" s="5" t="str">
        <x:v>Research &amp; Development</x:v>
      </x:c>
      <x:c r="D1513" s="5" t="str">
        <x:v>Canada</x:v>
      </x:c>
      <x:c r="E1513" s="10" t="n">
        <x:v>10</x:v>
      </x:c>
      <x:c r="F1513" s="7" t="n">
        <x:v>145888.82</x:v>
      </x:c>
      <x:c r="G1513" s="8"/>
    </x:row>
    <x:row r="1514">
      <x:c r="A1514" s="6" t="n">
        <x:v>45505</x:v>
      </x:c>
      <x:c r="B1514" s="5" t="str">
        <x:v>Finance</x:v>
      </x:c>
      <x:c r="C1514" s="5" t="str">
        <x:v>General &amp; Administrative</x:v>
      </x:c>
      <x:c r="D1514" s="5" t="str">
        <x:v>Canada</x:v>
      </x:c>
      <x:c r="E1514" s="10" t="n">
        <x:v>2</x:v>
      </x:c>
      <x:c r="F1514" s="7" t="n">
        <x:v>20746.41</x:v>
      </x:c>
      <x:c r="G1514" s="8"/>
    </x:row>
    <x:row r="1515">
      <x:c r="A1515" s="6" t="n">
        <x:v>45505</x:v>
      </x:c>
      <x:c r="B1515" s="5" t="str">
        <x:v>People</x:v>
      </x:c>
      <x:c r="C1515" s="5" t="str">
        <x:v>General &amp; Administrative</x:v>
      </x:c>
      <x:c r="D1515" s="5" t="str">
        <x:v>Canada</x:v>
      </x:c>
      <x:c r="E1515" s="10" t="n">
        <x:v>1</x:v>
      </x:c>
      <x:c r="F1515" s="7" t="n">
        <x:v>22327.68</x:v>
      </x:c>
      <x:c r="G1515" s="8"/>
    </x:row>
    <x:row r="1516">
      <x:c r="A1516" s="6" t="n">
        <x:v>45505</x:v>
      </x:c>
      <x:c r="B1516" s="5" t="str">
        <x:v>Legal &amp; Compliance</x:v>
      </x:c>
      <x:c r="C1516" s="5" t="str">
        <x:v>General &amp; Administrative</x:v>
      </x:c>
      <x:c r="D1516" s="5" t="str">
        <x:v>Canada</x:v>
      </x:c>
      <x:c r="E1516" s="10" t="n">
        <x:v>2</x:v>
      </x:c>
      <x:c r="F1516" s="7" t="n">
        <x:v>27340.76</x:v>
      </x:c>
      <x:c r="G1516" s="8"/>
    </x:row>
    <x:row r="1517">
      <x:c r="A1517" s="6" t="n">
        <x:v>45505</x:v>
      </x:c>
      <x:c r="B1517" s="5" t="str">
        <x:v>Information Technology</x:v>
      </x:c>
      <x:c r="C1517" s="5" t="str">
        <x:v>General &amp; Administrative</x:v>
      </x:c>
      <x:c r="D1517" s="5" t="str">
        <x:v>Canada</x:v>
      </x:c>
      <x:c r="E1517" s="10" t="n">
        <x:v>3</x:v>
      </x:c>
      <x:c r="F1517" s="7" t="n">
        <x:v>37193.95</x:v>
      </x:c>
      <x:c r="G1517" s="8"/>
    </x:row>
    <x:row r="1518">
      <x:c r="A1518" s="6" t="n">
        <x:v>45536</x:v>
      </x:c>
      <x:c r="B1518" s="5" t="str">
        <x:v>Cloud Operations</x:v>
      </x:c>
      <x:c r="C1518" s="5" t="str">
        <x:v>Cost of Revenue</x:v>
      </x:c>
      <x:c r="D1518" s="5" t="str">
        <x:v>Canada</x:v>
      </x:c>
      <x:c r="E1518" s="10" t="n">
        <x:v>4</x:v>
      </x:c>
      <x:c r="F1518" s="7" t="n">
        <x:v>62734.74</x:v>
      </x:c>
      <x:c r="G1518" s="8"/>
    </x:row>
    <x:row r="1519">
      <x:c r="A1519" s="6" t="n">
        <x:v>45536</x:v>
      </x:c>
      <x:c r="B1519" s="5" t="str">
        <x:v>Customer Support</x:v>
      </x:c>
      <x:c r="C1519" s="5" t="str">
        <x:v>Cost of Revenue</x:v>
      </x:c>
      <x:c r="D1519" s="5" t="str">
        <x:v>Canada</x:v>
      </x:c>
      <x:c r="E1519" s="10" t="n">
        <x:v>5</x:v>
      </x:c>
      <x:c r="F1519" s="7" t="n">
        <x:v>35374.54</x:v>
      </x:c>
      <x:c r="G1519" s="8"/>
    </x:row>
    <x:row r="1520">
      <x:c r="A1520" s="6" t="n">
        <x:v>45536</x:v>
      </x:c>
      <x:c r="B1520" s="5" t="str">
        <x:v>Professional Services</x:v>
      </x:c>
      <x:c r="C1520" s="5" t="str">
        <x:v>Cost of Revenue</x:v>
      </x:c>
      <x:c r="D1520" s="5" t="str">
        <x:v>Canada</x:v>
      </x:c>
      <x:c r="E1520" s="10" t="n">
        <x:v>5</x:v>
      </x:c>
      <x:c r="F1520" s="7" t="n">
        <x:v>59807.63</x:v>
      </x:c>
      <x:c r="G1520" s="8" t="n">
        <x:v>0.7428</x:v>
      </x:c>
    </x:row>
    <x:row r="1521">
      <x:c r="A1521" s="6" t="n">
        <x:v>45536</x:v>
      </x:c>
      <x:c r="B1521" s="5" t="str">
        <x:v>Sales</x:v>
      </x:c>
      <x:c r="C1521" s="5" t="str">
        <x:v>Sales &amp; Marketing</x:v>
      </x:c>
      <x:c r="D1521" s="5" t="str">
        <x:v>Canada</x:v>
      </x:c>
      <x:c r="E1521" s="10" t="n">
        <x:v>7</x:v>
      </x:c>
      <x:c r="F1521" s="7" t="n">
        <x:v>75873.42</x:v>
      </x:c>
      <x:c r="G1521" s="8"/>
    </x:row>
    <x:row r="1522">
      <x:c r="A1522" s="6" t="n">
        <x:v>45536</x:v>
      </x:c>
      <x:c r="B1522" s="5" t="str">
        <x:v>Marketing</x:v>
      </x:c>
      <x:c r="C1522" s="5" t="str">
        <x:v>Sales &amp; Marketing</x:v>
      </x:c>
      <x:c r="D1522" s="5" t="str">
        <x:v>Canada</x:v>
      </x:c>
      <x:c r="E1522" s="10" t="n">
        <x:v>4</x:v>
      </x:c>
      <x:c r="F1522" s="7" t="n">
        <x:v>37365.75</x:v>
      </x:c>
      <x:c r="G1522" s="8"/>
    </x:row>
    <x:row r="1523">
      <x:c r="A1523" s="6" t="n">
        <x:v>45536</x:v>
      </x:c>
      <x:c r="B1523" s="5" t="str">
        <x:v>Product &amp; Engineering</x:v>
      </x:c>
      <x:c r="C1523" s="5" t="str">
        <x:v>Research &amp; Development</x:v>
      </x:c>
      <x:c r="D1523" s="5" t="str">
        <x:v>Canada</x:v>
      </x:c>
      <x:c r="E1523" s="10" t="n">
        <x:v>10</x:v>
      </x:c>
      <x:c r="F1523" s="7" t="n">
        <x:v>145888.82</x:v>
      </x:c>
      <x:c r="G1523" s="8"/>
    </x:row>
    <x:row r="1524">
      <x:c r="A1524" s="6" t="n">
        <x:v>45536</x:v>
      </x:c>
      <x:c r="B1524" s="5" t="str">
        <x:v>Finance</x:v>
      </x:c>
      <x:c r="C1524" s="5" t="str">
        <x:v>General &amp; Administrative</x:v>
      </x:c>
      <x:c r="D1524" s="5" t="str">
        <x:v>Canada</x:v>
      </x:c>
      <x:c r="E1524" s="10" t="n">
        <x:v>2</x:v>
      </x:c>
      <x:c r="F1524" s="7" t="n">
        <x:v>20746.41</x:v>
      </x:c>
      <x:c r="G1524" s="8"/>
    </x:row>
    <x:row r="1525">
      <x:c r="A1525" s="6" t="n">
        <x:v>45536</x:v>
      </x:c>
      <x:c r="B1525" s="5" t="str">
        <x:v>People</x:v>
      </x:c>
      <x:c r="C1525" s="5" t="str">
        <x:v>General &amp; Administrative</x:v>
      </x:c>
      <x:c r="D1525" s="5" t="str">
        <x:v>Canada</x:v>
      </x:c>
      <x:c r="E1525" s="10" t="n">
        <x:v>1</x:v>
      </x:c>
      <x:c r="F1525" s="7" t="n">
        <x:v>22327.68</x:v>
      </x:c>
      <x:c r="G1525" s="8"/>
    </x:row>
    <x:row r="1526">
      <x:c r="A1526" s="6" t="n">
        <x:v>45536</x:v>
      </x:c>
      <x:c r="B1526" s="5" t="str">
        <x:v>Legal &amp; Compliance</x:v>
      </x:c>
      <x:c r="C1526" s="5" t="str">
        <x:v>General &amp; Administrative</x:v>
      </x:c>
      <x:c r="D1526" s="5" t="str">
        <x:v>Canada</x:v>
      </x:c>
      <x:c r="E1526" s="10" t="n">
        <x:v>2</x:v>
      </x:c>
      <x:c r="F1526" s="7" t="n">
        <x:v>27340.76</x:v>
      </x:c>
      <x:c r="G1526" s="8"/>
    </x:row>
    <x:row r="1527">
      <x:c r="A1527" s="6" t="n">
        <x:v>45536</x:v>
      </x:c>
      <x:c r="B1527" s="5" t="str">
        <x:v>Information Technology</x:v>
      </x:c>
      <x:c r="C1527" s="5" t="str">
        <x:v>General &amp; Administrative</x:v>
      </x:c>
      <x:c r="D1527" s="5" t="str">
        <x:v>Canada</x:v>
      </x:c>
      <x:c r="E1527" s="10" t="n">
        <x:v>3</x:v>
      </x:c>
      <x:c r="F1527" s="7" t="n">
        <x:v>37193.95</x:v>
      </x:c>
      <x:c r="G1527" s="8"/>
    </x:row>
    <x:row r="1528">
      <x:c r="A1528" s="6" t="n">
        <x:v>45566</x:v>
      </x:c>
      <x:c r="B1528" s="5" t="str">
        <x:v>Cloud Operations</x:v>
      </x:c>
      <x:c r="C1528" s="5" t="str">
        <x:v>Cost of Revenue</x:v>
      </x:c>
      <x:c r="D1528" s="5" t="str">
        <x:v>Canada</x:v>
      </x:c>
      <x:c r="E1528" s="10" t="n">
        <x:v>4</x:v>
      </x:c>
      <x:c r="F1528" s="7" t="n">
        <x:v>62734.74</x:v>
      </x:c>
      <x:c r="G1528" s="8"/>
    </x:row>
    <x:row r="1529">
      <x:c r="A1529" s="6" t="n">
        <x:v>45566</x:v>
      </x:c>
      <x:c r="B1529" s="5" t="str">
        <x:v>Customer Support</x:v>
      </x:c>
      <x:c r="C1529" s="5" t="str">
        <x:v>Cost of Revenue</x:v>
      </x:c>
      <x:c r="D1529" s="5" t="str">
        <x:v>Canada</x:v>
      </x:c>
      <x:c r="E1529" s="10" t="n">
        <x:v>5</x:v>
      </x:c>
      <x:c r="F1529" s="7" t="n">
        <x:v>35374.54</x:v>
      </x:c>
      <x:c r="G1529" s="8"/>
    </x:row>
    <x:row r="1530">
      <x:c r="A1530" s="6" t="n">
        <x:v>45566</x:v>
      </x:c>
      <x:c r="B1530" s="5" t="str">
        <x:v>Professional Services</x:v>
      </x:c>
      <x:c r="C1530" s="5" t="str">
        <x:v>Cost of Revenue</x:v>
      </x:c>
      <x:c r="D1530" s="5" t="str">
        <x:v>Canada</x:v>
      </x:c>
      <x:c r="E1530" s="10" t="n">
        <x:v>5</x:v>
      </x:c>
      <x:c r="F1530" s="7" t="n">
        <x:v>59807.63</x:v>
      </x:c>
      <x:c r="G1530" s="8" t="n">
        <x:v>0.7564</x:v>
      </x:c>
    </x:row>
    <x:row r="1531">
      <x:c r="A1531" s="6" t="n">
        <x:v>45566</x:v>
      </x:c>
      <x:c r="B1531" s="5" t="str">
        <x:v>Sales</x:v>
      </x:c>
      <x:c r="C1531" s="5" t="str">
        <x:v>Sales &amp; Marketing</x:v>
      </x:c>
      <x:c r="D1531" s="5" t="str">
        <x:v>Canada</x:v>
      </x:c>
      <x:c r="E1531" s="10" t="n">
        <x:v>7</x:v>
      </x:c>
      <x:c r="F1531" s="7" t="n">
        <x:v>75873.42</x:v>
      </x:c>
      <x:c r="G1531" s="8"/>
    </x:row>
    <x:row r="1532">
      <x:c r="A1532" s="6" t="n">
        <x:v>45566</x:v>
      </x:c>
      <x:c r="B1532" s="5" t="str">
        <x:v>Marketing</x:v>
      </x:c>
      <x:c r="C1532" s="5" t="str">
        <x:v>Sales &amp; Marketing</x:v>
      </x:c>
      <x:c r="D1532" s="5" t="str">
        <x:v>Canada</x:v>
      </x:c>
      <x:c r="E1532" s="10" t="n">
        <x:v>4</x:v>
      </x:c>
      <x:c r="F1532" s="7" t="n">
        <x:v>37365.75</x:v>
      </x:c>
      <x:c r="G1532" s="8"/>
    </x:row>
    <x:row r="1533">
      <x:c r="A1533" s="6" t="n">
        <x:v>45566</x:v>
      </x:c>
      <x:c r="B1533" s="5" t="str">
        <x:v>Product &amp; Engineering</x:v>
      </x:c>
      <x:c r="C1533" s="5" t="str">
        <x:v>Research &amp; Development</x:v>
      </x:c>
      <x:c r="D1533" s="5" t="str">
        <x:v>Canada</x:v>
      </x:c>
      <x:c r="E1533" s="10" t="n">
        <x:v>10</x:v>
      </x:c>
      <x:c r="F1533" s="7" t="n">
        <x:v>145888.82</x:v>
      </x:c>
      <x:c r="G1533" s="8"/>
    </x:row>
    <x:row r="1534">
      <x:c r="A1534" s="6" t="n">
        <x:v>45566</x:v>
      </x:c>
      <x:c r="B1534" s="5" t="str">
        <x:v>Finance</x:v>
      </x:c>
      <x:c r="C1534" s="5" t="str">
        <x:v>General &amp; Administrative</x:v>
      </x:c>
      <x:c r="D1534" s="5" t="str">
        <x:v>Canada</x:v>
      </x:c>
      <x:c r="E1534" s="10" t="n">
        <x:v>2</x:v>
      </x:c>
      <x:c r="F1534" s="7" t="n">
        <x:v>20746.41</x:v>
      </x:c>
      <x:c r="G1534" s="8"/>
    </x:row>
    <x:row r="1535">
      <x:c r="A1535" s="6" t="n">
        <x:v>45566</x:v>
      </x:c>
      <x:c r="B1535" s="5" t="str">
        <x:v>People</x:v>
      </x:c>
      <x:c r="C1535" s="5" t="str">
        <x:v>General &amp; Administrative</x:v>
      </x:c>
      <x:c r="D1535" s="5" t="str">
        <x:v>Canada</x:v>
      </x:c>
      <x:c r="E1535" s="10" t="n">
        <x:v>1</x:v>
      </x:c>
      <x:c r="F1535" s="7" t="n">
        <x:v>22327.68</x:v>
      </x:c>
      <x:c r="G1535" s="8"/>
    </x:row>
    <x:row r="1536">
      <x:c r="A1536" s="6" t="n">
        <x:v>45566</x:v>
      </x:c>
      <x:c r="B1536" s="5" t="str">
        <x:v>Legal &amp; Compliance</x:v>
      </x:c>
      <x:c r="C1536" s="5" t="str">
        <x:v>General &amp; Administrative</x:v>
      </x:c>
      <x:c r="D1536" s="5" t="str">
        <x:v>Canada</x:v>
      </x:c>
      <x:c r="E1536" s="10" t="n">
        <x:v>2</x:v>
      </x:c>
      <x:c r="F1536" s="7" t="n">
        <x:v>27340.76</x:v>
      </x:c>
      <x:c r="G1536" s="8"/>
    </x:row>
    <x:row r="1537">
      <x:c r="A1537" s="6" t="n">
        <x:v>45566</x:v>
      </x:c>
      <x:c r="B1537" s="5" t="str">
        <x:v>Information Technology</x:v>
      </x:c>
      <x:c r="C1537" s="5" t="str">
        <x:v>General &amp; Administrative</x:v>
      </x:c>
      <x:c r="D1537" s="5" t="str">
        <x:v>Canada</x:v>
      </x:c>
      <x:c r="E1537" s="10" t="n">
        <x:v>3</x:v>
      </x:c>
      <x:c r="F1537" s="7" t="n">
        <x:v>37193.95</x:v>
      </x:c>
      <x:c r="G1537" s="8"/>
    </x:row>
    <x:row r="1538">
      <x:c r="A1538" s="6" t="n">
        <x:v>45597</x:v>
      </x:c>
      <x:c r="B1538" s="5" t="str">
        <x:v>Cloud Operations</x:v>
      </x:c>
      <x:c r="C1538" s="5" t="str">
        <x:v>Cost of Revenue</x:v>
      </x:c>
      <x:c r="D1538" s="5" t="str">
        <x:v>Canada</x:v>
      </x:c>
      <x:c r="E1538" s="10" t="n">
        <x:v>5</x:v>
      </x:c>
      <x:c r="F1538" s="7" t="n">
        <x:v>76317.1</x:v>
      </x:c>
      <x:c r="G1538" s="8"/>
    </x:row>
    <x:row r="1539">
      <x:c r="A1539" s="6" t="n">
        <x:v>45597</x:v>
      </x:c>
      <x:c r="B1539" s="5" t="str">
        <x:v>Customer Support</x:v>
      </x:c>
      <x:c r="C1539" s="5" t="str">
        <x:v>Cost of Revenue</x:v>
      </x:c>
      <x:c r="D1539" s="5" t="str">
        <x:v>Canada</x:v>
      </x:c>
      <x:c r="E1539" s="10" t="n">
        <x:v>5</x:v>
      </x:c>
      <x:c r="F1539" s="7" t="n">
        <x:v>35374.54</x:v>
      </x:c>
      <x:c r="G1539" s="8"/>
    </x:row>
    <x:row r="1540">
      <x:c r="A1540" s="6" t="n">
        <x:v>45597</x:v>
      </x:c>
      <x:c r="B1540" s="5" t="str">
        <x:v>Professional Services</x:v>
      </x:c>
      <x:c r="C1540" s="5" t="str">
        <x:v>Cost of Revenue</x:v>
      </x:c>
      <x:c r="D1540" s="5" t="str">
        <x:v>Canada</x:v>
      </x:c>
      <x:c r="E1540" s="10" t="n">
        <x:v>5</x:v>
      </x:c>
      <x:c r="F1540" s="7" t="n">
        <x:v>59807.63</x:v>
      </x:c>
      <x:c r="G1540" s="8" t="n">
        <x:v>0.7364</x:v>
      </x:c>
    </x:row>
    <x:row r="1541">
      <x:c r="A1541" s="6" t="n">
        <x:v>45597</x:v>
      </x:c>
      <x:c r="B1541" s="5" t="str">
        <x:v>Sales</x:v>
      </x:c>
      <x:c r="C1541" s="5" t="str">
        <x:v>Sales &amp; Marketing</x:v>
      </x:c>
      <x:c r="D1541" s="5" t="str">
        <x:v>Canada</x:v>
      </x:c>
      <x:c r="E1541" s="10" t="n">
        <x:v>7</x:v>
      </x:c>
      <x:c r="F1541" s="7" t="n">
        <x:v>75873.42</x:v>
      </x:c>
      <x:c r="G1541" s="8"/>
    </x:row>
    <x:row r="1542">
      <x:c r="A1542" s="6" t="n">
        <x:v>45597</x:v>
      </x:c>
      <x:c r="B1542" s="5" t="str">
        <x:v>Marketing</x:v>
      </x:c>
      <x:c r="C1542" s="5" t="str">
        <x:v>Sales &amp; Marketing</x:v>
      </x:c>
      <x:c r="D1542" s="5" t="str">
        <x:v>Canada</x:v>
      </x:c>
      <x:c r="E1542" s="10" t="n">
        <x:v>4</x:v>
      </x:c>
      <x:c r="F1542" s="7" t="n">
        <x:v>37365.75</x:v>
      </x:c>
      <x:c r="G1542" s="8"/>
    </x:row>
    <x:row r="1543">
      <x:c r="A1543" s="6" t="n">
        <x:v>45597</x:v>
      </x:c>
      <x:c r="B1543" s="5" t="str">
        <x:v>Product &amp; Engineering</x:v>
      </x:c>
      <x:c r="C1543" s="5" t="str">
        <x:v>Research &amp; Development</x:v>
      </x:c>
      <x:c r="D1543" s="5" t="str">
        <x:v>Canada</x:v>
      </x:c>
      <x:c r="E1543" s="10" t="n">
        <x:v>10</x:v>
      </x:c>
      <x:c r="F1543" s="7" t="n">
        <x:v>145888.82</x:v>
      </x:c>
      <x:c r="G1543" s="8"/>
    </x:row>
    <x:row r="1544">
      <x:c r="A1544" s="6" t="n">
        <x:v>45597</x:v>
      </x:c>
      <x:c r="B1544" s="5" t="str">
        <x:v>Finance</x:v>
      </x:c>
      <x:c r="C1544" s="5" t="str">
        <x:v>General &amp; Administrative</x:v>
      </x:c>
      <x:c r="D1544" s="5" t="str">
        <x:v>Canada</x:v>
      </x:c>
      <x:c r="E1544" s="10" t="n">
        <x:v>2</x:v>
      </x:c>
      <x:c r="F1544" s="7" t="n">
        <x:v>20746.41</x:v>
      </x:c>
      <x:c r="G1544" s="8"/>
    </x:row>
    <x:row r="1545">
      <x:c r="A1545" s="6" t="n">
        <x:v>45597</x:v>
      </x:c>
      <x:c r="B1545" s="5" t="str">
        <x:v>People</x:v>
      </x:c>
      <x:c r="C1545" s="5" t="str">
        <x:v>General &amp; Administrative</x:v>
      </x:c>
      <x:c r="D1545" s="5" t="str">
        <x:v>Canada</x:v>
      </x:c>
      <x:c r="E1545" s="10" t="n">
        <x:v>1</x:v>
      </x:c>
      <x:c r="F1545" s="7" t="n">
        <x:v>22327.68</x:v>
      </x:c>
      <x:c r="G1545" s="8"/>
    </x:row>
    <x:row r="1546">
      <x:c r="A1546" s="6" t="n">
        <x:v>45597</x:v>
      </x:c>
      <x:c r="B1546" s="5" t="str">
        <x:v>Legal &amp; Compliance</x:v>
      </x:c>
      <x:c r="C1546" s="5" t="str">
        <x:v>General &amp; Administrative</x:v>
      </x:c>
      <x:c r="D1546" s="5" t="str">
        <x:v>Canada</x:v>
      </x:c>
      <x:c r="E1546" s="10" t="n">
        <x:v>2</x:v>
      </x:c>
      <x:c r="F1546" s="7" t="n">
        <x:v>27340.76</x:v>
      </x:c>
      <x:c r="G1546" s="8"/>
    </x:row>
    <x:row r="1547">
      <x:c r="A1547" s="6" t="n">
        <x:v>45597</x:v>
      </x:c>
      <x:c r="B1547" s="5" t="str">
        <x:v>Information Technology</x:v>
      </x:c>
      <x:c r="C1547" s="5" t="str">
        <x:v>General &amp; Administrative</x:v>
      </x:c>
      <x:c r="D1547" s="5" t="str">
        <x:v>Canada</x:v>
      </x:c>
      <x:c r="E1547" s="10" t="n">
        <x:v>3</x:v>
      </x:c>
      <x:c r="F1547" s="7" t="n">
        <x:v>37193.95</x:v>
      </x:c>
      <x:c r="G1547" s="8"/>
    </x:row>
    <x:row r="1548">
      <x:c r="A1548" s="6" t="n">
        <x:v>45627</x:v>
      </x:c>
      <x:c r="B1548" s="5" t="str">
        <x:v>Cloud Operations</x:v>
      </x:c>
      <x:c r="C1548" s="5" t="str">
        <x:v>Cost of Revenue</x:v>
      </x:c>
      <x:c r="D1548" s="5" t="str">
        <x:v>Canada</x:v>
      </x:c>
      <x:c r="E1548" s="10" t="n">
        <x:v>5</x:v>
      </x:c>
      <x:c r="F1548" s="7" t="n">
        <x:v>76317.1</x:v>
      </x:c>
      <x:c r="G1548" s="8"/>
    </x:row>
    <x:row r="1549">
      <x:c r="A1549" s="6" t="n">
        <x:v>45627</x:v>
      </x:c>
      <x:c r="B1549" s="5" t="str">
        <x:v>Customer Support</x:v>
      </x:c>
      <x:c r="C1549" s="5" t="str">
        <x:v>Cost of Revenue</x:v>
      </x:c>
      <x:c r="D1549" s="5" t="str">
        <x:v>Canada</x:v>
      </x:c>
      <x:c r="E1549" s="10" t="n">
        <x:v>5</x:v>
      </x:c>
      <x:c r="F1549" s="7" t="n">
        <x:v>35374.54</x:v>
      </x:c>
      <x:c r="G1549" s="8"/>
    </x:row>
    <x:row r="1550">
      <x:c r="A1550" s="6" t="n">
        <x:v>45627</x:v>
      </x:c>
      <x:c r="B1550" s="5" t="str">
        <x:v>Professional Services</x:v>
      </x:c>
      <x:c r="C1550" s="5" t="str">
        <x:v>Cost of Revenue</x:v>
      </x:c>
      <x:c r="D1550" s="5" t="str">
        <x:v>Canada</x:v>
      </x:c>
      <x:c r="E1550" s="10" t="n">
        <x:v>5</x:v>
      </x:c>
      <x:c r="F1550" s="7" t="n">
        <x:v>59807.63</x:v>
      </x:c>
      <x:c r="G1550" s="8" t="n">
        <x:v>0.7355</x:v>
      </x:c>
    </x:row>
    <x:row r="1551">
      <x:c r="A1551" s="6" t="n">
        <x:v>45627</x:v>
      </x:c>
      <x:c r="B1551" s="5" t="str">
        <x:v>Sales</x:v>
      </x:c>
      <x:c r="C1551" s="5" t="str">
        <x:v>Sales &amp; Marketing</x:v>
      </x:c>
      <x:c r="D1551" s="5" t="str">
        <x:v>Canada</x:v>
      </x:c>
      <x:c r="E1551" s="10" t="n">
        <x:v>7</x:v>
      </x:c>
      <x:c r="F1551" s="7" t="n">
        <x:v>75873.42</x:v>
      </x:c>
      <x:c r="G1551" s="8"/>
    </x:row>
    <x:row r="1552">
      <x:c r="A1552" s="6" t="n">
        <x:v>45627</x:v>
      </x:c>
      <x:c r="B1552" s="5" t="str">
        <x:v>Marketing</x:v>
      </x:c>
      <x:c r="C1552" s="5" t="str">
        <x:v>Sales &amp; Marketing</x:v>
      </x:c>
      <x:c r="D1552" s="5" t="str">
        <x:v>Canada</x:v>
      </x:c>
      <x:c r="E1552" s="10" t="n">
        <x:v>4</x:v>
      </x:c>
      <x:c r="F1552" s="7" t="n">
        <x:v>37365.75</x:v>
      </x:c>
      <x:c r="G1552" s="8"/>
    </x:row>
    <x:row r="1553">
      <x:c r="A1553" s="6" t="n">
        <x:v>45627</x:v>
      </x:c>
      <x:c r="B1553" s="5" t="str">
        <x:v>Product &amp; Engineering</x:v>
      </x:c>
      <x:c r="C1553" s="5" t="str">
        <x:v>Research &amp; Development</x:v>
      </x:c>
      <x:c r="D1553" s="5" t="str">
        <x:v>Canada</x:v>
      </x:c>
      <x:c r="E1553" s="10" t="n">
        <x:v>10</x:v>
      </x:c>
      <x:c r="F1553" s="7" t="n">
        <x:v>145888.82</x:v>
      </x:c>
      <x:c r="G1553" s="8"/>
    </x:row>
    <x:row r="1554">
      <x:c r="A1554" s="6" t="n">
        <x:v>45627</x:v>
      </x:c>
      <x:c r="B1554" s="5" t="str">
        <x:v>Finance</x:v>
      </x:c>
      <x:c r="C1554" s="5" t="str">
        <x:v>General &amp; Administrative</x:v>
      </x:c>
      <x:c r="D1554" s="5" t="str">
        <x:v>Canada</x:v>
      </x:c>
      <x:c r="E1554" s="10" t="n">
        <x:v>2</x:v>
      </x:c>
      <x:c r="F1554" s="7" t="n">
        <x:v>20746.41</x:v>
      </x:c>
      <x:c r="G1554" s="8"/>
    </x:row>
    <x:row r="1555">
      <x:c r="A1555" s="6" t="n">
        <x:v>45627</x:v>
      </x:c>
      <x:c r="B1555" s="5" t="str">
        <x:v>People</x:v>
      </x:c>
      <x:c r="C1555" s="5" t="str">
        <x:v>General &amp; Administrative</x:v>
      </x:c>
      <x:c r="D1555" s="5" t="str">
        <x:v>Canada</x:v>
      </x:c>
      <x:c r="E1555" s="10" t="n">
        <x:v>1</x:v>
      </x:c>
      <x:c r="F1555" s="7" t="n">
        <x:v>22327.68</x:v>
      </x:c>
      <x:c r="G1555" s="8"/>
    </x:row>
    <x:row r="1556">
      <x:c r="A1556" s="6" t="n">
        <x:v>45627</x:v>
      </x:c>
      <x:c r="B1556" s="5" t="str">
        <x:v>Legal &amp; Compliance</x:v>
      </x:c>
      <x:c r="C1556" s="5" t="str">
        <x:v>General &amp; Administrative</x:v>
      </x:c>
      <x:c r="D1556" s="5" t="str">
        <x:v>Canada</x:v>
      </x:c>
      <x:c r="E1556" s="10" t="n">
        <x:v>2</x:v>
      </x:c>
      <x:c r="F1556" s="7" t="n">
        <x:v>27340.76</x:v>
      </x:c>
      <x:c r="G1556" s="8"/>
    </x:row>
    <x:row r="1557">
      <x:c r="A1557" s="6" t="n">
        <x:v>45627</x:v>
      </x:c>
      <x:c r="B1557" s="5" t="str">
        <x:v>Information Technology</x:v>
      </x:c>
      <x:c r="C1557" s="5" t="str">
        <x:v>General &amp; Administrative</x:v>
      </x:c>
      <x:c r="D1557" s="5" t="str">
        <x:v>Canada</x:v>
      </x:c>
      <x:c r="E1557" s="10" t="n">
        <x:v>3</x:v>
      </x:c>
      <x:c r="F1557" s="7" t="n">
        <x:v>37193.95</x:v>
      </x:c>
      <x:c r="G1557" s="8"/>
    </x:row>
    <x:row r="1558">
      <x:c r="A1558" s="6" t="n">
        <x:v>45658</x:v>
      </x:c>
      <x:c r="B1558" s="5" t="str">
        <x:v>Cloud Operations</x:v>
      </x:c>
      <x:c r="C1558" s="5" t="str">
        <x:v>Cost of Revenue</x:v>
      </x:c>
      <x:c r="D1558" s="5" t="str">
        <x:v>Canada</x:v>
      </x:c>
      <x:c r="E1558" s="10" t="n">
        <x:v>5</x:v>
      </x:c>
      <x:c r="F1558" s="7" t="n">
        <x:v>78988.19</x:v>
      </x:c>
      <x:c r="G1558" s="8"/>
    </x:row>
    <x:row r="1559">
      <x:c r="A1559" s="6" t="n">
        <x:v>45658</x:v>
      </x:c>
      <x:c r="B1559" s="5" t="str">
        <x:v>Customer Support</x:v>
      </x:c>
      <x:c r="C1559" s="5" t="str">
        <x:v>Cost of Revenue</x:v>
      </x:c>
      <x:c r="D1559" s="5" t="str">
        <x:v>Canada</x:v>
      </x:c>
      <x:c r="E1559" s="10" t="n">
        <x:v>5</x:v>
      </x:c>
      <x:c r="F1559" s="7" t="n">
        <x:v>36612.66</x:v>
      </x:c>
      <x:c r="G1559" s="8"/>
    </x:row>
    <x:row r="1560">
      <x:c r="A1560" s="6" t="n">
        <x:v>45658</x:v>
      </x:c>
      <x:c r="B1560" s="5" t="str">
        <x:v>Professional Services</x:v>
      </x:c>
      <x:c r="C1560" s="5" t="str">
        <x:v>Cost of Revenue</x:v>
      </x:c>
      <x:c r="D1560" s="5" t="str">
        <x:v>Canada</x:v>
      </x:c>
      <x:c r="E1560" s="10" t="n">
        <x:v>4</x:v>
      </x:c>
      <x:c r="F1560" s="7" t="n">
        <x:v>49295.53</x:v>
      </x:c>
      <x:c r="G1560" s="8" t="n">
        <x:v>0.6577</x:v>
      </x:c>
    </x:row>
    <x:row r="1561">
      <x:c r="A1561" s="6" t="n">
        <x:v>45658</x:v>
      </x:c>
      <x:c r="B1561" s="5" t="str">
        <x:v>Sales</x:v>
      </x:c>
      <x:c r="C1561" s="5" t="str">
        <x:v>Sales &amp; Marketing</x:v>
      </x:c>
      <x:c r="D1561" s="5" t="str">
        <x:v>Canada</x:v>
      </x:c>
      <x:c r="E1561" s="10" t="n">
        <x:v>7</x:v>
      </x:c>
      <x:c r="F1561" s="7" t="n">
        <x:v>78529.02</x:v>
      </x:c>
      <x:c r="G1561" s="8"/>
    </x:row>
    <x:row r="1562">
      <x:c r="A1562" s="6" t="n">
        <x:v>45658</x:v>
      </x:c>
      <x:c r="B1562" s="5" t="str">
        <x:v>Marketing</x:v>
      </x:c>
      <x:c r="C1562" s="5" t="str">
        <x:v>Sales &amp; Marketing</x:v>
      </x:c>
      <x:c r="D1562" s="5" t="str">
        <x:v>Canada</x:v>
      </x:c>
      <x:c r="E1562" s="10" t="n">
        <x:v>4</x:v>
      </x:c>
      <x:c r="F1562" s="7" t="n">
        <x:v>38673.57</x:v>
      </x:c>
      <x:c r="G1562" s="8"/>
    </x:row>
    <x:row r="1563">
      <x:c r="A1563" s="6" t="n">
        <x:v>45658</x:v>
      </x:c>
      <x:c r="B1563" s="5" t="str">
        <x:v>Product &amp; Engineering</x:v>
      </x:c>
      <x:c r="C1563" s="5" t="str">
        <x:v>Research &amp; Development</x:v>
      </x:c>
      <x:c r="D1563" s="5" t="str">
        <x:v>Canada</x:v>
      </x:c>
      <x:c r="E1563" s="10" t="n">
        <x:v>10</x:v>
      </x:c>
      <x:c r="F1563" s="7" t="n">
        <x:v>150994.93</x:v>
      </x:c>
      <x:c r="G1563" s="8"/>
    </x:row>
    <x:row r="1564">
      <x:c r="A1564" s="6" t="n">
        <x:v>45658</x:v>
      </x:c>
      <x:c r="B1564" s="5" t="str">
        <x:v>Finance</x:v>
      </x:c>
      <x:c r="C1564" s="5" t="str">
        <x:v>General &amp; Administrative</x:v>
      </x:c>
      <x:c r="D1564" s="5" t="str">
        <x:v>Canada</x:v>
      </x:c>
      <x:c r="E1564" s="10" t="n">
        <x:v>2</x:v>
      </x:c>
      <x:c r="F1564" s="7" t="n">
        <x:v>21472.53</x:v>
      </x:c>
      <x:c r="G1564" s="8"/>
    </x:row>
    <x:row r="1565">
      <x:c r="A1565" s="6" t="n">
        <x:v>45658</x:v>
      </x:c>
      <x:c r="B1565" s="5" t="str">
        <x:v>People</x:v>
      </x:c>
      <x:c r="C1565" s="5" t="str">
        <x:v>General &amp; Administrative</x:v>
      </x:c>
      <x:c r="D1565" s="5" t="str">
        <x:v>Canada</x:v>
      </x:c>
      <x:c r="E1565" s="10" t="n">
        <x:v>1</x:v>
      </x:c>
      <x:c r="F1565" s="7" t="n">
        <x:v>23109.15</x:v>
      </x:c>
      <x:c r="G1565" s="8"/>
    </x:row>
    <x:row r="1566">
      <x:c r="A1566" s="6" t="n">
        <x:v>45658</x:v>
      </x:c>
      <x:c r="B1566" s="5" t="str">
        <x:v>Legal &amp; Compliance</x:v>
      </x:c>
      <x:c r="C1566" s="5" t="str">
        <x:v>General &amp; Administrative</x:v>
      </x:c>
      <x:c r="D1566" s="5" t="str">
        <x:v>Canada</x:v>
      </x:c>
      <x:c r="E1566" s="10" t="n">
        <x:v>2</x:v>
      </x:c>
      <x:c r="F1566" s="7" t="n">
        <x:v>28297.69</x:v>
      </x:c>
      <x:c r="G1566" s="8"/>
    </x:row>
    <x:row r="1567">
      <x:c r="A1567" s="6" t="n">
        <x:v>45658</x:v>
      </x:c>
      <x:c r="B1567" s="5" t="str">
        <x:v>Information Technology</x:v>
      </x:c>
      <x:c r="C1567" s="5" t="str">
        <x:v>General &amp; Administrative</x:v>
      </x:c>
      <x:c r="D1567" s="5" t="str">
        <x:v>Canada</x:v>
      </x:c>
      <x:c r="E1567" s="10" t="n">
        <x:v>3</x:v>
      </x:c>
      <x:c r="F1567" s="7" t="n">
        <x:v>38495.74</x:v>
      </x:c>
      <x:c r="G1567" s="8"/>
    </x:row>
    <x:row r="1568">
      <x:c r="A1568" s="6" t="n">
        <x:v>45689</x:v>
      </x:c>
      <x:c r="B1568" s="5" t="str">
        <x:v>Cloud Operations</x:v>
      </x:c>
      <x:c r="C1568" s="5" t="str">
        <x:v>Cost of Revenue</x:v>
      </x:c>
      <x:c r="D1568" s="5" t="str">
        <x:v>Canada</x:v>
      </x:c>
      <x:c r="E1568" s="10" t="n">
        <x:v>5</x:v>
      </x:c>
      <x:c r="F1568" s="7" t="n">
        <x:v>78988.19</x:v>
      </x:c>
      <x:c r="G1568" s="8"/>
    </x:row>
    <x:row r="1569">
      <x:c r="A1569" s="6" t="n">
        <x:v>45689</x:v>
      </x:c>
      <x:c r="B1569" s="5" t="str">
        <x:v>Customer Support</x:v>
      </x:c>
      <x:c r="C1569" s="5" t="str">
        <x:v>Cost of Revenue</x:v>
      </x:c>
      <x:c r="D1569" s="5" t="str">
        <x:v>Canada</x:v>
      </x:c>
      <x:c r="E1569" s="10" t="n">
        <x:v>5</x:v>
      </x:c>
      <x:c r="F1569" s="7" t="n">
        <x:v>36612.66</x:v>
      </x:c>
      <x:c r="G1569" s="8"/>
    </x:row>
    <x:row r="1570">
      <x:c r="A1570" s="6" t="n">
        <x:v>45689</x:v>
      </x:c>
      <x:c r="B1570" s="5" t="str">
        <x:v>Professional Services</x:v>
      </x:c>
      <x:c r="C1570" s="5" t="str">
        <x:v>Cost of Revenue</x:v>
      </x:c>
      <x:c r="D1570" s="5" t="str">
        <x:v>Canada</x:v>
      </x:c>
      <x:c r="E1570" s="10" t="n">
        <x:v>4</x:v>
      </x:c>
      <x:c r="F1570" s="7" t="n">
        <x:v>49295.53</x:v>
      </x:c>
      <x:c r="G1570" s="8" t="n">
        <x:v>0.7199</x:v>
      </x:c>
    </x:row>
    <x:row r="1571">
      <x:c r="A1571" s="6" t="n">
        <x:v>45689</x:v>
      </x:c>
      <x:c r="B1571" s="5" t="str">
        <x:v>Sales</x:v>
      </x:c>
      <x:c r="C1571" s="5" t="str">
        <x:v>Sales &amp; Marketing</x:v>
      </x:c>
      <x:c r="D1571" s="5" t="str">
        <x:v>Canada</x:v>
      </x:c>
      <x:c r="E1571" s="10" t="n">
        <x:v>7</x:v>
      </x:c>
      <x:c r="F1571" s="7" t="n">
        <x:v>78529.02</x:v>
      </x:c>
      <x:c r="G1571" s="8"/>
    </x:row>
    <x:row r="1572">
      <x:c r="A1572" s="6" t="n">
        <x:v>45689</x:v>
      </x:c>
      <x:c r="B1572" s="5" t="str">
        <x:v>Marketing</x:v>
      </x:c>
      <x:c r="C1572" s="5" t="str">
        <x:v>Sales &amp; Marketing</x:v>
      </x:c>
      <x:c r="D1572" s="5" t="str">
        <x:v>Canada</x:v>
      </x:c>
      <x:c r="E1572" s="10" t="n">
        <x:v>4</x:v>
      </x:c>
      <x:c r="F1572" s="7" t="n">
        <x:v>38673.57</x:v>
      </x:c>
      <x:c r="G1572" s="8"/>
    </x:row>
    <x:row r="1573">
      <x:c r="A1573" s="6" t="n">
        <x:v>45689</x:v>
      </x:c>
      <x:c r="B1573" s="5" t="str">
        <x:v>Product &amp; Engineering</x:v>
      </x:c>
      <x:c r="C1573" s="5" t="str">
        <x:v>Research &amp; Development</x:v>
      </x:c>
      <x:c r="D1573" s="5" t="str">
        <x:v>Canada</x:v>
      </x:c>
      <x:c r="E1573" s="10" t="n">
        <x:v>10</x:v>
      </x:c>
      <x:c r="F1573" s="7" t="n">
        <x:v>150994.93</x:v>
      </x:c>
      <x:c r="G1573" s="8"/>
    </x:row>
    <x:row r="1574">
      <x:c r="A1574" s="6" t="n">
        <x:v>45689</x:v>
      </x:c>
      <x:c r="B1574" s="5" t="str">
        <x:v>Finance</x:v>
      </x:c>
      <x:c r="C1574" s="5" t="str">
        <x:v>General &amp; Administrative</x:v>
      </x:c>
      <x:c r="D1574" s="5" t="str">
        <x:v>Canada</x:v>
      </x:c>
      <x:c r="E1574" s="10" t="n">
        <x:v>2</x:v>
      </x:c>
      <x:c r="F1574" s="7" t="n">
        <x:v>21472.53</x:v>
      </x:c>
      <x:c r="G1574" s="8"/>
    </x:row>
    <x:row r="1575">
      <x:c r="A1575" s="6" t="n">
        <x:v>45689</x:v>
      </x:c>
      <x:c r="B1575" s="5" t="str">
        <x:v>People</x:v>
      </x:c>
      <x:c r="C1575" s="5" t="str">
        <x:v>General &amp; Administrative</x:v>
      </x:c>
      <x:c r="D1575" s="5" t="str">
        <x:v>Canada</x:v>
      </x:c>
      <x:c r="E1575" s="10" t="n">
        <x:v>1</x:v>
      </x:c>
      <x:c r="F1575" s="7" t="n">
        <x:v>23109.15</x:v>
      </x:c>
      <x:c r="G1575" s="8"/>
    </x:row>
    <x:row r="1576">
      <x:c r="A1576" s="6" t="n">
        <x:v>45689</x:v>
      </x:c>
      <x:c r="B1576" s="5" t="str">
        <x:v>Legal &amp; Compliance</x:v>
      </x:c>
      <x:c r="C1576" s="5" t="str">
        <x:v>General &amp; Administrative</x:v>
      </x:c>
      <x:c r="D1576" s="5" t="str">
        <x:v>Canada</x:v>
      </x:c>
      <x:c r="E1576" s="10" t="n">
        <x:v>2</x:v>
      </x:c>
      <x:c r="F1576" s="7" t="n">
        <x:v>28297.69</x:v>
      </x:c>
      <x:c r="G1576" s="8"/>
    </x:row>
    <x:row r="1577">
      <x:c r="A1577" s="6" t="n">
        <x:v>45689</x:v>
      </x:c>
      <x:c r="B1577" s="5" t="str">
        <x:v>Information Technology</x:v>
      </x:c>
      <x:c r="C1577" s="5" t="str">
        <x:v>General &amp; Administrative</x:v>
      </x:c>
      <x:c r="D1577" s="5" t="str">
        <x:v>Canada</x:v>
      </x:c>
      <x:c r="E1577" s="10" t="n">
        <x:v>3</x:v>
      </x:c>
      <x:c r="F1577" s="7" t="n">
        <x:v>38495.74</x:v>
      </x:c>
      <x:c r="G1577" s="8"/>
    </x:row>
    <x:row r="1578">
      <x:c r="A1578" s="6" t="n">
        <x:v>45717</x:v>
      </x:c>
      <x:c r="B1578" s="5" t="str">
        <x:v>Cloud Operations</x:v>
      </x:c>
      <x:c r="C1578" s="5" t="str">
        <x:v>Cost of Revenue</x:v>
      </x:c>
      <x:c r="D1578" s="5" t="str">
        <x:v>Canada</x:v>
      </x:c>
      <x:c r="E1578" s="10" t="n">
        <x:v>5</x:v>
      </x:c>
      <x:c r="F1578" s="7" t="n">
        <x:v>78988.19</x:v>
      </x:c>
      <x:c r="G1578" s="8"/>
    </x:row>
    <x:row r="1579">
      <x:c r="A1579" s="6" t="n">
        <x:v>45717</x:v>
      </x:c>
      <x:c r="B1579" s="5" t="str">
        <x:v>Customer Support</x:v>
      </x:c>
      <x:c r="C1579" s="5" t="str">
        <x:v>Cost of Revenue</x:v>
      </x:c>
      <x:c r="D1579" s="5" t="str">
        <x:v>Canada</x:v>
      </x:c>
      <x:c r="E1579" s="10" t="n">
        <x:v>5</x:v>
      </x:c>
      <x:c r="F1579" s="7" t="n">
        <x:v>36612.66</x:v>
      </x:c>
      <x:c r="G1579" s="8"/>
    </x:row>
    <x:row r="1580">
      <x:c r="A1580" s="6" t="n">
        <x:v>45717</x:v>
      </x:c>
      <x:c r="B1580" s="5" t="str">
        <x:v>Professional Services</x:v>
      </x:c>
      <x:c r="C1580" s="5" t="str">
        <x:v>Cost of Revenue</x:v>
      </x:c>
      <x:c r="D1580" s="5" t="str">
        <x:v>Canada</x:v>
      </x:c>
      <x:c r="E1580" s="10" t="n">
        <x:v>4</x:v>
      </x:c>
      <x:c r="F1580" s="7" t="n">
        <x:v>49295.53</x:v>
      </x:c>
      <x:c r="G1580" s="8" t="n">
        <x:v>0.7665</x:v>
      </x:c>
    </x:row>
    <x:row r="1581">
      <x:c r="A1581" s="6" t="n">
        <x:v>45717</x:v>
      </x:c>
      <x:c r="B1581" s="5" t="str">
        <x:v>Sales</x:v>
      </x:c>
      <x:c r="C1581" s="5" t="str">
        <x:v>Sales &amp; Marketing</x:v>
      </x:c>
      <x:c r="D1581" s="5" t="str">
        <x:v>Canada</x:v>
      </x:c>
      <x:c r="E1581" s="10" t="n">
        <x:v>7</x:v>
      </x:c>
      <x:c r="F1581" s="7" t="n">
        <x:v>78529.02</x:v>
      </x:c>
      <x:c r="G1581" s="8"/>
    </x:row>
    <x:row r="1582">
      <x:c r="A1582" s="6" t="n">
        <x:v>45717</x:v>
      </x:c>
      <x:c r="B1582" s="5" t="str">
        <x:v>Marketing</x:v>
      </x:c>
      <x:c r="C1582" s="5" t="str">
        <x:v>Sales &amp; Marketing</x:v>
      </x:c>
      <x:c r="D1582" s="5" t="str">
        <x:v>Canada</x:v>
      </x:c>
      <x:c r="E1582" s="10" t="n">
        <x:v>4</x:v>
      </x:c>
      <x:c r="F1582" s="7" t="n">
        <x:v>38673.57</x:v>
      </x:c>
      <x:c r="G1582" s="8"/>
    </x:row>
    <x:row r="1583">
      <x:c r="A1583" s="6" t="n">
        <x:v>45717</x:v>
      </x:c>
      <x:c r="B1583" s="5" t="str">
        <x:v>Product &amp; Engineering</x:v>
      </x:c>
      <x:c r="C1583" s="5" t="str">
        <x:v>Research &amp; Development</x:v>
      </x:c>
      <x:c r="D1583" s="5" t="str">
        <x:v>Canada</x:v>
      </x:c>
      <x:c r="E1583" s="10" t="n">
        <x:v>10</x:v>
      </x:c>
      <x:c r="F1583" s="7" t="n">
        <x:v>150994.93</x:v>
      </x:c>
      <x:c r="G1583" s="8"/>
    </x:row>
    <x:row r="1584">
      <x:c r="A1584" s="6" t="n">
        <x:v>45717</x:v>
      </x:c>
      <x:c r="B1584" s="5" t="str">
        <x:v>Finance</x:v>
      </x:c>
      <x:c r="C1584" s="5" t="str">
        <x:v>General &amp; Administrative</x:v>
      </x:c>
      <x:c r="D1584" s="5" t="str">
        <x:v>Canada</x:v>
      </x:c>
      <x:c r="E1584" s="10" t="n">
        <x:v>2</x:v>
      </x:c>
      <x:c r="F1584" s="7" t="n">
        <x:v>21472.53</x:v>
      </x:c>
      <x:c r="G1584" s="8"/>
    </x:row>
    <x:row r="1585">
      <x:c r="A1585" s="6" t="n">
        <x:v>45717</x:v>
      </x:c>
      <x:c r="B1585" s="5" t="str">
        <x:v>People</x:v>
      </x:c>
      <x:c r="C1585" s="5" t="str">
        <x:v>General &amp; Administrative</x:v>
      </x:c>
      <x:c r="D1585" s="5" t="str">
        <x:v>Canada</x:v>
      </x:c>
      <x:c r="E1585" s="10" t="n">
        <x:v>1</x:v>
      </x:c>
      <x:c r="F1585" s="7" t="n">
        <x:v>23109.15</x:v>
      </x:c>
      <x:c r="G1585" s="8"/>
    </x:row>
    <x:row r="1586">
      <x:c r="A1586" s="6" t="n">
        <x:v>45717</x:v>
      </x:c>
      <x:c r="B1586" s="5" t="str">
        <x:v>Legal &amp; Compliance</x:v>
      </x:c>
      <x:c r="C1586" s="5" t="str">
        <x:v>General &amp; Administrative</x:v>
      </x:c>
      <x:c r="D1586" s="5" t="str">
        <x:v>Canada</x:v>
      </x:c>
      <x:c r="E1586" s="10" t="n">
        <x:v>2</x:v>
      </x:c>
      <x:c r="F1586" s="7" t="n">
        <x:v>28297.69</x:v>
      </x:c>
      <x:c r="G1586" s="8"/>
    </x:row>
    <x:row r="1587">
      <x:c r="A1587" s="6" t="n">
        <x:v>45717</x:v>
      </x:c>
      <x:c r="B1587" s="5" t="str">
        <x:v>Information Technology</x:v>
      </x:c>
      <x:c r="C1587" s="5" t="str">
        <x:v>General &amp; Administrative</x:v>
      </x:c>
      <x:c r="D1587" s="5" t="str">
        <x:v>Canada</x:v>
      </x:c>
      <x:c r="E1587" s="10" t="n">
        <x:v>3</x:v>
      </x:c>
      <x:c r="F1587" s="7" t="n">
        <x:v>38495.74</x:v>
      </x:c>
      <x:c r="G1587" s="8"/>
    </x:row>
    <x:row r="1588">
      <x:c r="A1588" s="6" t="n">
        <x:v>45748</x:v>
      </x:c>
      <x:c r="B1588" s="5" t="str">
        <x:v>Cloud Operations</x:v>
      </x:c>
      <x:c r="C1588" s="5" t="str">
        <x:v>Cost of Revenue</x:v>
      </x:c>
      <x:c r="D1588" s="5" t="str">
        <x:v>Canada</x:v>
      </x:c>
      <x:c r="E1588" s="10" t="n">
        <x:v>5</x:v>
      </x:c>
      <x:c r="F1588" s="7" t="n">
        <x:v>78988.19</x:v>
      </x:c>
      <x:c r="G1588" s="8"/>
    </x:row>
    <x:row r="1589">
      <x:c r="A1589" s="6" t="n">
        <x:v>45748</x:v>
      </x:c>
      <x:c r="B1589" s="5" t="str">
        <x:v>Customer Support</x:v>
      </x:c>
      <x:c r="C1589" s="5" t="str">
        <x:v>Cost of Revenue</x:v>
      </x:c>
      <x:c r="D1589" s="5" t="str">
        <x:v>Canada</x:v>
      </x:c>
      <x:c r="E1589" s="10" t="n">
        <x:v>5</x:v>
      </x:c>
      <x:c r="F1589" s="7" t="n">
        <x:v>36612.66</x:v>
      </x:c>
      <x:c r="G1589" s="8"/>
    </x:row>
    <x:row r="1590">
      <x:c r="A1590" s="6" t="n">
        <x:v>45748</x:v>
      </x:c>
      <x:c r="B1590" s="5" t="str">
        <x:v>Professional Services</x:v>
      </x:c>
      <x:c r="C1590" s="5" t="str">
        <x:v>Cost of Revenue</x:v>
      </x:c>
      <x:c r="D1590" s="5" t="str">
        <x:v>Canada</x:v>
      </x:c>
      <x:c r="E1590" s="10" t="n">
        <x:v>4</x:v>
      </x:c>
      <x:c r="F1590" s="7" t="n">
        <x:v>49295.53</x:v>
      </x:c>
      <x:c r="G1590" s="8" t="n">
        <x:v>0.8065</x:v>
      </x:c>
    </x:row>
    <x:row r="1591">
      <x:c r="A1591" s="6" t="n">
        <x:v>45748</x:v>
      </x:c>
      <x:c r="B1591" s="5" t="str">
        <x:v>Sales</x:v>
      </x:c>
      <x:c r="C1591" s="5" t="str">
        <x:v>Sales &amp; Marketing</x:v>
      </x:c>
      <x:c r="D1591" s="5" t="str">
        <x:v>Canada</x:v>
      </x:c>
      <x:c r="E1591" s="10" t="n">
        <x:v>7</x:v>
      </x:c>
      <x:c r="F1591" s="7" t="n">
        <x:v>78529.02</x:v>
      </x:c>
      <x:c r="G1591" s="8"/>
    </x:row>
    <x:row r="1592">
      <x:c r="A1592" s="6" t="n">
        <x:v>45748</x:v>
      </x:c>
      <x:c r="B1592" s="5" t="str">
        <x:v>Marketing</x:v>
      </x:c>
      <x:c r="C1592" s="5" t="str">
        <x:v>Sales &amp; Marketing</x:v>
      </x:c>
      <x:c r="D1592" s="5" t="str">
        <x:v>Canada</x:v>
      </x:c>
      <x:c r="E1592" s="10" t="n">
        <x:v>4</x:v>
      </x:c>
      <x:c r="F1592" s="7" t="n">
        <x:v>38673.57</x:v>
      </x:c>
      <x:c r="G1592" s="8"/>
    </x:row>
    <x:row r="1593">
      <x:c r="A1593" s="6" t="n">
        <x:v>45748</x:v>
      </x:c>
      <x:c r="B1593" s="5" t="str">
        <x:v>Product &amp; Engineering</x:v>
      </x:c>
      <x:c r="C1593" s="5" t="str">
        <x:v>Research &amp; Development</x:v>
      </x:c>
      <x:c r="D1593" s="5" t="str">
        <x:v>Canada</x:v>
      </x:c>
      <x:c r="E1593" s="10" t="n">
        <x:v>10</x:v>
      </x:c>
      <x:c r="F1593" s="7" t="n">
        <x:v>150994.93</x:v>
      </x:c>
      <x:c r="G1593" s="8"/>
    </x:row>
    <x:row r="1594">
      <x:c r="A1594" s="6" t="n">
        <x:v>45748</x:v>
      </x:c>
      <x:c r="B1594" s="5" t="str">
        <x:v>Finance</x:v>
      </x:c>
      <x:c r="C1594" s="5" t="str">
        <x:v>General &amp; Administrative</x:v>
      </x:c>
      <x:c r="D1594" s="5" t="str">
        <x:v>Canada</x:v>
      </x:c>
      <x:c r="E1594" s="10" t="n">
        <x:v>2</x:v>
      </x:c>
      <x:c r="F1594" s="7" t="n">
        <x:v>21472.53</x:v>
      </x:c>
      <x:c r="G1594" s="8"/>
    </x:row>
    <x:row r="1595">
      <x:c r="A1595" s="6" t="n">
        <x:v>45748</x:v>
      </x:c>
      <x:c r="B1595" s="5" t="str">
        <x:v>People</x:v>
      </x:c>
      <x:c r="C1595" s="5" t="str">
        <x:v>General &amp; Administrative</x:v>
      </x:c>
      <x:c r="D1595" s="5" t="str">
        <x:v>Canada</x:v>
      </x:c>
      <x:c r="E1595" s="10" t="n">
        <x:v>1</x:v>
      </x:c>
      <x:c r="F1595" s="7" t="n">
        <x:v>23109.15</x:v>
      </x:c>
      <x:c r="G1595" s="8"/>
    </x:row>
    <x:row r="1596">
      <x:c r="A1596" s="6" t="n">
        <x:v>45748</x:v>
      </x:c>
      <x:c r="B1596" s="5" t="str">
        <x:v>Legal &amp; Compliance</x:v>
      </x:c>
      <x:c r="C1596" s="5" t="str">
        <x:v>General &amp; Administrative</x:v>
      </x:c>
      <x:c r="D1596" s="5" t="str">
        <x:v>Canada</x:v>
      </x:c>
      <x:c r="E1596" s="10" t="n">
        <x:v>2</x:v>
      </x:c>
      <x:c r="F1596" s="7" t="n">
        <x:v>28297.69</x:v>
      </x:c>
      <x:c r="G1596" s="8"/>
    </x:row>
    <x:row r="1597">
      <x:c r="A1597" s="6" t="n">
        <x:v>45748</x:v>
      </x:c>
      <x:c r="B1597" s="5" t="str">
        <x:v>Information Technology</x:v>
      </x:c>
      <x:c r="C1597" s="5" t="str">
        <x:v>General &amp; Administrative</x:v>
      </x:c>
      <x:c r="D1597" s="5" t="str">
        <x:v>Canada</x:v>
      </x:c>
      <x:c r="E1597" s="10" t="n">
        <x:v>3</x:v>
      </x:c>
      <x:c r="F1597" s="7" t="n">
        <x:v>38495.74</x:v>
      </x:c>
      <x:c r="G1597" s="8"/>
    </x:row>
    <x:row r="1598">
      <x:c r="A1598" s="6" t="n">
        <x:v>45778</x:v>
      </x:c>
      <x:c r="B1598" s="5" t="str">
        <x:v>Cloud Operations</x:v>
      </x:c>
      <x:c r="C1598" s="5" t="str">
        <x:v>Cost of Revenue</x:v>
      </x:c>
      <x:c r="D1598" s="5" t="str">
        <x:v>Canada</x:v>
      </x:c>
      <x:c r="E1598" s="10" t="n">
        <x:v>5</x:v>
      </x:c>
      <x:c r="F1598" s="7" t="n">
        <x:v>78988.19</x:v>
      </x:c>
      <x:c r="G1598" s="8"/>
    </x:row>
    <x:row r="1599">
      <x:c r="A1599" s="6" t="n">
        <x:v>45778</x:v>
      </x:c>
      <x:c r="B1599" s="5" t="str">
        <x:v>Customer Support</x:v>
      </x:c>
      <x:c r="C1599" s="5" t="str">
        <x:v>Cost of Revenue</x:v>
      </x:c>
      <x:c r="D1599" s="5" t="str">
        <x:v>Canada</x:v>
      </x:c>
      <x:c r="E1599" s="10" t="n">
        <x:v>4</x:v>
      </x:c>
      <x:c r="F1599" s="7" t="n">
        <x:v>28280.15</x:v>
      </x:c>
      <x:c r="G1599" s="8"/>
    </x:row>
    <x:row r="1600">
      <x:c r="A1600" s="6" t="n">
        <x:v>45778</x:v>
      </x:c>
      <x:c r="B1600" s="5" t="str">
        <x:v>Professional Services</x:v>
      </x:c>
      <x:c r="C1600" s="5" t="str">
        <x:v>Cost of Revenue</x:v>
      </x:c>
      <x:c r="D1600" s="5" t="str">
        <x:v>Canada</x:v>
      </x:c>
      <x:c r="E1600" s="10" t="n">
        <x:v>4</x:v>
      </x:c>
      <x:c r="F1600" s="7" t="n">
        <x:v>49295.53</x:v>
      </x:c>
      <x:c r="G1600" s="8" t="n">
        <x:v>0.777</x:v>
      </x:c>
    </x:row>
    <x:row r="1601">
      <x:c r="A1601" s="6" t="n">
        <x:v>45778</x:v>
      </x:c>
      <x:c r="B1601" s="5" t="str">
        <x:v>Sales</x:v>
      </x:c>
      <x:c r="C1601" s="5" t="str">
        <x:v>Sales &amp; Marketing</x:v>
      </x:c>
      <x:c r="D1601" s="5" t="str">
        <x:v>Canada</x:v>
      </x:c>
      <x:c r="E1601" s="10" t="n">
        <x:v>7</x:v>
      </x:c>
      <x:c r="F1601" s="7" t="n">
        <x:v>78529.02</x:v>
      </x:c>
      <x:c r="G1601" s="8"/>
    </x:row>
    <x:row r="1602">
      <x:c r="A1602" s="6" t="n">
        <x:v>45778</x:v>
      </x:c>
      <x:c r="B1602" s="5" t="str">
        <x:v>Marketing</x:v>
      </x:c>
      <x:c r="C1602" s="5" t="str">
        <x:v>Sales &amp; Marketing</x:v>
      </x:c>
      <x:c r="D1602" s="5" t="str">
        <x:v>Canada</x:v>
      </x:c>
      <x:c r="E1602" s="10" t="n">
        <x:v>4</x:v>
      </x:c>
      <x:c r="F1602" s="7" t="n">
        <x:v>38673.57</x:v>
      </x:c>
      <x:c r="G1602" s="8"/>
    </x:row>
    <x:row r="1603">
      <x:c r="A1603" s="6" t="n">
        <x:v>45778</x:v>
      </x:c>
      <x:c r="B1603" s="5" t="str">
        <x:v>Product &amp; Engineering</x:v>
      </x:c>
      <x:c r="C1603" s="5" t="str">
        <x:v>Research &amp; Development</x:v>
      </x:c>
      <x:c r="D1603" s="5" t="str">
        <x:v>Canada</x:v>
      </x:c>
      <x:c r="E1603" s="10" t="n">
        <x:v>10</x:v>
      </x:c>
      <x:c r="F1603" s="7" t="n">
        <x:v>150994.93</x:v>
      </x:c>
      <x:c r="G1603" s="8"/>
    </x:row>
    <x:row r="1604">
      <x:c r="A1604" s="6" t="n">
        <x:v>45778</x:v>
      </x:c>
      <x:c r="B1604" s="5" t="str">
        <x:v>Finance</x:v>
      </x:c>
      <x:c r="C1604" s="5" t="str">
        <x:v>General &amp; Administrative</x:v>
      </x:c>
      <x:c r="D1604" s="5" t="str">
        <x:v>Canada</x:v>
      </x:c>
      <x:c r="E1604" s="10" t="n">
        <x:v>3</x:v>
      </x:c>
      <x:c r="F1604" s="7" t="n">
        <x:v>32419.64</x:v>
      </x:c>
      <x:c r="G1604" s="8"/>
    </x:row>
    <x:row r="1605">
      <x:c r="A1605" s="6" t="n">
        <x:v>45778</x:v>
      </x:c>
      <x:c r="B1605" s="5" t="str">
        <x:v>People</x:v>
      </x:c>
      <x:c r="C1605" s="5" t="str">
        <x:v>General &amp; Administrative</x:v>
      </x:c>
      <x:c r="D1605" s="5" t="str">
        <x:v>Canada</x:v>
      </x:c>
      <x:c r="E1605" s="10" t="n">
        <x:v>1</x:v>
      </x:c>
      <x:c r="F1605" s="7" t="n">
        <x:v>23109.15</x:v>
      </x:c>
      <x:c r="G1605" s="8"/>
    </x:row>
    <x:row r="1606">
      <x:c r="A1606" s="6" t="n">
        <x:v>45778</x:v>
      </x:c>
      <x:c r="B1606" s="5" t="str">
        <x:v>Legal &amp; Compliance</x:v>
      </x:c>
      <x:c r="C1606" s="5" t="str">
        <x:v>General &amp; Administrative</x:v>
      </x:c>
      <x:c r="D1606" s="5" t="str">
        <x:v>Canada</x:v>
      </x:c>
      <x:c r="E1606" s="10" t="n">
        <x:v>2</x:v>
      </x:c>
      <x:c r="F1606" s="7" t="n">
        <x:v>28297.69</x:v>
      </x:c>
      <x:c r="G1606" s="8"/>
    </x:row>
    <x:row r="1607">
      <x:c r="A1607" s="6" t="n">
        <x:v>45778</x:v>
      </x:c>
      <x:c r="B1607" s="5" t="str">
        <x:v>Information Technology</x:v>
      </x:c>
      <x:c r="C1607" s="5" t="str">
        <x:v>General &amp; Administrative</x:v>
      </x:c>
      <x:c r="D1607" s="5" t="str">
        <x:v>Canada</x:v>
      </x:c>
      <x:c r="E1607" s="10" t="n">
        <x:v>3</x:v>
      </x:c>
      <x:c r="F1607" s="7" t="n">
        <x:v>38495.74</x:v>
      </x:c>
      <x:c r="G1607" s="8"/>
    </x:row>
    <x:row r="1608">
      <x:c r="A1608" s="6" t="n">
        <x:v>45809</x:v>
      </x:c>
      <x:c r="B1608" s="5" t="str">
        <x:v>Cloud Operations</x:v>
      </x:c>
      <x:c r="C1608" s="5" t="str">
        <x:v>Cost of Revenue</x:v>
      </x:c>
      <x:c r="D1608" s="5" t="str">
        <x:v>Canada</x:v>
      </x:c>
      <x:c r="E1608" s="10" t="n">
        <x:v>5</x:v>
      </x:c>
      <x:c r="F1608" s="7" t="n">
        <x:v>78988.19</x:v>
      </x:c>
      <x:c r="G1608" s="8"/>
    </x:row>
    <x:row r="1609">
      <x:c r="A1609" s="6" t="n">
        <x:v>45809</x:v>
      </x:c>
      <x:c r="B1609" s="5" t="str">
        <x:v>Customer Support</x:v>
      </x:c>
      <x:c r="C1609" s="5" t="str">
        <x:v>Cost of Revenue</x:v>
      </x:c>
      <x:c r="D1609" s="5" t="str">
        <x:v>Canada</x:v>
      </x:c>
      <x:c r="E1609" s="10" t="n">
        <x:v>4</x:v>
      </x:c>
      <x:c r="F1609" s="7" t="n">
        <x:v>28280.15</x:v>
      </x:c>
      <x:c r="G1609" s="8"/>
    </x:row>
    <x:row r="1610">
      <x:c r="A1610" s="6" t="n">
        <x:v>45809</x:v>
      </x:c>
      <x:c r="B1610" s="5" t="str">
        <x:v>Professional Services</x:v>
      </x:c>
      <x:c r="C1610" s="5" t="str">
        <x:v>Cost of Revenue</x:v>
      </x:c>
      <x:c r="D1610" s="5" t="str">
        <x:v>Canada</x:v>
      </x:c>
      <x:c r="E1610" s="10" t="n">
        <x:v>4</x:v>
      </x:c>
      <x:c r="F1610" s="7" t="n">
        <x:v>49295.53</x:v>
      </x:c>
      <x:c r="G1610" s="8" t="n">
        <x:v>0.7422</x:v>
      </x:c>
    </x:row>
    <x:row r="1611">
      <x:c r="A1611" s="6" t="n">
        <x:v>45809</x:v>
      </x:c>
      <x:c r="B1611" s="5" t="str">
        <x:v>Sales</x:v>
      </x:c>
      <x:c r="C1611" s="5" t="str">
        <x:v>Sales &amp; Marketing</x:v>
      </x:c>
      <x:c r="D1611" s="5" t="str">
        <x:v>Canada</x:v>
      </x:c>
      <x:c r="E1611" s="10" t="n">
        <x:v>7</x:v>
      </x:c>
      <x:c r="F1611" s="7" t="n">
        <x:v>78529.02</x:v>
      </x:c>
      <x:c r="G1611" s="8"/>
    </x:row>
    <x:row r="1612">
      <x:c r="A1612" s="6" t="n">
        <x:v>45809</x:v>
      </x:c>
      <x:c r="B1612" s="5" t="str">
        <x:v>Marketing</x:v>
      </x:c>
      <x:c r="C1612" s="5" t="str">
        <x:v>Sales &amp; Marketing</x:v>
      </x:c>
      <x:c r="D1612" s="5" t="str">
        <x:v>Canada</x:v>
      </x:c>
      <x:c r="E1612" s="10" t="n">
        <x:v>4</x:v>
      </x:c>
      <x:c r="F1612" s="7" t="n">
        <x:v>38673.57</x:v>
      </x:c>
      <x:c r="G1612" s="8"/>
    </x:row>
    <x:row r="1613">
      <x:c r="A1613" s="6" t="n">
        <x:v>45809</x:v>
      </x:c>
      <x:c r="B1613" s="5" t="str">
        <x:v>Product &amp; Engineering</x:v>
      </x:c>
      <x:c r="C1613" s="5" t="str">
        <x:v>Research &amp; Development</x:v>
      </x:c>
      <x:c r="D1613" s="5" t="str">
        <x:v>Canada</x:v>
      </x:c>
      <x:c r="E1613" s="10" t="n">
        <x:v>10</x:v>
      </x:c>
      <x:c r="F1613" s="7" t="n">
        <x:v>150994.93</x:v>
      </x:c>
      <x:c r="G1613" s="8"/>
    </x:row>
    <x:row r="1614">
      <x:c r="A1614" s="6" t="n">
        <x:v>45809</x:v>
      </x:c>
      <x:c r="B1614" s="5" t="str">
        <x:v>Finance</x:v>
      </x:c>
      <x:c r="C1614" s="5" t="str">
        <x:v>General &amp; Administrative</x:v>
      </x:c>
      <x:c r="D1614" s="5" t="str">
        <x:v>Canada</x:v>
      </x:c>
      <x:c r="E1614" s="10" t="n">
        <x:v>3</x:v>
      </x:c>
      <x:c r="F1614" s="7" t="n">
        <x:v>32419.64</x:v>
      </x:c>
      <x:c r="G1614" s="8"/>
    </x:row>
    <x:row r="1615">
      <x:c r="A1615" s="6" t="n">
        <x:v>45809</x:v>
      </x:c>
      <x:c r="B1615" s="5" t="str">
        <x:v>People</x:v>
      </x:c>
      <x:c r="C1615" s="5" t="str">
        <x:v>General &amp; Administrative</x:v>
      </x:c>
      <x:c r="D1615" s="5" t="str">
        <x:v>Canada</x:v>
      </x:c>
      <x:c r="E1615" s="10" t="n">
        <x:v>1</x:v>
      </x:c>
      <x:c r="F1615" s="7" t="n">
        <x:v>23109.15</x:v>
      </x:c>
      <x:c r="G1615" s="8"/>
    </x:row>
    <x:row r="1616">
      <x:c r="A1616" s="6" t="n">
        <x:v>45809</x:v>
      </x:c>
      <x:c r="B1616" s="5" t="str">
        <x:v>Legal &amp; Compliance</x:v>
      </x:c>
      <x:c r="C1616" s="5" t="str">
        <x:v>General &amp; Administrative</x:v>
      </x:c>
      <x:c r="D1616" s="5" t="str">
        <x:v>Canada</x:v>
      </x:c>
      <x:c r="E1616" s="10" t="n">
        <x:v>2</x:v>
      </x:c>
      <x:c r="F1616" s="7" t="n">
        <x:v>28297.69</x:v>
      </x:c>
      <x:c r="G1616" s="8"/>
    </x:row>
    <x:row r="1617">
      <x:c r="A1617" s="6" t="n">
        <x:v>45809</x:v>
      </x:c>
      <x:c r="B1617" s="5" t="str">
        <x:v>Information Technology</x:v>
      </x:c>
      <x:c r="C1617" s="5" t="str">
        <x:v>General &amp; Administrative</x:v>
      </x:c>
      <x:c r="D1617" s="5" t="str">
        <x:v>Canada</x:v>
      </x:c>
      <x:c r="E1617" s="10" t="n">
        <x:v>3</x:v>
      </x:c>
      <x:c r="F1617" s="7" t="n">
        <x:v>38495.74</x:v>
      </x:c>
      <x:c r="G1617" s="8"/>
    </x:row>
    <x:row r="1618">
      <x:c r="A1618" s="6" t="n">
        <x:v>45839</x:v>
      </x:c>
      <x:c r="B1618" s="5" t="str">
        <x:v>Cloud Operations</x:v>
      </x:c>
      <x:c r="C1618" s="5" t="str">
        <x:v>Cost of Revenue</x:v>
      </x:c>
      <x:c r="D1618" s="5" t="str">
        <x:v>Canada</x:v>
      </x:c>
      <x:c r="E1618" s="10" t="n">
        <x:v>5</x:v>
      </x:c>
      <x:c r="F1618" s="7" t="n">
        <x:v>78988.19</x:v>
      </x:c>
      <x:c r="G1618" s="8"/>
    </x:row>
    <x:row r="1619">
      <x:c r="A1619" s="6" t="n">
        <x:v>45839</x:v>
      </x:c>
      <x:c r="B1619" s="5" t="str">
        <x:v>Customer Support</x:v>
      </x:c>
      <x:c r="C1619" s="5" t="str">
        <x:v>Cost of Revenue</x:v>
      </x:c>
      <x:c r="D1619" s="5" t="str">
        <x:v>Canada</x:v>
      </x:c>
      <x:c r="E1619" s="10" t="n">
        <x:v>4</x:v>
      </x:c>
      <x:c r="F1619" s="7" t="n">
        <x:v>28280.15</x:v>
      </x:c>
      <x:c r="G1619" s="8"/>
    </x:row>
    <x:row r="1620">
      <x:c r="A1620" s="6" t="n">
        <x:v>45839</x:v>
      </x:c>
      <x:c r="B1620" s="5" t="str">
        <x:v>Professional Services</x:v>
      </x:c>
      <x:c r="C1620" s="5" t="str">
        <x:v>Cost of Revenue</x:v>
      </x:c>
      <x:c r="D1620" s="5" t="str">
        <x:v>Canada</x:v>
      </x:c>
      <x:c r="E1620" s="10" t="n">
        <x:v>4</x:v>
      </x:c>
      <x:c r="F1620" s="7" t="n">
        <x:v>49295.53</x:v>
      </x:c>
      <x:c r="G1620" s="8" t="n">
        <x:v>0.8173</x:v>
      </x:c>
    </x:row>
    <x:row r="1621">
      <x:c r="A1621" s="6" t="n">
        <x:v>45839</x:v>
      </x:c>
      <x:c r="B1621" s="5" t="str">
        <x:v>Sales</x:v>
      </x:c>
      <x:c r="C1621" s="5" t="str">
        <x:v>Sales &amp; Marketing</x:v>
      </x:c>
      <x:c r="D1621" s="5" t="str">
        <x:v>Canada</x:v>
      </x:c>
      <x:c r="E1621" s="10" t="n">
        <x:v>7</x:v>
      </x:c>
      <x:c r="F1621" s="7" t="n">
        <x:v>78529.02</x:v>
      </x:c>
      <x:c r="G1621" s="8"/>
    </x:row>
    <x:row r="1622">
      <x:c r="A1622" s="6" t="n">
        <x:v>45839</x:v>
      </x:c>
      <x:c r="B1622" s="5" t="str">
        <x:v>Marketing</x:v>
      </x:c>
      <x:c r="C1622" s="5" t="str">
        <x:v>Sales &amp; Marketing</x:v>
      </x:c>
      <x:c r="D1622" s="5" t="str">
        <x:v>Canada</x:v>
      </x:c>
      <x:c r="E1622" s="10" t="n">
        <x:v>4</x:v>
      </x:c>
      <x:c r="F1622" s="7" t="n">
        <x:v>38673.57</x:v>
      </x:c>
      <x:c r="G1622" s="8"/>
    </x:row>
    <x:row r="1623">
      <x:c r="A1623" s="6" t="n">
        <x:v>45839</x:v>
      </x:c>
      <x:c r="B1623" s="5" t="str">
        <x:v>Product &amp; Engineering</x:v>
      </x:c>
      <x:c r="C1623" s="5" t="str">
        <x:v>Research &amp; Development</x:v>
      </x:c>
      <x:c r="D1623" s="5" t="str">
        <x:v>Canada</x:v>
      </x:c>
      <x:c r="E1623" s="10" t="n">
        <x:v>11</x:v>
      </x:c>
      <x:c r="F1623" s="7" t="n">
        <x:v>167031.12</x:v>
      </x:c>
      <x:c r="G1623" s="8"/>
    </x:row>
    <x:row r="1624">
      <x:c r="A1624" s="6" t="n">
        <x:v>45839</x:v>
      </x:c>
      <x:c r="B1624" s="5" t="str">
        <x:v>Finance</x:v>
      </x:c>
      <x:c r="C1624" s="5" t="str">
        <x:v>General &amp; Administrative</x:v>
      </x:c>
      <x:c r="D1624" s="5" t="str">
        <x:v>Canada</x:v>
      </x:c>
      <x:c r="E1624" s="10" t="n">
        <x:v>3</x:v>
      </x:c>
      <x:c r="F1624" s="7" t="n">
        <x:v>32419.64</x:v>
      </x:c>
      <x:c r="G1624" s="8"/>
    </x:row>
    <x:row r="1625">
      <x:c r="A1625" s="6" t="n">
        <x:v>45839</x:v>
      </x:c>
      <x:c r="B1625" s="5" t="str">
        <x:v>People</x:v>
      </x:c>
      <x:c r="C1625" s="5" t="str">
        <x:v>General &amp; Administrative</x:v>
      </x:c>
      <x:c r="D1625" s="5" t="str">
        <x:v>Canada</x:v>
      </x:c>
      <x:c r="E1625" s="10" t="n">
        <x:v>1</x:v>
      </x:c>
      <x:c r="F1625" s="7" t="n">
        <x:v>23109.15</x:v>
      </x:c>
      <x:c r="G1625" s="8"/>
    </x:row>
    <x:row r="1626">
      <x:c r="A1626" s="6" t="n">
        <x:v>45839</x:v>
      </x:c>
      <x:c r="B1626" s="5" t="str">
        <x:v>Legal &amp; Compliance</x:v>
      </x:c>
      <x:c r="C1626" s="5" t="str">
        <x:v>General &amp; Administrative</x:v>
      </x:c>
      <x:c r="D1626" s="5" t="str">
        <x:v>Canada</x:v>
      </x:c>
      <x:c r="E1626" s="10" t="n">
        <x:v>2</x:v>
      </x:c>
      <x:c r="F1626" s="7" t="n">
        <x:v>28297.69</x:v>
      </x:c>
      <x:c r="G1626" s="8"/>
    </x:row>
    <x:row r="1627">
      <x:c r="A1627" s="6" t="n">
        <x:v>45839</x:v>
      </x:c>
      <x:c r="B1627" s="5" t="str">
        <x:v>Information Technology</x:v>
      </x:c>
      <x:c r="C1627" s="5" t="str">
        <x:v>General &amp; Administrative</x:v>
      </x:c>
      <x:c r="D1627" s="5" t="str">
        <x:v>Canada</x:v>
      </x:c>
      <x:c r="E1627" s="10" t="n">
        <x:v>3</x:v>
      </x:c>
      <x:c r="F1627" s="7" t="n">
        <x:v>38495.74</x:v>
      </x:c>
      <x:c r="G1627" s="8"/>
    </x:row>
    <x:row r="1628">
      <x:c r="A1628" s="6" t="n">
        <x:v>45870</x:v>
      </x:c>
      <x:c r="B1628" s="5" t="str">
        <x:v>Cloud Operations</x:v>
      </x:c>
      <x:c r="C1628" s="5" t="str">
        <x:v>Cost of Revenue</x:v>
      </x:c>
      <x:c r="D1628" s="5" t="str">
        <x:v>Canada</x:v>
      </x:c>
      <x:c r="E1628" s="10" t="n">
        <x:v>5</x:v>
      </x:c>
      <x:c r="F1628" s="7" t="n">
        <x:v>78988.19</x:v>
      </x:c>
      <x:c r="G1628" s="8"/>
    </x:row>
    <x:row r="1629">
      <x:c r="A1629" s="6" t="n">
        <x:v>45870</x:v>
      </x:c>
      <x:c r="B1629" s="5" t="str">
        <x:v>Customer Support</x:v>
      </x:c>
      <x:c r="C1629" s="5" t="str">
        <x:v>Cost of Revenue</x:v>
      </x:c>
      <x:c r="D1629" s="5" t="str">
        <x:v>Canada</x:v>
      </x:c>
      <x:c r="E1629" s="10" t="n">
        <x:v>4</x:v>
      </x:c>
      <x:c r="F1629" s="7" t="n">
        <x:v>28280.15</x:v>
      </x:c>
      <x:c r="G1629" s="8"/>
    </x:row>
    <x:row r="1630">
      <x:c r="A1630" s="6" t="n">
        <x:v>45870</x:v>
      </x:c>
      <x:c r="B1630" s="5" t="str">
        <x:v>Professional Services</x:v>
      </x:c>
      <x:c r="C1630" s="5" t="str">
        <x:v>Cost of Revenue</x:v>
      </x:c>
      <x:c r="D1630" s="5" t="str">
        <x:v>Canada</x:v>
      </x:c>
      <x:c r="E1630" s="10" t="n">
        <x:v>4</x:v>
      </x:c>
      <x:c r="F1630" s="7" t="n">
        <x:v>49295.53</x:v>
      </x:c>
      <x:c r="G1630" s="8" t="n">
        <x:v>0.7868</x:v>
      </x:c>
    </x:row>
    <x:row r="1631">
      <x:c r="A1631" s="6" t="n">
        <x:v>45870</x:v>
      </x:c>
      <x:c r="B1631" s="5" t="str">
        <x:v>Sales</x:v>
      </x:c>
      <x:c r="C1631" s="5" t="str">
        <x:v>Sales &amp; Marketing</x:v>
      </x:c>
      <x:c r="D1631" s="5" t="str">
        <x:v>Canada</x:v>
      </x:c>
      <x:c r="E1631" s="10" t="n">
        <x:v>7</x:v>
      </x:c>
      <x:c r="F1631" s="7" t="n">
        <x:v>78529.02</x:v>
      </x:c>
      <x:c r="G1631" s="8"/>
    </x:row>
    <x:row r="1632">
      <x:c r="A1632" s="6" t="n">
        <x:v>45870</x:v>
      </x:c>
      <x:c r="B1632" s="5" t="str">
        <x:v>Marketing</x:v>
      </x:c>
      <x:c r="C1632" s="5" t="str">
        <x:v>Sales &amp; Marketing</x:v>
      </x:c>
      <x:c r="D1632" s="5" t="str">
        <x:v>Canada</x:v>
      </x:c>
      <x:c r="E1632" s="10" t="n">
        <x:v>4</x:v>
      </x:c>
      <x:c r="F1632" s="7" t="n">
        <x:v>38673.57</x:v>
      </x:c>
      <x:c r="G1632" s="8"/>
    </x:row>
    <x:row r="1633">
      <x:c r="A1633" s="6" t="n">
        <x:v>45870</x:v>
      </x:c>
      <x:c r="B1633" s="5" t="str">
        <x:v>Product &amp; Engineering</x:v>
      </x:c>
      <x:c r="C1633" s="5" t="str">
        <x:v>Research &amp; Development</x:v>
      </x:c>
      <x:c r="D1633" s="5" t="str">
        <x:v>Canada</x:v>
      </x:c>
      <x:c r="E1633" s="10" t="n">
        <x:v>11</x:v>
      </x:c>
      <x:c r="F1633" s="7" t="n">
        <x:v>167031.12</x:v>
      </x:c>
      <x:c r="G1633" s="8"/>
    </x:row>
    <x:row r="1634">
      <x:c r="A1634" s="6" t="n">
        <x:v>45870</x:v>
      </x:c>
      <x:c r="B1634" s="5" t="str">
        <x:v>Finance</x:v>
      </x:c>
      <x:c r="C1634" s="5" t="str">
        <x:v>General &amp; Administrative</x:v>
      </x:c>
      <x:c r="D1634" s="5" t="str">
        <x:v>Canada</x:v>
      </x:c>
      <x:c r="E1634" s="10" t="n">
        <x:v>3</x:v>
      </x:c>
      <x:c r="F1634" s="7" t="n">
        <x:v>32419.64</x:v>
      </x:c>
      <x:c r="G1634" s="8"/>
    </x:row>
    <x:row r="1635">
      <x:c r="A1635" s="6" t="n">
        <x:v>45870</x:v>
      </x:c>
      <x:c r="B1635" s="5" t="str">
        <x:v>People</x:v>
      </x:c>
      <x:c r="C1635" s="5" t="str">
        <x:v>General &amp; Administrative</x:v>
      </x:c>
      <x:c r="D1635" s="5" t="str">
        <x:v>Canada</x:v>
      </x:c>
      <x:c r="E1635" s="10" t="n">
        <x:v>1</x:v>
      </x:c>
      <x:c r="F1635" s="7" t="n">
        <x:v>23109.15</x:v>
      </x:c>
      <x:c r="G1635" s="8"/>
    </x:row>
    <x:row r="1636">
      <x:c r="A1636" s="6" t="n">
        <x:v>45870</x:v>
      </x:c>
      <x:c r="B1636" s="5" t="str">
        <x:v>Legal &amp; Compliance</x:v>
      </x:c>
      <x:c r="C1636" s="5" t="str">
        <x:v>General &amp; Administrative</x:v>
      </x:c>
      <x:c r="D1636" s="5" t="str">
        <x:v>Canada</x:v>
      </x:c>
      <x:c r="E1636" s="10" t="n">
        <x:v>2</x:v>
      </x:c>
      <x:c r="F1636" s="7" t="n">
        <x:v>28297.69</x:v>
      </x:c>
      <x:c r="G1636" s="8"/>
    </x:row>
    <x:row r="1637">
      <x:c r="A1637" s="6" t="n">
        <x:v>45870</x:v>
      </x:c>
      <x:c r="B1637" s="5" t="str">
        <x:v>Information Technology</x:v>
      </x:c>
      <x:c r="C1637" s="5" t="str">
        <x:v>General &amp; Administrative</x:v>
      </x:c>
      <x:c r="D1637" s="5" t="str">
        <x:v>Canada</x:v>
      </x:c>
      <x:c r="E1637" s="10" t="n">
        <x:v>3</x:v>
      </x:c>
      <x:c r="F1637" s="7" t="n">
        <x:v>38495.74</x:v>
      </x:c>
      <x:c r="G1637" s="8"/>
    </x:row>
    <x:row r="1638">
      <x:c r="A1638" s="6" t="n">
        <x:v>45901</x:v>
      </x:c>
      <x:c r="B1638" s="5" t="str">
        <x:v>Cloud Operations</x:v>
      </x:c>
      <x:c r="C1638" s="5" t="str">
        <x:v>Cost of Revenue</x:v>
      </x:c>
      <x:c r="D1638" s="5" t="str">
        <x:v>Canada</x:v>
      </x:c>
      <x:c r="E1638" s="10" t="n">
        <x:v>5</x:v>
      </x:c>
      <x:c r="F1638" s="7" t="n">
        <x:v>78988.19</x:v>
      </x:c>
      <x:c r="G1638" s="8"/>
    </x:row>
    <x:row r="1639">
      <x:c r="A1639" s="6" t="n">
        <x:v>45901</x:v>
      </x:c>
      <x:c r="B1639" s="5" t="str">
        <x:v>Customer Support</x:v>
      </x:c>
      <x:c r="C1639" s="5" t="str">
        <x:v>Cost of Revenue</x:v>
      </x:c>
      <x:c r="D1639" s="5" t="str">
        <x:v>Canada</x:v>
      </x:c>
      <x:c r="E1639" s="10" t="n">
        <x:v>4</x:v>
      </x:c>
      <x:c r="F1639" s="7" t="n">
        <x:v>28280.15</x:v>
      </x:c>
      <x:c r="G1639" s="8"/>
    </x:row>
    <x:row r="1640">
      <x:c r="A1640" s="6" t="n">
        <x:v>45901</x:v>
      </x:c>
      <x:c r="B1640" s="5" t="str">
        <x:v>Professional Services</x:v>
      </x:c>
      <x:c r="C1640" s="5" t="str">
        <x:v>Cost of Revenue</x:v>
      </x:c>
      <x:c r="D1640" s="5" t="str">
        <x:v>Canada</x:v>
      </x:c>
      <x:c r="E1640" s="10" t="n">
        <x:v>4</x:v>
      </x:c>
      <x:c r="F1640" s="7" t="n">
        <x:v>49295.53</x:v>
      </x:c>
      <x:c r="G1640" s="8" t="n">
        <x:v>0.7831</x:v>
      </x:c>
    </x:row>
    <x:row r="1641">
      <x:c r="A1641" s="6" t="n">
        <x:v>45901</x:v>
      </x:c>
      <x:c r="B1641" s="5" t="str">
        <x:v>Sales</x:v>
      </x:c>
      <x:c r="C1641" s="5" t="str">
        <x:v>Sales &amp; Marketing</x:v>
      </x:c>
      <x:c r="D1641" s="5" t="str">
        <x:v>Canada</x:v>
      </x:c>
      <x:c r="E1641" s="10" t="n">
        <x:v>7</x:v>
      </x:c>
      <x:c r="F1641" s="7" t="n">
        <x:v>78529.02</x:v>
      </x:c>
      <x:c r="G1641" s="8"/>
    </x:row>
    <x:row r="1642">
      <x:c r="A1642" s="6" t="n">
        <x:v>45901</x:v>
      </x:c>
      <x:c r="B1642" s="5" t="str">
        <x:v>Marketing</x:v>
      </x:c>
      <x:c r="C1642" s="5" t="str">
        <x:v>Sales &amp; Marketing</x:v>
      </x:c>
      <x:c r="D1642" s="5" t="str">
        <x:v>Canada</x:v>
      </x:c>
      <x:c r="E1642" s="10" t="n">
        <x:v>4</x:v>
      </x:c>
      <x:c r="F1642" s="7" t="n">
        <x:v>38673.57</x:v>
      </x:c>
      <x:c r="G1642" s="8"/>
    </x:row>
    <x:row r="1643">
      <x:c r="A1643" s="6" t="n">
        <x:v>45901</x:v>
      </x:c>
      <x:c r="B1643" s="5" t="str">
        <x:v>Product &amp; Engineering</x:v>
      </x:c>
      <x:c r="C1643" s="5" t="str">
        <x:v>Research &amp; Development</x:v>
      </x:c>
      <x:c r="D1643" s="5" t="str">
        <x:v>Canada</x:v>
      </x:c>
      <x:c r="E1643" s="10" t="n">
        <x:v>12</x:v>
      </x:c>
      <x:c r="F1643" s="7" t="n">
        <x:v>182117.79</x:v>
      </x:c>
      <x:c r="G1643" s="8"/>
    </x:row>
    <x:row r="1644">
      <x:c r="A1644" s="6" t="n">
        <x:v>45901</x:v>
      </x:c>
      <x:c r="B1644" s="5" t="str">
        <x:v>Finance</x:v>
      </x:c>
      <x:c r="C1644" s="5" t="str">
        <x:v>General &amp; Administrative</x:v>
      </x:c>
      <x:c r="D1644" s="5" t="str">
        <x:v>Canada</x:v>
      </x:c>
      <x:c r="E1644" s="10" t="n">
        <x:v>3</x:v>
      </x:c>
      <x:c r="F1644" s="7" t="n">
        <x:v>32419.64</x:v>
      </x:c>
      <x:c r="G1644" s="8"/>
    </x:row>
    <x:row r="1645">
      <x:c r="A1645" s="6" t="n">
        <x:v>45901</x:v>
      </x:c>
      <x:c r="B1645" s="5" t="str">
        <x:v>People</x:v>
      </x:c>
      <x:c r="C1645" s="5" t="str">
        <x:v>General &amp; Administrative</x:v>
      </x:c>
      <x:c r="D1645" s="5" t="str">
        <x:v>Canada</x:v>
      </x:c>
      <x:c r="E1645" s="10" t="n">
        <x:v>1</x:v>
      </x:c>
      <x:c r="F1645" s="7" t="n">
        <x:v>23109.15</x:v>
      </x:c>
      <x:c r="G1645" s="8"/>
    </x:row>
    <x:row r="1646">
      <x:c r="A1646" s="6" t="n">
        <x:v>45901</x:v>
      </x:c>
      <x:c r="B1646" s="5" t="str">
        <x:v>Legal &amp; Compliance</x:v>
      </x:c>
      <x:c r="C1646" s="5" t="str">
        <x:v>General &amp; Administrative</x:v>
      </x:c>
      <x:c r="D1646" s="5" t="str">
        <x:v>Canada</x:v>
      </x:c>
      <x:c r="E1646" s="10" t="n">
        <x:v>2</x:v>
      </x:c>
      <x:c r="F1646" s="7" t="n">
        <x:v>28297.69</x:v>
      </x:c>
      <x:c r="G1646" s="8"/>
    </x:row>
    <x:row r="1647">
      <x:c r="A1647" s="6" t="n">
        <x:v>45901</x:v>
      </x:c>
      <x:c r="B1647" s="5" t="str">
        <x:v>Information Technology</x:v>
      </x:c>
      <x:c r="C1647" s="5" t="str">
        <x:v>General &amp; Administrative</x:v>
      </x:c>
      <x:c r="D1647" s="5" t="str">
        <x:v>Canada</x:v>
      </x:c>
      <x:c r="E1647" s="10" t="n">
        <x:v>3</x:v>
      </x:c>
      <x:c r="F1647" s="7" t="n">
        <x:v>38495.74</x:v>
      </x:c>
      <x:c r="G1647" s="8"/>
    </x:row>
    <x:row r="1648">
      <x:c r="A1648" s="6" t="n">
        <x:v>45931</x:v>
      </x:c>
      <x:c r="B1648" s="5" t="str">
        <x:v>Cloud Operations</x:v>
      </x:c>
      <x:c r="C1648" s="5" t="str">
        <x:v>Cost of Revenue</x:v>
      </x:c>
      <x:c r="D1648" s="5" t="str">
        <x:v>Canada</x:v>
      </x:c>
      <x:c r="E1648" s="10" t="n">
        <x:v>4</x:v>
      </x:c>
      <x:c r="F1648" s="7" t="n">
        <x:v>64930.44</x:v>
      </x:c>
      <x:c r="G1648" s="8"/>
    </x:row>
    <x:row r="1649">
      <x:c r="A1649" s="6" t="n">
        <x:v>45931</x:v>
      </x:c>
      <x:c r="B1649" s="5" t="str">
        <x:v>Customer Support</x:v>
      </x:c>
      <x:c r="C1649" s="5" t="str">
        <x:v>Cost of Revenue</x:v>
      </x:c>
      <x:c r="D1649" s="5" t="str">
        <x:v>Canada</x:v>
      </x:c>
      <x:c r="E1649" s="10" t="n">
        <x:v>4</x:v>
      </x:c>
      <x:c r="F1649" s="7" t="n">
        <x:v>28280.15</x:v>
      </x:c>
      <x:c r="G1649" s="8"/>
    </x:row>
    <x:row r="1650">
      <x:c r="A1650" s="6" t="n">
        <x:v>45931</x:v>
      </x:c>
      <x:c r="B1650" s="5" t="str">
        <x:v>Professional Services</x:v>
      </x:c>
      <x:c r="C1650" s="5" t="str">
        <x:v>Cost of Revenue</x:v>
      </x:c>
      <x:c r="D1650" s="5" t="str">
        <x:v>Canada</x:v>
      </x:c>
      <x:c r="E1650" s="10" t="n">
        <x:v>4</x:v>
      </x:c>
      <x:c r="F1650" s="7" t="n">
        <x:v>49295.53</x:v>
      </x:c>
      <x:c r="G1650" s="8" t="n">
        <x:v>0.758</x:v>
      </x:c>
    </x:row>
    <x:row r="1651">
      <x:c r="A1651" s="6" t="n">
        <x:v>45931</x:v>
      </x:c>
      <x:c r="B1651" s="5" t="str">
        <x:v>Sales</x:v>
      </x:c>
      <x:c r="C1651" s="5" t="str">
        <x:v>Sales &amp; Marketing</x:v>
      </x:c>
      <x:c r="D1651" s="5" t="str">
        <x:v>Canada</x:v>
      </x:c>
      <x:c r="E1651" s="10" t="n">
        <x:v>7</x:v>
      </x:c>
      <x:c r="F1651" s="7" t="n">
        <x:v>78529.02</x:v>
      </x:c>
      <x:c r="G1651" s="8"/>
    </x:row>
    <x:row r="1652">
      <x:c r="A1652" s="6" t="n">
        <x:v>45931</x:v>
      </x:c>
      <x:c r="B1652" s="5" t="str">
        <x:v>Marketing</x:v>
      </x:c>
      <x:c r="C1652" s="5" t="str">
        <x:v>Sales &amp; Marketing</x:v>
      </x:c>
      <x:c r="D1652" s="5" t="str">
        <x:v>Canada</x:v>
      </x:c>
      <x:c r="E1652" s="10" t="n">
        <x:v>4</x:v>
      </x:c>
      <x:c r="F1652" s="7" t="n">
        <x:v>38673.57</x:v>
      </x:c>
      <x:c r="G1652" s="8"/>
    </x:row>
    <x:row r="1653">
      <x:c r="A1653" s="6" t="n">
        <x:v>45931</x:v>
      </x:c>
      <x:c r="B1653" s="5" t="str">
        <x:v>Product &amp; Engineering</x:v>
      </x:c>
      <x:c r="C1653" s="5" t="str">
        <x:v>Research &amp; Development</x:v>
      </x:c>
      <x:c r="D1653" s="5" t="str">
        <x:v>Canada</x:v>
      </x:c>
      <x:c r="E1653" s="10" t="n">
        <x:v>12</x:v>
      </x:c>
      <x:c r="F1653" s="7" t="n">
        <x:v>182117.79</x:v>
      </x:c>
      <x:c r="G1653" s="8"/>
    </x:row>
    <x:row r="1654">
      <x:c r="A1654" s="6" t="n">
        <x:v>45931</x:v>
      </x:c>
      <x:c r="B1654" s="5" t="str">
        <x:v>Finance</x:v>
      </x:c>
      <x:c r="C1654" s="5" t="str">
        <x:v>General &amp; Administrative</x:v>
      </x:c>
      <x:c r="D1654" s="5" t="str">
        <x:v>Canada</x:v>
      </x:c>
      <x:c r="E1654" s="10" t="n">
        <x:v>4</x:v>
      </x:c>
      <x:c r="F1654" s="7" t="n">
        <x:v>41805.28</x:v>
      </x:c>
      <x:c r="G1654" s="8"/>
    </x:row>
    <x:row r="1655">
      <x:c r="A1655" s="6" t="n">
        <x:v>45931</x:v>
      </x:c>
      <x:c r="B1655" s="5" t="str">
        <x:v>People</x:v>
      </x:c>
      <x:c r="C1655" s="5" t="str">
        <x:v>General &amp; Administrative</x:v>
      </x:c>
      <x:c r="D1655" s="5" t="str">
        <x:v>Canada</x:v>
      </x:c>
      <x:c r="E1655" s="10" t="n">
        <x:v>1</x:v>
      </x:c>
      <x:c r="F1655" s="7" t="n">
        <x:v>23109.15</x:v>
      </x:c>
      <x:c r="G1655" s="8"/>
    </x:row>
    <x:row r="1656">
      <x:c r="A1656" s="6" t="n">
        <x:v>45931</x:v>
      </x:c>
      <x:c r="B1656" s="5" t="str">
        <x:v>Legal &amp; Compliance</x:v>
      </x:c>
      <x:c r="C1656" s="5" t="str">
        <x:v>General &amp; Administrative</x:v>
      </x:c>
      <x:c r="D1656" s="5" t="str">
        <x:v>Canada</x:v>
      </x:c>
      <x:c r="E1656" s="10" t="n">
        <x:v>2</x:v>
      </x:c>
      <x:c r="F1656" s="7" t="n">
        <x:v>28297.69</x:v>
      </x:c>
      <x:c r="G1656" s="8"/>
    </x:row>
    <x:row r="1657">
      <x:c r="A1657" s="6" t="n">
        <x:v>45931</x:v>
      </x:c>
      <x:c r="B1657" s="5" t="str">
        <x:v>Information Technology</x:v>
      </x:c>
      <x:c r="C1657" s="5" t="str">
        <x:v>General &amp; Administrative</x:v>
      </x:c>
      <x:c r="D1657" s="5" t="str">
        <x:v>Canada</x:v>
      </x:c>
      <x:c r="E1657" s="10" t="n">
        <x:v>3</x:v>
      </x:c>
      <x:c r="F1657" s="7" t="n">
        <x:v>38495.74</x:v>
      </x:c>
      <x:c r="G1657" s="8"/>
    </x:row>
    <x:row r="1658">
      <x:c r="A1658" s="6" t="n">
        <x:v>45962</x:v>
      </x:c>
      <x:c r="B1658" s="5" t="str">
        <x:v>Cloud Operations</x:v>
      </x:c>
      <x:c r="C1658" s="5" t="str">
        <x:v>Cost of Revenue</x:v>
      </x:c>
      <x:c r="D1658" s="5" t="str">
        <x:v>Canada</x:v>
      </x:c>
      <x:c r="E1658" s="10" t="n">
        <x:v>4</x:v>
      </x:c>
      <x:c r="F1658" s="7" t="n">
        <x:v>64930.44</x:v>
      </x:c>
      <x:c r="G1658" s="8"/>
    </x:row>
    <x:row r="1659">
      <x:c r="A1659" s="6" t="n">
        <x:v>45962</x:v>
      </x:c>
      <x:c r="B1659" s="5" t="str">
        <x:v>Customer Support</x:v>
      </x:c>
      <x:c r="C1659" s="5" t="str">
        <x:v>Cost of Revenue</x:v>
      </x:c>
      <x:c r="D1659" s="5" t="str">
        <x:v>Canada</x:v>
      </x:c>
      <x:c r="E1659" s="10" t="n">
        <x:v>4</x:v>
      </x:c>
      <x:c r="F1659" s="7" t="n">
        <x:v>28280.15</x:v>
      </x:c>
      <x:c r="G1659" s="8"/>
    </x:row>
    <x:row r="1660">
      <x:c r="A1660" s="6" t="n">
        <x:v>45962</x:v>
      </x:c>
      <x:c r="B1660" s="5" t="str">
        <x:v>Professional Services</x:v>
      </x:c>
      <x:c r="C1660" s="5" t="str">
        <x:v>Cost of Revenue</x:v>
      </x:c>
      <x:c r="D1660" s="5" t="str">
        <x:v>Canada</x:v>
      </x:c>
      <x:c r="E1660" s="10" t="n">
        <x:v>4</x:v>
      </x:c>
      <x:c r="F1660" s="7" t="n">
        <x:v>49295.53</x:v>
      </x:c>
      <x:c r="G1660" s="8" t="n">
        <x:v>0.7985</x:v>
      </x:c>
    </x:row>
    <x:row r="1661">
      <x:c r="A1661" s="6" t="n">
        <x:v>45962</x:v>
      </x:c>
      <x:c r="B1661" s="5" t="str">
        <x:v>Sales</x:v>
      </x:c>
      <x:c r="C1661" s="5" t="str">
        <x:v>Sales &amp; Marketing</x:v>
      </x:c>
      <x:c r="D1661" s="5" t="str">
        <x:v>Canada</x:v>
      </x:c>
      <x:c r="E1661" s="10" t="n">
        <x:v>7</x:v>
      </x:c>
      <x:c r="F1661" s="7" t="n">
        <x:v>78529.02</x:v>
      </x:c>
      <x:c r="G1661" s="8"/>
    </x:row>
    <x:row r="1662">
      <x:c r="A1662" s="6" t="n">
        <x:v>45962</x:v>
      </x:c>
      <x:c r="B1662" s="5" t="str">
        <x:v>Marketing</x:v>
      </x:c>
      <x:c r="C1662" s="5" t="str">
        <x:v>Sales &amp; Marketing</x:v>
      </x:c>
      <x:c r="D1662" s="5" t="str">
        <x:v>Canada</x:v>
      </x:c>
      <x:c r="E1662" s="10" t="n">
        <x:v>4</x:v>
      </x:c>
      <x:c r="F1662" s="7" t="n">
        <x:v>38673.57</x:v>
      </x:c>
      <x:c r="G1662" s="8"/>
    </x:row>
    <x:row r="1663">
      <x:c r="A1663" s="6" t="n">
        <x:v>45962</x:v>
      </x:c>
      <x:c r="B1663" s="5" t="str">
        <x:v>Product &amp; Engineering</x:v>
      </x:c>
      <x:c r="C1663" s="5" t="str">
        <x:v>Research &amp; Development</x:v>
      </x:c>
      <x:c r="D1663" s="5" t="str">
        <x:v>Canada</x:v>
      </x:c>
      <x:c r="E1663" s="10" t="n">
        <x:v>13</x:v>
      </x:c>
      <x:c r="F1663" s="7" t="n">
        <x:v>195314.29</x:v>
      </x:c>
      <x:c r="G1663" s="8"/>
    </x:row>
    <x:row r="1664">
      <x:c r="A1664" s="6" t="n">
        <x:v>45962</x:v>
      </x:c>
      <x:c r="B1664" s="5" t="str">
        <x:v>Finance</x:v>
      </x:c>
      <x:c r="C1664" s="5" t="str">
        <x:v>General &amp; Administrative</x:v>
      </x:c>
      <x:c r="D1664" s="5" t="str">
        <x:v>Canada</x:v>
      </x:c>
      <x:c r="E1664" s="10" t="n">
        <x:v>4</x:v>
      </x:c>
      <x:c r="F1664" s="7" t="n">
        <x:v>41805.28</x:v>
      </x:c>
      <x:c r="G1664" s="8"/>
    </x:row>
    <x:row r="1665">
      <x:c r="A1665" s="6" t="n">
        <x:v>45962</x:v>
      </x:c>
      <x:c r="B1665" s="5" t="str">
        <x:v>People</x:v>
      </x:c>
      <x:c r="C1665" s="5" t="str">
        <x:v>General &amp; Administrative</x:v>
      </x:c>
      <x:c r="D1665" s="5" t="str">
        <x:v>Canada</x:v>
      </x:c>
      <x:c r="E1665" s="10" t="n">
        <x:v>1</x:v>
      </x:c>
      <x:c r="F1665" s="7" t="n">
        <x:v>23109.15</x:v>
      </x:c>
      <x:c r="G1665" s="8"/>
    </x:row>
    <x:row r="1666">
      <x:c r="A1666" s="6" t="n">
        <x:v>45962</x:v>
      </x:c>
      <x:c r="B1666" s="5" t="str">
        <x:v>Legal &amp; Compliance</x:v>
      </x:c>
      <x:c r="C1666" s="5" t="str">
        <x:v>General &amp; Administrative</x:v>
      </x:c>
      <x:c r="D1666" s="5" t="str">
        <x:v>Canada</x:v>
      </x:c>
      <x:c r="E1666" s="10" t="n">
        <x:v>1</x:v>
      </x:c>
      <x:c r="F1666" s="7" t="n">
        <x:v>10408.95</x:v>
      </x:c>
      <x:c r="G1666" s="8"/>
    </x:row>
    <x:row r="1667">
      <x:c r="A1667" s="6" t="n">
        <x:v>45962</x:v>
      </x:c>
      <x:c r="B1667" s="5" t="str">
        <x:v>Information Technology</x:v>
      </x:c>
      <x:c r="C1667" s="5" t="str">
        <x:v>General &amp; Administrative</x:v>
      </x:c>
      <x:c r="D1667" s="5" t="str">
        <x:v>Canada</x:v>
      </x:c>
      <x:c r="E1667" s="10" t="n">
        <x:v>3</x:v>
      </x:c>
      <x:c r="F1667" s="7" t="n">
        <x:v>38495.74</x:v>
      </x:c>
      <x:c r="G1667" s="8"/>
    </x:row>
    <x:row r="1668">
      <x:c r="A1668" s="6" t="n">
        <x:v>45992</x:v>
      </x:c>
      <x:c r="B1668" s="5" t="str">
        <x:v>Cloud Operations</x:v>
      </x:c>
      <x:c r="C1668" s="5" t="str">
        <x:v>Cost of Revenue</x:v>
      </x:c>
      <x:c r="D1668" s="5" t="str">
        <x:v>Canada</x:v>
      </x:c>
      <x:c r="E1668" s="10" t="n">
        <x:v>4</x:v>
      </x:c>
      <x:c r="F1668" s="7" t="n">
        <x:v>64930.44</x:v>
      </x:c>
      <x:c r="G1668" s="8"/>
    </x:row>
    <x:row r="1669">
      <x:c r="A1669" s="6" t="n">
        <x:v>45992</x:v>
      </x:c>
      <x:c r="B1669" s="5" t="str">
        <x:v>Customer Support</x:v>
      </x:c>
      <x:c r="C1669" s="5" t="str">
        <x:v>Cost of Revenue</x:v>
      </x:c>
      <x:c r="D1669" s="5" t="str">
        <x:v>Canada</x:v>
      </x:c>
      <x:c r="E1669" s="10" t="n">
        <x:v>4</x:v>
      </x:c>
      <x:c r="F1669" s="7" t="n">
        <x:v>28280.15</x:v>
      </x:c>
      <x:c r="G1669" s="8"/>
    </x:row>
    <x:row r="1670">
      <x:c r="A1670" s="6" t="n">
        <x:v>45992</x:v>
      </x:c>
      <x:c r="B1670" s="5" t="str">
        <x:v>Professional Services</x:v>
      </x:c>
      <x:c r="C1670" s="5" t="str">
        <x:v>Cost of Revenue</x:v>
      </x:c>
      <x:c r="D1670" s="5" t="str">
        <x:v>Canada</x:v>
      </x:c>
      <x:c r="E1670" s="10" t="n">
        <x:v>4</x:v>
      </x:c>
      <x:c r="F1670" s="7" t="n">
        <x:v>49295.53</x:v>
      </x:c>
      <x:c r="G1670" s="8" t="n">
        <x:v>0.7135</x:v>
      </x:c>
    </x:row>
    <x:row r="1671">
      <x:c r="A1671" s="6" t="n">
        <x:v>45992</x:v>
      </x:c>
      <x:c r="B1671" s="5" t="str">
        <x:v>Sales</x:v>
      </x:c>
      <x:c r="C1671" s="5" t="str">
        <x:v>Sales &amp; Marketing</x:v>
      </x:c>
      <x:c r="D1671" s="5" t="str">
        <x:v>Canada</x:v>
      </x:c>
      <x:c r="E1671" s="10" t="n">
        <x:v>7</x:v>
      </x:c>
      <x:c r="F1671" s="7" t="n">
        <x:v>78529.02</x:v>
      </x:c>
      <x:c r="G1671" s="8"/>
    </x:row>
    <x:row r="1672">
      <x:c r="A1672" s="6" t="n">
        <x:v>45992</x:v>
      </x:c>
      <x:c r="B1672" s="5" t="str">
        <x:v>Marketing</x:v>
      </x:c>
      <x:c r="C1672" s="5" t="str">
        <x:v>Sales &amp; Marketing</x:v>
      </x:c>
      <x:c r="D1672" s="5" t="str">
        <x:v>Canada</x:v>
      </x:c>
      <x:c r="E1672" s="10" t="n">
        <x:v>4</x:v>
      </x:c>
      <x:c r="F1672" s="7" t="n">
        <x:v>38673.57</x:v>
      </x:c>
      <x:c r="G1672" s="8"/>
    </x:row>
    <x:row r="1673">
      <x:c r="A1673" s="6" t="n">
        <x:v>45992</x:v>
      </x:c>
      <x:c r="B1673" s="5" t="str">
        <x:v>Product &amp; Engineering</x:v>
      </x:c>
      <x:c r="C1673" s="5" t="str">
        <x:v>Research &amp; Development</x:v>
      </x:c>
      <x:c r="D1673" s="5" t="str">
        <x:v>Canada</x:v>
      </x:c>
      <x:c r="E1673" s="10" t="n">
        <x:v>13</x:v>
      </x:c>
      <x:c r="F1673" s="7" t="n">
        <x:v>195314.29</x:v>
      </x:c>
      <x:c r="G1673" s="8"/>
    </x:row>
    <x:row r="1674">
      <x:c r="A1674" s="6" t="n">
        <x:v>45992</x:v>
      </x:c>
      <x:c r="B1674" s="5" t="str">
        <x:v>Finance</x:v>
      </x:c>
      <x:c r="C1674" s="5" t="str">
        <x:v>General &amp; Administrative</x:v>
      </x:c>
      <x:c r="D1674" s="5" t="str">
        <x:v>Canada</x:v>
      </x:c>
      <x:c r="E1674" s="10" t="n">
        <x:v>4</x:v>
      </x:c>
      <x:c r="F1674" s="7" t="n">
        <x:v>41805.28</x:v>
      </x:c>
      <x:c r="G1674" s="8"/>
    </x:row>
    <x:row r="1675">
      <x:c r="A1675" s="6" t="n">
        <x:v>45992</x:v>
      </x:c>
      <x:c r="B1675" s="5" t="str">
        <x:v>People</x:v>
      </x:c>
      <x:c r="C1675" s="5" t="str">
        <x:v>General &amp; Administrative</x:v>
      </x:c>
      <x:c r="D1675" s="5" t="str">
        <x:v>Canada</x:v>
      </x:c>
      <x:c r="E1675" s="10" t="n">
        <x:v>1</x:v>
      </x:c>
      <x:c r="F1675" s="7" t="n">
        <x:v>23109.15</x:v>
      </x:c>
      <x:c r="G1675" s="8"/>
    </x:row>
    <x:row r="1676">
      <x:c r="A1676" s="6" t="n">
        <x:v>45992</x:v>
      </x:c>
      <x:c r="B1676" s="5" t="str">
        <x:v>Legal &amp; Compliance</x:v>
      </x:c>
      <x:c r="C1676" s="5" t="str">
        <x:v>General &amp; Administrative</x:v>
      </x:c>
      <x:c r="D1676" s="5" t="str">
        <x:v>Canada</x:v>
      </x:c>
      <x:c r="E1676" s="10" t="n">
        <x:v>1</x:v>
      </x:c>
      <x:c r="F1676" s="7" t="n">
        <x:v>10408.95</x:v>
      </x:c>
      <x:c r="G1676" s="8"/>
    </x:row>
    <x:row r="1677">
      <x:c r="A1677" s="6" t="n">
        <x:v>45992</x:v>
      </x:c>
      <x:c r="B1677" s="5" t="str">
        <x:v>Information Technology</x:v>
      </x:c>
      <x:c r="C1677" s="5" t="str">
        <x:v>General &amp; Administrative</x:v>
      </x:c>
      <x:c r="D1677" s="5" t="str">
        <x:v>Canada</x:v>
      </x:c>
      <x:c r="E1677" s="10" t="n">
        <x:v>3</x:v>
      </x:c>
      <x:c r="F1677" s="7" t="n">
        <x:v>38495.74</x:v>
      </x:c>
      <x:c r="G1677" s="8"/>
    </x:row>
    <x:row r="1678">
      <x:c r="A1678" s="6" t="n">
        <x:v>46023</x:v>
      </x:c>
      <x:c r="B1678" s="5" t="str">
        <x:v>Cloud Operations</x:v>
      </x:c>
      <x:c r="C1678" s="5" t="str">
        <x:v>Cost of Revenue</x:v>
      </x:c>
      <x:c r="D1678" s="5" t="str">
        <x:v>Canada</x:v>
      </x:c>
      <x:c r="E1678" s="10" t="n">
        <x:v>4</x:v>
      </x:c>
      <x:c r="F1678" s="7" t="n">
        <x:v>67203</x:v>
      </x:c>
      <x:c r="G1678" s="8"/>
    </x:row>
    <x:row r="1679">
      <x:c r="A1679" s="6" t="n">
        <x:v>46023</x:v>
      </x:c>
      <x:c r="B1679" s="5" t="str">
        <x:v>Customer Support</x:v>
      </x:c>
      <x:c r="C1679" s="5" t="str">
        <x:v>Cost of Revenue</x:v>
      </x:c>
      <x:c r="D1679" s="5" t="str">
        <x:v>Canada</x:v>
      </x:c>
      <x:c r="E1679" s="10" t="n">
        <x:v>4</x:v>
      </x:c>
      <x:c r="F1679" s="7" t="n">
        <x:v>29269.94</x:v>
      </x:c>
      <x:c r="G1679" s="8"/>
    </x:row>
    <x:row r="1680">
      <x:c r="A1680" s="6" t="n">
        <x:v>46023</x:v>
      </x:c>
      <x:c r="B1680" s="5" t="str">
        <x:v>Professional Services</x:v>
      </x:c>
      <x:c r="C1680" s="5" t="str">
        <x:v>Cost of Revenue</x:v>
      </x:c>
      <x:c r="D1680" s="5" t="str">
        <x:v>Canada</x:v>
      </x:c>
      <x:c r="E1680" s="10" t="n">
        <x:v>5</x:v>
      </x:c>
      <x:c r="F1680" s="7" t="n">
        <x:v>62534.35</x:v>
      </x:c>
      <x:c r="G1680" s="8" t="n">
        <x:v>0.6876</x:v>
      </x:c>
    </x:row>
    <x:row r="1681">
      <x:c r="A1681" s="6" t="n">
        <x:v>46023</x:v>
      </x:c>
      <x:c r="B1681" s="5" t="str">
        <x:v>Sales</x:v>
      </x:c>
      <x:c r="C1681" s="5" t="str">
        <x:v>Sales &amp; Marketing</x:v>
      </x:c>
      <x:c r="D1681" s="5" t="str">
        <x:v>Canada</x:v>
      </x:c>
      <x:c r="E1681" s="10" t="n">
        <x:v>7</x:v>
      </x:c>
      <x:c r="F1681" s="7" t="n">
        <x:v>81277.51</x:v>
      </x:c>
      <x:c r="G1681" s="8"/>
    </x:row>
    <x:row r="1682">
      <x:c r="A1682" s="6" t="n">
        <x:v>46023</x:v>
      </x:c>
      <x:c r="B1682" s="5" t="str">
        <x:v>Marketing</x:v>
      </x:c>
      <x:c r="C1682" s="5" t="str">
        <x:v>Sales &amp; Marketing</x:v>
      </x:c>
      <x:c r="D1682" s="5" t="str">
        <x:v>Canada</x:v>
      </x:c>
      <x:c r="E1682" s="10" t="n">
        <x:v>4</x:v>
      </x:c>
      <x:c r="F1682" s="7" t="n">
        <x:v>40027.15</x:v>
      </x:c>
      <x:c r="G1682" s="8"/>
    </x:row>
    <x:row r="1683">
      <x:c r="A1683" s="6" t="n">
        <x:v>46023</x:v>
      </x:c>
      <x:c r="B1683" s="5" t="str">
        <x:v>Product &amp; Engineering</x:v>
      </x:c>
      <x:c r="C1683" s="5" t="str">
        <x:v>Research &amp; Development</x:v>
      </x:c>
      <x:c r="D1683" s="5" t="str">
        <x:v>Canada</x:v>
      </x:c>
      <x:c r="E1683" s="10" t="n">
        <x:v>13</x:v>
      </x:c>
      <x:c r="F1683" s="7" t="n">
        <x:v>202150.28</x:v>
      </x:c>
      <x:c r="G1683" s="8"/>
    </x:row>
    <x:row r="1684">
      <x:c r="A1684" s="6" t="n">
        <x:v>46023</x:v>
      </x:c>
      <x:c r="B1684" s="5" t="str">
        <x:v>Finance</x:v>
      </x:c>
      <x:c r="C1684" s="5" t="str">
        <x:v>General &amp; Administrative</x:v>
      </x:c>
      <x:c r="D1684" s="5" t="str">
        <x:v>Canada</x:v>
      </x:c>
      <x:c r="E1684" s="10" t="n">
        <x:v>4</x:v>
      </x:c>
      <x:c r="F1684" s="7" t="n">
        <x:v>43268.47</x:v>
      </x:c>
      <x:c r="G1684" s="8"/>
    </x:row>
    <x:row r="1685">
      <x:c r="A1685" s="6" t="n">
        <x:v>46023</x:v>
      </x:c>
      <x:c r="B1685" s="5" t="str">
        <x:v>People</x:v>
      </x:c>
      <x:c r="C1685" s="5" t="str">
        <x:v>General &amp; Administrative</x:v>
      </x:c>
      <x:c r="D1685" s="5" t="str">
        <x:v>Canada</x:v>
      </x:c>
      <x:c r="E1685" s="10" t="n">
        <x:v>1</x:v>
      </x:c>
      <x:c r="F1685" s="7" t="n">
        <x:v>23917.97</x:v>
      </x:c>
      <x:c r="G1685" s="8"/>
    </x:row>
    <x:row r="1686">
      <x:c r="A1686" s="6" t="n">
        <x:v>46023</x:v>
      </x:c>
      <x:c r="B1686" s="5" t="str">
        <x:v>Legal &amp; Compliance</x:v>
      </x:c>
      <x:c r="C1686" s="5" t="str">
        <x:v>General &amp; Administrative</x:v>
      </x:c>
      <x:c r="D1686" s="5" t="str">
        <x:v>Canada</x:v>
      </x:c>
      <x:c r="E1686" s="10" t="n">
        <x:v>1</x:v>
      </x:c>
      <x:c r="F1686" s="7" t="n">
        <x:v>10773.26</x:v>
      </x:c>
      <x:c r="G1686" s="8"/>
    </x:row>
    <x:row r="1687">
      <x:c r="A1687" s="6" t="n">
        <x:v>46023</x:v>
      </x:c>
      <x:c r="B1687" s="5" t="str">
        <x:v>Information Technology</x:v>
      </x:c>
      <x:c r="C1687" s="5" t="str">
        <x:v>General &amp; Administrative</x:v>
      </x:c>
      <x:c r="D1687" s="5" t="str">
        <x:v>Canada</x:v>
      </x:c>
      <x:c r="E1687" s="10" t="n">
        <x:v>3</x:v>
      </x:c>
      <x:c r="F1687" s="7" t="n">
        <x:v>39843.08</x:v>
      </x:c>
      <x:c r="G1687" s="8"/>
    </x:row>
    <x:row r="1688">
      <x:c r="A1688" s="6" t="n">
        <x:v>46054</x:v>
      </x:c>
      <x:c r="B1688" s="5" t="str">
        <x:v>Cloud Operations</x:v>
      </x:c>
      <x:c r="C1688" s="5" t="str">
        <x:v>Cost of Revenue</x:v>
      </x:c>
      <x:c r="D1688" s="5" t="str">
        <x:v>Canada</x:v>
      </x:c>
      <x:c r="E1688" s="10" t="n">
        <x:v>4</x:v>
      </x:c>
      <x:c r="F1688" s="7" t="n">
        <x:v>67203</x:v>
      </x:c>
      <x:c r="G1688" s="8"/>
    </x:row>
    <x:row r="1689">
      <x:c r="A1689" s="6" t="n">
        <x:v>46054</x:v>
      </x:c>
      <x:c r="B1689" s="5" t="str">
        <x:v>Customer Support</x:v>
      </x:c>
      <x:c r="C1689" s="5" t="str">
        <x:v>Cost of Revenue</x:v>
      </x:c>
      <x:c r="D1689" s="5" t="str">
        <x:v>Canada</x:v>
      </x:c>
      <x:c r="E1689" s="10" t="n">
        <x:v>4</x:v>
      </x:c>
      <x:c r="F1689" s="7" t="n">
        <x:v>29269.94</x:v>
      </x:c>
      <x:c r="G1689" s="8"/>
    </x:row>
    <x:row r="1690">
      <x:c r="A1690" s="6" t="n">
        <x:v>46054</x:v>
      </x:c>
      <x:c r="B1690" s="5" t="str">
        <x:v>Professional Services</x:v>
      </x:c>
      <x:c r="C1690" s="5" t="str">
        <x:v>Cost of Revenue</x:v>
      </x:c>
      <x:c r="D1690" s="5" t="str">
        <x:v>Canada</x:v>
      </x:c>
      <x:c r="E1690" s="10" t="n">
        <x:v>5</x:v>
      </x:c>
      <x:c r="F1690" s="7" t="n">
        <x:v>62534.35</x:v>
      </x:c>
      <x:c r="G1690" s="8" t="n">
        <x:v>0.7349</x:v>
      </x:c>
    </x:row>
    <x:row r="1691">
      <x:c r="A1691" s="6" t="n">
        <x:v>46054</x:v>
      </x:c>
      <x:c r="B1691" s="5" t="str">
        <x:v>Sales</x:v>
      </x:c>
      <x:c r="C1691" s="5" t="str">
        <x:v>Sales &amp; Marketing</x:v>
      </x:c>
      <x:c r="D1691" s="5" t="str">
        <x:v>Canada</x:v>
      </x:c>
      <x:c r="E1691" s="10" t="n">
        <x:v>6</x:v>
      </x:c>
      <x:c r="F1691" s="7" t="n">
        <x:v>66147.07</x:v>
      </x:c>
      <x:c r="G1691" s="8"/>
    </x:row>
    <x:row r="1692">
      <x:c r="A1692" s="6" t="n">
        <x:v>46054</x:v>
      </x:c>
      <x:c r="B1692" s="5" t="str">
        <x:v>Marketing</x:v>
      </x:c>
      <x:c r="C1692" s="5" t="str">
        <x:v>Sales &amp; Marketing</x:v>
      </x:c>
      <x:c r="D1692" s="5" t="str">
        <x:v>Canada</x:v>
      </x:c>
      <x:c r="E1692" s="10" t="n">
        <x:v>4</x:v>
      </x:c>
      <x:c r="F1692" s="7" t="n">
        <x:v>40027.15</x:v>
      </x:c>
      <x:c r="G1692" s="8"/>
    </x:row>
    <x:row r="1693">
      <x:c r="A1693" s="6" t="n">
        <x:v>46054</x:v>
      </x:c>
      <x:c r="B1693" s="5" t="str">
        <x:v>Product &amp; Engineering</x:v>
      </x:c>
      <x:c r="C1693" s="5" t="str">
        <x:v>Research &amp; Development</x:v>
      </x:c>
      <x:c r="D1693" s="5" t="str">
        <x:v>Canada</x:v>
      </x:c>
      <x:c r="E1693" s="10" t="n">
        <x:v>13</x:v>
      </x:c>
      <x:c r="F1693" s="7" t="n">
        <x:v>202150.28</x:v>
      </x:c>
      <x:c r="G1693" s="8"/>
    </x:row>
    <x:row r="1694">
      <x:c r="A1694" s="6" t="n">
        <x:v>46054</x:v>
      </x:c>
      <x:c r="B1694" s="5" t="str">
        <x:v>Finance</x:v>
      </x:c>
      <x:c r="C1694" s="5" t="str">
        <x:v>General &amp; Administrative</x:v>
      </x:c>
      <x:c r="D1694" s="5" t="str">
        <x:v>Canada</x:v>
      </x:c>
      <x:c r="E1694" s="10" t="n">
        <x:v>4</x:v>
      </x:c>
      <x:c r="F1694" s="7" t="n">
        <x:v>43268.47</x:v>
      </x:c>
      <x:c r="G1694" s="8"/>
    </x:row>
    <x:row r="1695">
      <x:c r="A1695" s="6" t="n">
        <x:v>46054</x:v>
      </x:c>
      <x:c r="B1695" s="5" t="str">
        <x:v>People</x:v>
      </x:c>
      <x:c r="C1695" s="5" t="str">
        <x:v>General &amp; Administrative</x:v>
      </x:c>
      <x:c r="D1695" s="5" t="str">
        <x:v>Canada</x:v>
      </x:c>
      <x:c r="E1695" s="10" t="n">
        <x:v>1</x:v>
      </x:c>
      <x:c r="F1695" s="7" t="n">
        <x:v>23917.97</x:v>
      </x:c>
      <x:c r="G1695" s="8"/>
    </x:row>
    <x:row r="1696">
      <x:c r="A1696" s="6" t="n">
        <x:v>46054</x:v>
      </x:c>
      <x:c r="B1696" s="5" t="str">
        <x:v>Information Technology</x:v>
      </x:c>
      <x:c r="C1696" s="5" t="str">
        <x:v>General &amp; Administrative</x:v>
      </x:c>
      <x:c r="D1696" s="5" t="str">
        <x:v>Canada</x:v>
      </x:c>
      <x:c r="E1696" s="10" t="n">
        <x:v>3</x:v>
      </x:c>
      <x:c r="F1696" s="7" t="n">
        <x:v>39843.08</x:v>
      </x:c>
      <x:c r="G1696" s="8"/>
    </x:row>
    <x:row r="1697">
      <x:c r="A1697" s="6" t="n">
        <x:v>46082</x:v>
      </x:c>
      <x:c r="B1697" s="5" t="str">
        <x:v>Cloud Operations</x:v>
      </x:c>
      <x:c r="C1697" s="5" t="str">
        <x:v>Cost of Revenue</x:v>
      </x:c>
      <x:c r="D1697" s="5" t="str">
        <x:v>Canada</x:v>
      </x:c>
      <x:c r="E1697" s="10" t="n">
        <x:v>4</x:v>
      </x:c>
      <x:c r="F1697" s="7" t="n">
        <x:v>67203</x:v>
      </x:c>
      <x:c r="G1697" s="8"/>
    </x:row>
    <x:row r="1698">
      <x:c r="A1698" s="6" t="n">
        <x:v>46082</x:v>
      </x:c>
      <x:c r="B1698" s="5" t="str">
        <x:v>Customer Support</x:v>
      </x:c>
      <x:c r="C1698" s="5" t="str">
        <x:v>Cost of Revenue</x:v>
      </x:c>
      <x:c r="D1698" s="5" t="str">
        <x:v>Canada</x:v>
      </x:c>
      <x:c r="E1698" s="10" t="n">
        <x:v>4</x:v>
      </x:c>
      <x:c r="F1698" s="7" t="n">
        <x:v>29269.94</x:v>
      </x:c>
      <x:c r="G1698" s="8"/>
    </x:row>
    <x:row r="1699">
      <x:c r="A1699" s="6" t="n">
        <x:v>46082</x:v>
      </x:c>
      <x:c r="B1699" s="5" t="str">
        <x:v>Professional Services</x:v>
      </x:c>
      <x:c r="C1699" s="5" t="str">
        <x:v>Cost of Revenue</x:v>
      </x:c>
      <x:c r="D1699" s="5" t="str">
        <x:v>Canada</x:v>
      </x:c>
      <x:c r="E1699" s="10" t="n">
        <x:v>5</x:v>
      </x:c>
      <x:c r="F1699" s="7" t="n">
        <x:v>62534.35</x:v>
      </x:c>
      <x:c r="G1699" s="8" t="n">
        <x:v>0.7237</x:v>
      </x:c>
    </x:row>
    <x:row r="1700">
      <x:c r="A1700" s="6" t="n">
        <x:v>46082</x:v>
      </x:c>
      <x:c r="B1700" s="5" t="str">
        <x:v>Sales</x:v>
      </x:c>
      <x:c r="C1700" s="5" t="str">
        <x:v>Sales &amp; Marketing</x:v>
      </x:c>
      <x:c r="D1700" s="5" t="str">
        <x:v>Canada</x:v>
      </x:c>
      <x:c r="E1700" s="10" t="n">
        <x:v>6</x:v>
      </x:c>
      <x:c r="F1700" s="7" t="n">
        <x:v>66147.07</x:v>
      </x:c>
      <x:c r="G1700" s="8"/>
    </x:row>
    <x:row r="1701">
      <x:c r="A1701" s="6" t="n">
        <x:v>46082</x:v>
      </x:c>
      <x:c r="B1701" s="5" t="str">
        <x:v>Marketing</x:v>
      </x:c>
      <x:c r="C1701" s="5" t="str">
        <x:v>Sales &amp; Marketing</x:v>
      </x:c>
      <x:c r="D1701" s="5" t="str">
        <x:v>Canada</x:v>
      </x:c>
      <x:c r="E1701" s="10" t="n">
        <x:v>4</x:v>
      </x:c>
      <x:c r="F1701" s="7" t="n">
        <x:v>40027.15</x:v>
      </x:c>
      <x:c r="G1701" s="8"/>
    </x:row>
    <x:row r="1702">
      <x:c r="A1702" s="6" t="n">
        <x:v>46082</x:v>
      </x:c>
      <x:c r="B1702" s="5" t="str">
        <x:v>Product &amp; Engineering</x:v>
      </x:c>
      <x:c r="C1702" s="5" t="str">
        <x:v>Research &amp; Development</x:v>
      </x:c>
      <x:c r="D1702" s="5" t="str">
        <x:v>Canada</x:v>
      </x:c>
      <x:c r="E1702" s="10" t="n">
        <x:v>13</x:v>
      </x:c>
      <x:c r="F1702" s="7" t="n">
        <x:v>202150.28</x:v>
      </x:c>
      <x:c r="G1702" s="8"/>
    </x:row>
    <x:row r="1703">
      <x:c r="A1703" s="6" t="n">
        <x:v>46082</x:v>
      </x:c>
      <x:c r="B1703" s="5" t="str">
        <x:v>Finance</x:v>
      </x:c>
      <x:c r="C1703" s="5" t="str">
        <x:v>General &amp; Administrative</x:v>
      </x:c>
      <x:c r="D1703" s="5" t="str">
        <x:v>Canada</x:v>
      </x:c>
      <x:c r="E1703" s="10" t="n">
        <x:v>4</x:v>
      </x:c>
      <x:c r="F1703" s="7" t="n">
        <x:v>43268.47</x:v>
      </x:c>
      <x:c r="G1703" s="8"/>
    </x:row>
    <x:row r="1704">
      <x:c r="A1704" s="6" t="n">
        <x:v>46082</x:v>
      </x:c>
      <x:c r="B1704" s="5" t="str">
        <x:v>People</x:v>
      </x:c>
      <x:c r="C1704" s="5" t="str">
        <x:v>General &amp; Administrative</x:v>
      </x:c>
      <x:c r="D1704" s="5" t="str">
        <x:v>Canada</x:v>
      </x:c>
      <x:c r="E1704" s="10" t="n">
        <x:v>1</x:v>
      </x:c>
      <x:c r="F1704" s="7" t="n">
        <x:v>23917.97</x:v>
      </x:c>
      <x:c r="G1704" s="8"/>
    </x:row>
    <x:row r="1705">
      <x:c r="A1705" s="6" t="n">
        <x:v>46082</x:v>
      </x:c>
      <x:c r="B1705" s="5" t="str">
        <x:v>Information Technology</x:v>
      </x:c>
      <x:c r="C1705" s="5" t="str">
        <x:v>General &amp; Administrative</x:v>
      </x:c>
      <x:c r="D1705" s="5" t="str">
        <x:v>Canada</x:v>
      </x:c>
      <x:c r="E1705" s="10" t="n">
        <x:v>3</x:v>
      </x:c>
      <x:c r="F1705" s="7" t="n">
        <x:v>39843.08</x:v>
      </x:c>
      <x:c r="G1705" s="8"/>
    </x:row>
    <x:row r="1706">
      <x:c r="A1706" s="6" t="n">
        <x:v>46113</x:v>
      </x:c>
      <x:c r="B1706" s="5" t="str">
        <x:v>Cloud Operations</x:v>
      </x:c>
      <x:c r="C1706" s="5" t="str">
        <x:v>Cost of Revenue</x:v>
      </x:c>
      <x:c r="D1706" s="5" t="str">
        <x:v>Canada</x:v>
      </x:c>
      <x:c r="E1706" s="10" t="n">
        <x:v>4</x:v>
      </x:c>
      <x:c r="F1706" s="7" t="n">
        <x:v>67203</x:v>
      </x:c>
      <x:c r="G1706" s="8"/>
    </x:row>
    <x:row r="1707">
      <x:c r="A1707" s="6" t="n">
        <x:v>46113</x:v>
      </x:c>
      <x:c r="B1707" s="5" t="str">
        <x:v>Customer Support</x:v>
      </x:c>
      <x:c r="C1707" s="5" t="str">
        <x:v>Cost of Revenue</x:v>
      </x:c>
      <x:c r="D1707" s="5" t="str">
        <x:v>Canada</x:v>
      </x:c>
      <x:c r="E1707" s="10" t="n">
        <x:v>4</x:v>
      </x:c>
      <x:c r="F1707" s="7" t="n">
        <x:v>29269.94</x:v>
      </x:c>
      <x:c r="G1707" s="8"/>
    </x:row>
    <x:row r="1708">
      <x:c r="A1708" s="6" t="n">
        <x:v>46113</x:v>
      </x:c>
      <x:c r="B1708" s="5" t="str">
        <x:v>Professional Services</x:v>
      </x:c>
      <x:c r="C1708" s="5" t="str">
        <x:v>Cost of Revenue</x:v>
      </x:c>
      <x:c r="D1708" s="5" t="str">
        <x:v>Canada</x:v>
      </x:c>
      <x:c r="E1708" s="10" t="n">
        <x:v>5</x:v>
      </x:c>
      <x:c r="F1708" s="7" t="n">
        <x:v>62534.35</x:v>
      </x:c>
      <x:c r="G1708" s="8" t="n">
        <x:v>0.7462</x:v>
      </x:c>
    </x:row>
    <x:row r="1709">
      <x:c r="A1709" s="6" t="n">
        <x:v>46113</x:v>
      </x:c>
      <x:c r="B1709" s="5" t="str">
        <x:v>Sales</x:v>
      </x:c>
      <x:c r="C1709" s="5" t="str">
        <x:v>Sales &amp; Marketing</x:v>
      </x:c>
      <x:c r="D1709" s="5" t="str">
        <x:v>Canada</x:v>
      </x:c>
      <x:c r="E1709" s="10" t="n">
        <x:v>7</x:v>
      </x:c>
      <x:c r="F1709" s="7" t="n">
        <x:v>74237.36</x:v>
      </x:c>
      <x:c r="G1709" s="8"/>
    </x:row>
    <x:row r="1710">
      <x:c r="A1710" s="6" t="n">
        <x:v>46113</x:v>
      </x:c>
      <x:c r="B1710" s="5" t="str">
        <x:v>Marketing</x:v>
      </x:c>
      <x:c r="C1710" s="5" t="str">
        <x:v>Sales &amp; Marketing</x:v>
      </x:c>
      <x:c r="D1710" s="5" t="str">
        <x:v>Canada</x:v>
      </x:c>
      <x:c r="E1710" s="10" t="n">
        <x:v>4</x:v>
      </x:c>
      <x:c r="F1710" s="7" t="n">
        <x:v>40027.15</x:v>
      </x:c>
      <x:c r="G1710" s="8"/>
    </x:row>
    <x:row r="1711">
      <x:c r="A1711" s="6" t="n">
        <x:v>46113</x:v>
      </x:c>
      <x:c r="B1711" s="5" t="str">
        <x:v>Product &amp; Engineering</x:v>
      </x:c>
      <x:c r="C1711" s="5" t="str">
        <x:v>Research &amp; Development</x:v>
      </x:c>
      <x:c r="D1711" s="5" t="str">
        <x:v>Canada</x:v>
      </x:c>
      <x:c r="E1711" s="10" t="n">
        <x:v>13</x:v>
      </x:c>
      <x:c r="F1711" s="7" t="n">
        <x:v>202150.28</x:v>
      </x:c>
      <x:c r="G1711" s="8"/>
    </x:row>
    <x:row r="1712">
      <x:c r="A1712" s="6" t="n">
        <x:v>46113</x:v>
      </x:c>
      <x:c r="B1712" s="5" t="str">
        <x:v>Finance</x:v>
      </x:c>
      <x:c r="C1712" s="5" t="str">
        <x:v>General &amp; Administrative</x:v>
      </x:c>
      <x:c r="D1712" s="5" t="str">
        <x:v>Canada</x:v>
      </x:c>
      <x:c r="E1712" s="10" t="n">
        <x:v>4</x:v>
      </x:c>
      <x:c r="F1712" s="7" t="n">
        <x:v>43268.47</x:v>
      </x:c>
      <x:c r="G1712" s="8"/>
    </x:row>
    <x:row r="1713">
      <x:c r="A1713" s="6" t="n">
        <x:v>46113</x:v>
      </x:c>
      <x:c r="B1713" s="5" t="str">
        <x:v>People</x:v>
      </x:c>
      <x:c r="C1713" s="5" t="str">
        <x:v>General &amp; Administrative</x:v>
      </x:c>
      <x:c r="D1713" s="5" t="str">
        <x:v>Canada</x:v>
      </x:c>
      <x:c r="E1713" s="10" t="n">
        <x:v>1</x:v>
      </x:c>
      <x:c r="F1713" s="7" t="n">
        <x:v>23917.97</x:v>
      </x:c>
      <x:c r="G1713" s="8"/>
    </x:row>
    <x:row r="1714">
      <x:c r="A1714" s="6" t="n">
        <x:v>46113</x:v>
      </x:c>
      <x:c r="B1714" s="5" t="str">
        <x:v>Information Technology</x:v>
      </x:c>
      <x:c r="C1714" s="5" t="str">
        <x:v>General &amp; Administrative</x:v>
      </x:c>
      <x:c r="D1714" s="5" t="str">
        <x:v>Canada</x:v>
      </x:c>
      <x:c r="E1714" s="10" t="n">
        <x:v>3</x:v>
      </x:c>
      <x:c r="F1714" s="7" t="n">
        <x:v>39843.08</x:v>
      </x:c>
      <x:c r="G1714" s="8"/>
    </x:row>
    <x:row r="1715">
      <x:c r="A1715" s="6" t="n">
        <x:v>46143</x:v>
      </x:c>
      <x:c r="B1715" s="5" t="str">
        <x:v>Cloud Operations</x:v>
      </x:c>
      <x:c r="C1715" s="5" t="str">
        <x:v>Cost of Revenue</x:v>
      </x:c>
      <x:c r="D1715" s="5" t="str">
        <x:v>Canada</x:v>
      </x:c>
      <x:c r="E1715" s="10" t="n">
        <x:v>4</x:v>
      </x:c>
      <x:c r="F1715" s="7" t="n">
        <x:v>67203</x:v>
      </x:c>
      <x:c r="G1715" s="8"/>
    </x:row>
    <x:row r="1716">
      <x:c r="A1716" s="6" t="n">
        <x:v>46143</x:v>
      </x:c>
      <x:c r="B1716" s="5" t="str">
        <x:v>Customer Support</x:v>
      </x:c>
      <x:c r="C1716" s="5" t="str">
        <x:v>Cost of Revenue</x:v>
      </x:c>
      <x:c r="D1716" s="5" t="str">
        <x:v>Canada</x:v>
      </x:c>
      <x:c r="E1716" s="10" t="n">
        <x:v>4</x:v>
      </x:c>
      <x:c r="F1716" s="7" t="n">
        <x:v>29269.94</x:v>
      </x:c>
      <x:c r="G1716" s="8"/>
    </x:row>
    <x:row r="1717">
      <x:c r="A1717" s="6" t="n">
        <x:v>46143</x:v>
      </x:c>
      <x:c r="B1717" s="5" t="str">
        <x:v>Professional Services</x:v>
      </x:c>
      <x:c r="C1717" s="5" t="str">
        <x:v>Cost of Revenue</x:v>
      </x:c>
      <x:c r="D1717" s="5" t="str">
        <x:v>Canada</x:v>
      </x:c>
      <x:c r="E1717" s="10" t="n">
        <x:v>5</x:v>
      </x:c>
      <x:c r="F1717" s="7" t="n">
        <x:v>62534.35</x:v>
      </x:c>
      <x:c r="G1717" s="8" t="n">
        <x:v>0.7827</x:v>
      </x:c>
    </x:row>
    <x:row r="1718">
      <x:c r="A1718" s="6" t="n">
        <x:v>46143</x:v>
      </x:c>
      <x:c r="B1718" s="5" t="str">
        <x:v>Sales</x:v>
      </x:c>
      <x:c r="C1718" s="5" t="str">
        <x:v>Sales &amp; Marketing</x:v>
      </x:c>
      <x:c r="D1718" s="5" t="str">
        <x:v>Canada</x:v>
      </x:c>
      <x:c r="E1718" s="10" t="n">
        <x:v>7</x:v>
      </x:c>
      <x:c r="F1718" s="7" t="n">
        <x:v>74237.36</x:v>
      </x:c>
      <x:c r="G1718" s="8"/>
    </x:row>
    <x:row r="1719">
      <x:c r="A1719" s="6" t="n">
        <x:v>46143</x:v>
      </x:c>
      <x:c r="B1719" s="5" t="str">
        <x:v>Marketing</x:v>
      </x:c>
      <x:c r="C1719" s="5" t="str">
        <x:v>Sales &amp; Marketing</x:v>
      </x:c>
      <x:c r="D1719" s="5" t="str">
        <x:v>Canada</x:v>
      </x:c>
      <x:c r="E1719" s="10" t="n">
        <x:v>4</x:v>
      </x:c>
      <x:c r="F1719" s="7" t="n">
        <x:v>40027.15</x:v>
      </x:c>
      <x:c r="G1719" s="8"/>
    </x:row>
    <x:row r="1720">
      <x:c r="A1720" s="6" t="n">
        <x:v>46143</x:v>
      </x:c>
      <x:c r="B1720" s="5" t="str">
        <x:v>Product &amp; Engineering</x:v>
      </x:c>
      <x:c r="C1720" s="5" t="str">
        <x:v>Research &amp; Development</x:v>
      </x:c>
      <x:c r="D1720" s="5" t="str">
        <x:v>Canada</x:v>
      </x:c>
      <x:c r="E1720" s="10" t="n">
        <x:v>13</x:v>
      </x:c>
      <x:c r="F1720" s="7" t="n">
        <x:v>202150.28</x:v>
      </x:c>
      <x:c r="G1720" s="8"/>
    </x:row>
    <x:row r="1721">
      <x:c r="A1721" s="6" t="n">
        <x:v>46143</x:v>
      </x:c>
      <x:c r="B1721" s="5" t="str">
        <x:v>Finance</x:v>
      </x:c>
      <x:c r="C1721" s="5" t="str">
        <x:v>General &amp; Administrative</x:v>
      </x:c>
      <x:c r="D1721" s="5" t="str">
        <x:v>Canada</x:v>
      </x:c>
      <x:c r="E1721" s="10" t="n">
        <x:v>4</x:v>
      </x:c>
      <x:c r="F1721" s="7" t="n">
        <x:v>43268.47</x:v>
      </x:c>
      <x:c r="G1721" s="8"/>
    </x:row>
    <x:row r="1722">
      <x:c r="A1722" s="6" t="n">
        <x:v>46143</x:v>
      </x:c>
      <x:c r="B1722" s="5" t="str">
        <x:v>People</x:v>
      </x:c>
      <x:c r="C1722" s="5" t="str">
        <x:v>General &amp; Administrative</x:v>
      </x:c>
      <x:c r="D1722" s="5" t="str">
        <x:v>Canada</x:v>
      </x:c>
      <x:c r="E1722" s="10" t="n">
        <x:v>1</x:v>
      </x:c>
      <x:c r="F1722" s="7" t="n">
        <x:v>23917.97</x:v>
      </x:c>
      <x:c r="G1722" s="8"/>
    </x:row>
    <x:row r="1723">
      <x:c r="A1723" s="6" t="n">
        <x:v>46143</x:v>
      </x:c>
      <x:c r="B1723" s="5" t="str">
        <x:v>Information Technology</x:v>
      </x:c>
      <x:c r="C1723" s="5" t="str">
        <x:v>General &amp; Administrative</x:v>
      </x:c>
      <x:c r="D1723" s="5" t="str">
        <x:v>Canada</x:v>
      </x:c>
      <x:c r="E1723" s="10" t="n">
        <x:v>3</x:v>
      </x:c>
      <x:c r="F1723" s="7" t="n">
        <x:v>39843.08</x:v>
      </x:c>
      <x:c r="G1723" s="8"/>
    </x:row>
    <x:row r="1724">
      <x:c r="A1724" s="6" t="n">
        <x:v>46174</x:v>
      </x:c>
      <x:c r="B1724" s="5" t="str">
        <x:v>Cloud Operations</x:v>
      </x:c>
      <x:c r="C1724" s="5" t="str">
        <x:v>Cost of Revenue</x:v>
      </x:c>
      <x:c r="D1724" s="5" t="str">
        <x:v>Canada</x:v>
      </x:c>
      <x:c r="E1724" s="10" t="n">
        <x:v>4</x:v>
      </x:c>
      <x:c r="F1724" s="7" t="n">
        <x:v>67203</x:v>
      </x:c>
      <x:c r="G1724" s="8"/>
    </x:row>
    <x:row r="1725">
      <x:c r="A1725" s="6" t="n">
        <x:v>46174</x:v>
      </x:c>
      <x:c r="B1725" s="5" t="str">
        <x:v>Customer Support</x:v>
      </x:c>
      <x:c r="C1725" s="5" t="str">
        <x:v>Cost of Revenue</x:v>
      </x:c>
      <x:c r="D1725" s="5" t="str">
        <x:v>Canada</x:v>
      </x:c>
      <x:c r="E1725" s="10" t="n">
        <x:v>4</x:v>
      </x:c>
      <x:c r="F1725" s="7" t="n">
        <x:v>29269.94</x:v>
      </x:c>
      <x:c r="G1725" s="8"/>
    </x:row>
    <x:row r="1726">
      <x:c r="A1726" s="6" t="n">
        <x:v>46174</x:v>
      </x:c>
      <x:c r="B1726" s="5" t="str">
        <x:v>Professional Services</x:v>
      </x:c>
      <x:c r="C1726" s="5" t="str">
        <x:v>Cost of Revenue</x:v>
      </x:c>
      <x:c r="D1726" s="5" t="str">
        <x:v>Canada</x:v>
      </x:c>
      <x:c r="E1726" s="10" t="n">
        <x:v>5</x:v>
      </x:c>
      <x:c r="F1726" s="7" t="n">
        <x:v>62534.35</x:v>
      </x:c>
      <x:c r="G1726" s="8" t="n">
        <x:v>0.7817</x:v>
      </x:c>
    </x:row>
    <x:row r="1727">
      <x:c r="A1727" s="6" t="n">
        <x:v>46174</x:v>
      </x:c>
      <x:c r="B1727" s="5" t="str">
        <x:v>Sales</x:v>
      </x:c>
      <x:c r="C1727" s="5" t="str">
        <x:v>Sales &amp; Marketing</x:v>
      </x:c>
      <x:c r="D1727" s="5" t="str">
        <x:v>Canada</x:v>
      </x:c>
      <x:c r="E1727" s="10" t="n">
        <x:v>7</x:v>
      </x:c>
      <x:c r="F1727" s="7" t="n">
        <x:v>74237.36</x:v>
      </x:c>
      <x:c r="G1727" s="8"/>
    </x:row>
    <x:row r="1728">
      <x:c r="A1728" s="6" t="n">
        <x:v>46174</x:v>
      </x:c>
      <x:c r="B1728" s="5" t="str">
        <x:v>Marketing</x:v>
      </x:c>
      <x:c r="C1728" s="5" t="str">
        <x:v>Sales &amp; Marketing</x:v>
      </x:c>
      <x:c r="D1728" s="5" t="str">
        <x:v>Canada</x:v>
      </x:c>
      <x:c r="E1728" s="10" t="n">
        <x:v>4</x:v>
      </x:c>
      <x:c r="F1728" s="7" t="n">
        <x:v>40027.15</x:v>
      </x:c>
      <x:c r="G1728" s="8"/>
    </x:row>
    <x:row r="1729">
      <x:c r="A1729" s="6" t="n">
        <x:v>46174</x:v>
      </x:c>
      <x:c r="B1729" s="5" t="str">
        <x:v>Product &amp; Engineering</x:v>
      </x:c>
      <x:c r="C1729" s="5" t="str">
        <x:v>Research &amp; Development</x:v>
      </x:c>
      <x:c r="D1729" s="5" t="str">
        <x:v>Canada</x:v>
      </x:c>
      <x:c r="E1729" s="10" t="n">
        <x:v>13</x:v>
      </x:c>
      <x:c r="F1729" s="7" t="n">
        <x:v>202150.28</x:v>
      </x:c>
      <x:c r="G1729" s="8"/>
    </x:row>
    <x:row r="1730">
      <x:c r="A1730" s="6" t="n">
        <x:v>46174</x:v>
      </x:c>
      <x:c r="B1730" s="5" t="str">
        <x:v>Finance</x:v>
      </x:c>
      <x:c r="C1730" s="5" t="str">
        <x:v>General &amp; Administrative</x:v>
      </x:c>
      <x:c r="D1730" s="5" t="str">
        <x:v>Canada</x:v>
      </x:c>
      <x:c r="E1730" s="10" t="n">
        <x:v>4</x:v>
      </x:c>
      <x:c r="F1730" s="7" t="n">
        <x:v>43268.47</x:v>
      </x:c>
      <x:c r="G1730" s="8"/>
    </x:row>
    <x:row r="1731">
      <x:c r="A1731" s="6" t="n">
        <x:v>46174</x:v>
      </x:c>
      <x:c r="B1731" s="5" t="str">
        <x:v>People</x:v>
      </x:c>
      <x:c r="C1731" s="5" t="str">
        <x:v>General &amp; Administrative</x:v>
      </x:c>
      <x:c r="D1731" s="5" t="str">
        <x:v>Canada</x:v>
      </x:c>
      <x:c r="E1731" s="10" t="n">
        <x:v>1</x:v>
      </x:c>
      <x:c r="F1731" s="7" t="n">
        <x:v>23917.97</x:v>
      </x:c>
      <x:c r="G1731" s="8"/>
    </x:row>
    <x:row r="1732">
      <x:c r="A1732" s="6" t="n">
        <x:v>46174</x:v>
      </x:c>
      <x:c r="B1732" s="5" t="str">
        <x:v>Information Technology</x:v>
      </x:c>
      <x:c r="C1732" s="5" t="str">
        <x:v>General &amp; Administrative</x:v>
      </x:c>
      <x:c r="D1732" s="5" t="str">
        <x:v>Canada</x:v>
      </x:c>
      <x:c r="E1732" s="10" t="n">
        <x:v>4</x:v>
      </x:c>
      <x:c r="F1732" s="7" t="n">
        <x:v>51979.36</x:v>
      </x:c>
      <x:c r="G1732" s="8"/>
    </x:row>
  </x:sheetData>
  <x:pageMargins left="0.7" right="0.7" top="0.75" bottom="0.75" header="0.3" footer="0.3"/>
  <x:tableParts count="1">
    <x:tablePart xmlns:r="http://schemas.openxmlformats.org/officeDocument/2006/relationships" r:id="R6507abeef9a94126"/>
  </x:tableParts>
</x:worksheet>
</file>

<file path=xl/worksheets/sheet14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24" hidden="0" customWidth="1"/>
    <x:col min="3" max="3" width="13" hidden="0" customWidth="1"/>
    <x:col min="4" max="4" width="24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3" hidden="0" customWidth="1"/>
    <x:col min="16" max="16" width="16" hidden="0" customWidth="1"/>
  </x:cols>
  <x:sheetData>
    <x:row r="1">
      <x:c r="A1" s="4" t="str">
        <x:v>project_id</x:v>
      </x:c>
      <x:c r="B1" s="4" t="str">
        <x:v>customer_name</x:v>
      </x:c>
      <x:c r="C1" s="4" t="str">
        <x:v>segment</x:v>
      </x:c>
      <x:c r="D1" s="4" t="str">
        <x:v>region_name</x:v>
      </x:c>
      <x:c r="E1" s="4" t="str">
        <x:v>project_type</x:v>
      </x:c>
      <x:c r="F1" s="4" t="str">
        <x:v>contract_type</x:v>
      </x:c>
      <x:c r="G1" s="4" t="str">
        <x:v>start_month</x:v>
      </x:c>
      <x:c r="H1" s="4" t="str">
        <x:v>planned_end_month</x:v>
      </x:c>
      <x:c r="I1" s="4" t="str">
        <x:v>status</x:v>
      </x:c>
      <x:c r="J1" s="4" t="str">
        <x:v>revenue_to_date_usd</x:v>
      </x:c>
      <x:c r="K1" s="4" t="str">
        <x:v>direct_labor_cost_usd</x:v>
      </x:c>
      <x:c r="L1" s="4" t="str">
        <x:v>subcontractor_cost_usd</x:v>
      </x:c>
      <x:c r="M1" s="4" t="str">
        <x:v>travel_cost_usd</x:v>
      </x:c>
      <x:c r="N1" s="4" t="str">
        <x:v>gross_profit_usd</x:v>
      </x:c>
      <x:c r="O1" s="4" t="str">
        <x:v>gross_margin_pct</x:v>
      </x:c>
      <x:c r="P1" s="4" t="str">
        <x:v>realized_bill_rate_usd</x:v>
      </x:c>
    </x:row>
    <x:row r="2">
      <x:c r="A2" s="5" t="str">
        <x:v>P0063</x:v>
      </x:c>
      <x:c r="B2" s="5" t="str">
        <x:v>Ironwood Health 251</x:v>
      </x:c>
      <x:c r="C2" s="5" t="str">
        <x:v>SMB</x:v>
      </x:c>
      <x:c r="D2" s="5" t="str">
        <x:v>US Central</x:v>
      </x:c>
      <x:c r="E2" s="5" t="str">
        <x:v>Implementation</x:v>
      </x:c>
      <x:c r="F2" s="5" t="str">
        <x:v>Fixed Price</x:v>
      </x:c>
      <x:c r="G2" s="6" t="n">
        <x:v>45717</x:v>
      </x:c>
      <x:c r="H2" s="6" t="n">
        <x:v>45992</x:v>
      </x:c>
      <x:c r="I2" s="5" t="str">
        <x:v>Completed</x:v>
      </x:c>
      <x:c r="J2" s="7" t="n">
        <x:v>131878.58</x:v>
      </x:c>
      <x:c r="K2" s="7" t="n">
        <x:v>104733.15</x:v>
      </x:c>
      <x:c r="L2" s="7" t="n">
        <x:v>13702.5</x:v>
      </x:c>
      <x:c r="M2" s="7" t="n">
        <x:v>1586.27</x:v>
      </x:c>
      <x:c r="N2" s="7" t="n">
        <x:v>11856.66</x:v>
      </x:c>
      <x:c r="O2" s="8" t="n">
        <x:v>0.0899</x:v>
      </x:c>
      <x:c r="P2" s="7" t="n">
        <x:v>118.2</x:v>
      </x:c>
    </x:row>
    <x:row r="3">
      <x:c r="A3" s="5" t="str">
        <x:v>P0101</x:v>
      </x:c>
      <x:c r="B3" s="5" t="str">
        <x:v>Nova Retail 118</x:v>
      </x:c>
      <x:c r="C3" s="5" t="str">
        <x:v>Enterprise</x:v>
      </x:c>
      <x:c r="D3" s="5" t="str">
        <x:v>US West</x:v>
      </x:c>
      <x:c r="E3" s="5" t="str">
        <x:v>Implementation</x:v>
      </x:c>
      <x:c r="F3" s="5" t="str">
        <x:v>Fixed Price</x:v>
      </x:c>
      <x:c r="G3" s="6" t="n">
        <x:v>45383</x:v>
      </x:c>
      <x:c r="H3" s="6" t="n">
        <x:v>45536</x:v>
      </x:c>
      <x:c r="I3" s="5" t="str">
        <x:v>Completed</x:v>
      </x:c>
      <x:c r="J3" s="7" t="n">
        <x:v>552620.04</x:v>
      </x:c>
      <x:c r="K3" s="7" t="n">
        <x:v>434855.8</x:v>
      </x:c>
      <x:c r="L3" s="7" t="n">
        <x:v>61581.48</x:v>
      </x:c>
      <x:c r="M3" s="7" t="n">
        <x:v>4068.6</x:v>
      </x:c>
      <x:c r="N3" s="7" t="n">
        <x:v>52114.17</x:v>
      </x:c>
      <x:c r="O3" s="8" t="n">
        <x:v>0.0943</x:v>
      </x:c>
      <x:c r="P3" s="7" t="n">
        <x:v>115.09</x:v>
      </x:c>
    </x:row>
    <x:row r="4">
      <x:c r="A4" s="5" t="str">
        <x:v>P0117</x:v>
      </x:c>
      <x:c r="B4" s="5" t="str">
        <x:v>Stonegate Manufacturing 103</x:v>
      </x:c>
      <x:c r="C4" s="5" t="str">
        <x:v>Enterprise</x:v>
      </x:c>
      <x:c r="D4" s="5" t="str">
        <x:v>US Central</x:v>
      </x:c>
      <x:c r="E4" s="5" t="str">
        <x:v>Implementation</x:v>
      </x:c>
      <x:c r="F4" s="5" t="str">
        <x:v>Fixed Price</x:v>
      </x:c>
      <x:c r="G4" s="6" t="n">
        <x:v>45017</x:v>
      </x:c>
      <x:c r="H4" s="6" t="n">
        <x:v>45231</x:v>
      </x:c>
      <x:c r="I4" s="5" t="str">
        <x:v>Completed</x:v>
      </x:c>
      <x:c r="J4" s="7" t="n">
        <x:v>689881.12</x:v>
      </x:c>
      <x:c r="K4" s="7" t="n">
        <x:v>540205.98</x:v>
      </x:c>
      <x:c r="L4" s="7" t="n">
        <x:v>71919.05</x:v>
      </x:c>
      <x:c r="M4" s="7" t="n">
        <x:v>9135.07</x:v>
      </x:c>
      <x:c r="N4" s="7" t="n">
        <x:v>68621.02</x:v>
      </x:c>
      <x:c r="O4" s="8" t="n">
        <x:v>0.0995</x:v>
      </x:c>
      <x:c r="P4" s="7" t="n">
        <x:v>114.3</x:v>
      </x:c>
    </x:row>
    <x:row r="5">
      <x:c r="A5" s="5" t="str">
        <x:v>P0205</x:v>
      </x:c>
      <x:c r="B5" s="5" t="str">
        <x:v>Vantage Retail 211</x:v>
      </x:c>
      <x:c r="C5" s="5" t="str">
        <x:v>Enterprise</x:v>
      </x:c>
      <x:c r="D5" s="5" t="str">
        <x:v>Canada</x:v>
      </x:c>
      <x:c r="E5" s="5" t="str">
        <x:v>Implementation</x:v>
      </x:c>
      <x:c r="F5" s="5" t="str">
        <x:v>Fixed Price</x:v>
      </x:c>
      <x:c r="G5" s="6" t="n">
        <x:v>45474</x:v>
      </x:c>
      <x:c r="H5" s="6" t="n">
        <x:v>45566</x:v>
      </x:c>
      <x:c r="I5" s="5" t="str">
        <x:v>Completed</x:v>
      </x:c>
      <x:c r="J5" s="7" t="n">
        <x:v>825313.94</x:v>
      </x:c>
      <x:c r="K5" s="7" t="n">
        <x:v>647682.14</x:v>
      </x:c>
      <x:c r="L5" s="7" t="n">
        <x:v>68915.37</x:v>
      </x:c>
      <x:c r="M5" s="7" t="n">
        <x:v>8412.48</x:v>
      </x:c>
      <x:c r="N5" s="7" t="n">
        <x:v>100303.94</x:v>
      </x:c>
      <x:c r="O5" s="8" t="n">
        <x:v>0.1215</x:v>
      </x:c>
      <x:c r="P5" s="7" t="n">
        <x:v>115.9</x:v>
      </x:c>
    </x:row>
    <x:row r="6">
      <x:c r="A6" s="5" t="str">
        <x:v>P0119</x:v>
      </x:c>
      <x:c r="B6" s="5" t="str">
        <x:v>Northstar Health 063</x:v>
      </x:c>
      <x:c r="C6" s="5" t="str">
        <x:v>Mid-Market</x:v>
      </x:c>
      <x:c r="D6" s="5" t="str">
        <x:v>US Central</x:v>
      </x:c>
      <x:c r="E6" s="5" t="str">
        <x:v>Optimization</x:v>
      </x:c>
      <x:c r="F6" s="5" t="str">
        <x:v>Time and Materials</x:v>
      </x:c>
      <x:c r="G6" s="6" t="n">
        <x:v>45170</x:v>
      </x:c>
      <x:c r="H6" s="6" t="n">
        <x:v>45200</x:v>
      </x:c>
      <x:c r="I6" s="5" t="str">
        <x:v>Completed</x:v>
      </x:c>
      <x:c r="J6" s="7" t="n">
        <x:v>242188.09</x:v>
      </x:c>
      <x:c r="K6" s="7" t="n">
        <x:v>196105.19</x:v>
      </x:c>
      <x:c r="L6" s="7" t="n">
        <x:v>11684.19</x:v>
      </x:c>
      <x:c r="M6" s="7" t="n">
        <x:v>4238.17</x:v>
      </x:c>
      <x:c r="N6" s="7" t="n">
        <x:v>30160.55</x:v>
      </x:c>
      <x:c r="O6" s="8" t="n">
        <x:v>0.1245</x:v>
      </x:c>
      <x:c r="P6" s="7" t="n">
        <x:v>109.9</x:v>
      </x:c>
    </x:row>
    <x:row r="7">
      <x:c r="A7" s="5" t="str">
        <x:v>P0085</x:v>
      </x:c>
      <x:c r="B7" s="5" t="str">
        <x:v>Keystone Mobility 008</x:v>
      </x:c>
      <x:c r="C7" s="5" t="str">
        <x:v>Mid-Market</x:v>
      </x:c>
      <x:c r="D7" s="5" t="str">
        <x:v>US Central</x:v>
      </x:c>
      <x:c r="E7" s="5" t="str">
        <x:v>Implementation</x:v>
      </x:c>
      <x:c r="F7" s="5" t="str">
        <x:v>Fixed Price</x:v>
      </x:c>
      <x:c r="G7" s="6" t="n">
        <x:v>45047</x:v>
      </x:c>
      <x:c r="H7" s="6" t="n">
        <x:v>45231</x:v>
      </x:c>
      <x:c r="I7" s="5" t="str">
        <x:v>Completed</x:v>
      </x:c>
      <x:c r="J7" s="7" t="n">
        <x:v>262368.92</x:v>
      </x:c>
      <x:c r="K7" s="7" t="n">
        <x:v>203340.01</x:v>
      </x:c>
      <x:c r="L7" s="7" t="n">
        <x:v>18151.75</x:v>
      </x:c>
      <x:c r="M7" s="7" t="n">
        <x:v>4345.86</x:v>
      </x:c>
      <x:c r="N7" s="7" t="n">
        <x:v>36531.28</x:v>
      </x:c>
      <x:c r="O7" s="8" t="n">
        <x:v>0.1392</x:v>
      </x:c>
      <x:c r="P7" s="7" t="n">
        <x:v>115.29</x:v>
      </x:c>
    </x:row>
    <x:row r="8">
      <x:c r="A8" s="5" t="str">
        <x:v>P0083</x:v>
      </x:c>
      <x:c r="B8" s="5" t="str">
        <x:v>BluePeak Education 127</x:v>
      </x:c>
      <x:c r="C8" s="5" t="str">
        <x:v>Mid-Market</x:v>
      </x:c>
      <x:c r="D8" s="5" t="str">
        <x:v>US East</x:v>
      </x:c>
      <x:c r="E8" s="5" t="str">
        <x:v>Implementation</x:v>
      </x:c>
      <x:c r="F8" s="5" t="str">
        <x:v>Fixed Price</x:v>
      </x:c>
      <x:c r="G8" s="6" t="n">
        <x:v>45627</x:v>
      </x:c>
      <x:c r="H8" s="6" t="n">
        <x:v>45839</x:v>
      </x:c>
      <x:c r="I8" s="5" t="str">
        <x:v>Completed</x:v>
      </x:c>
      <x:c r="J8" s="7" t="n">
        <x:v>212844.7</x:v>
      </x:c>
      <x:c r="K8" s="7" t="n">
        <x:v>139787.69</x:v>
      </x:c>
      <x:c r="L8" s="7" t="n">
        <x:v>23895.17</x:v>
      </x:c>
      <x:c r="M8" s="7" t="n">
        <x:v>3111.91</x:v>
      </x:c>
      <x:c r="N8" s="7" t="n">
        <x:v>46049.96</x:v>
      </x:c>
      <x:c r="O8" s="8" t="n">
        <x:v>0.2164</x:v>
      </x:c>
      <x:c r="P8" s="7" t="n">
        <x:v>144.04</x:v>
      </x:c>
    </x:row>
    <x:row r="9">
      <x:c r="A9" s="5" t="str">
        <x:v>P0016</x:v>
      </x:c>
      <x:c r="B9" s="5" t="str">
        <x:v>BrightPath Mobility 134</x:v>
      </x:c>
      <x:c r="C9" s="5" t="str">
        <x:v>SMB</x:v>
      </x:c>
      <x:c r="D9" s="5" t="str">
        <x:v>US Central</x:v>
      </x:c>
      <x:c r="E9" s="5" t="str">
        <x:v>Implementation</x:v>
      </x:c>
      <x:c r="F9" s="5" t="str">
        <x:v>Fixed Price</x:v>
      </x:c>
      <x:c r="G9" s="6" t="n">
        <x:v>44743</x:v>
      </x:c>
      <x:c r="H9" s="6" t="n">
        <x:v>44927</x:v>
      </x:c>
      <x:c r="I9" s="5" t="str">
        <x:v>Completed</x:v>
      </x:c>
      <x:c r="J9" s="7" t="n">
        <x:v>6052.64</x:v>
      </x:c>
      <x:c r="K9" s="7" t="n">
        <x:v>3624.41</x:v>
      </x:c>
      <x:c r="L9" s="7" t="n">
        <x:v>945.56</x:v>
      </x:c>
      <x:c r="M9" s="7" t="n">
        <x:v>130.36</x:v>
      </x:c>
      <x:c r="N9" s="7" t="n">
        <x:v>1352.31</x:v>
      </x:c>
      <x:c r="O9" s="8" t="n">
        <x:v>0.2234</x:v>
      </x:c>
      <x:c r="P9" s="7" t="n">
        <x:v>150.94</x:v>
      </x:c>
    </x:row>
    <x:row r="10">
      <x:c r="A10" s="5" t="str">
        <x:v>P0034</x:v>
      </x:c>
      <x:c r="B10" s="5" t="str">
        <x:v>Highland Foods 117</x:v>
      </x:c>
      <x:c r="C10" s="5" t="str">
        <x:v>Mid-Market</x:v>
      </x:c>
      <x:c r="D10" s="5" t="str">
        <x:v>US West</x:v>
      </x:c>
      <x:c r="E10" s="5" t="str">
        <x:v>Implementation</x:v>
      </x:c>
      <x:c r="F10" s="5" t="str">
        <x:v>Fixed Price</x:v>
      </x:c>
      <x:c r="G10" s="6" t="n">
        <x:v>45748</x:v>
      </x:c>
      <x:c r="H10" s="6" t="n">
        <x:v>45870</x:v>
      </x:c>
      <x:c r="I10" s="5" t="str">
        <x:v>Completed</x:v>
      </x:c>
      <x:c r="J10" s="7" t="n">
        <x:v>367125.67</x:v>
      </x:c>
      <x:c r="K10" s="7" t="n">
        <x:v>225864.24</x:v>
      </x:c>
      <x:c r="L10" s="7" t="n">
        <x:v>44520.99</x:v>
      </x:c>
      <x:c r="M10" s="7" t="n">
        <x:v>3897.66</x:v>
      </x:c>
      <x:c r="N10" s="7" t="n">
        <x:v>92842.8</x:v>
      </x:c>
      <x:c r="O10" s="8" t="n">
        <x:v>0.2529</x:v>
      </x:c>
      <x:c r="P10" s="7" t="n">
        <x:v>152.87</x:v>
      </x:c>
    </x:row>
    <x:row r="11">
      <x:c r="A11" s="5" t="str">
        <x:v>P0049</x:v>
      </x:c>
      <x:c r="B11" s="5" t="str">
        <x:v>Meridian Technology 014</x:v>
      </x:c>
      <x:c r="C11" s="5" t="str">
        <x:v>SMB</x:v>
      </x:c>
      <x:c r="D11" s="5" t="str">
        <x:v>US East</x:v>
      </x:c>
      <x:c r="E11" s="5" t="str">
        <x:v>Implementation</x:v>
      </x:c>
      <x:c r="F11" s="5" t="str">
        <x:v>Time and Materials</x:v>
      </x:c>
      <x:c r="G11" s="6" t="n">
        <x:v>45078</x:v>
      </x:c>
      <x:c r="H11" s="6" t="n">
        <x:v>45200</x:v>
      </x:c>
      <x:c r="I11" s="5" t="str">
        <x:v>Completed</x:v>
      </x:c>
      <x:c r="J11" s="7" t="n">
        <x:v>123668.82</x:v>
      </x:c>
      <x:c r="K11" s="7" t="n">
        <x:v>74935.49</x:v>
      </x:c>
      <x:c r="L11" s="7" t="n">
        <x:v>15322.34</x:v>
      </x:c>
      <x:c r="M11" s="7" t="n">
        <x:v>1867.85</x:v>
      </x:c>
      <x:c r="N11" s="7" t="n">
        <x:v>31543.16</x:v>
      </x:c>
      <x:c r="O11" s="8" t="n">
        <x:v>0.2551</x:v>
      </x:c>
      <x:c r="P11" s="7" t="n">
        <x:v>147.52</x:v>
      </x:c>
    </x:row>
    <x:row r="12">
      <x:c r="A12" s="5" t="str">
        <x:v>P0032</x:v>
      </x:c>
      <x:c r="B12" s="5" t="str">
        <x:v>Keystone Logistics 099</x:v>
      </x:c>
      <x:c r="C12" s="5" t="str">
        <x:v>SMB</x:v>
      </x:c>
      <x:c r="D12" s="5" t="str">
        <x:v>US West</x:v>
      </x:c>
      <x:c r="E12" s="5" t="str">
        <x:v>Implementation</x:v>
      </x:c>
      <x:c r="F12" s="5" t="str">
        <x:v>Time and Materials</x:v>
      </x:c>
      <x:c r="G12" s="6" t="n">
        <x:v>45108</x:v>
      </x:c>
      <x:c r="H12" s="6" t="n">
        <x:v>45323</x:v>
      </x:c>
      <x:c r="I12" s="5" t="str">
        <x:v>Completed</x:v>
      </x:c>
      <x:c r="J12" s="7" t="n">
        <x:v>87981.87</x:v>
      </x:c>
      <x:c r="K12" s="7" t="n">
        <x:v>56627.18</x:v>
      </x:c>
      <x:c r="L12" s="7" t="n">
        <x:v>7630.55</x:v>
      </x:c>
      <x:c r="M12" s="7" t="n">
        <x:v>1068.3</x:v>
      </x:c>
      <x:c r="N12" s="7" t="n">
        <x:v>22655.88</x:v>
      </x:c>
      <x:c r="O12" s="8" t="n">
        <x:v>0.2575</x:v>
      </x:c>
      <x:c r="P12" s="7" t="n">
        <x:v>139.01</x:v>
      </x:c>
    </x:row>
    <x:row r="13">
      <x:c r="A13" s="5" t="str">
        <x:v>P0128</x:v>
      </x:c>
      <x:c r="B13" s="5" t="str">
        <x:v>Silverline Mobility 042</x:v>
      </x:c>
      <x:c r="C13" s="5" t="str">
        <x:v>SMB</x:v>
      </x:c>
      <x:c r="D13" s="5" t="str">
        <x:v>Canada</x:v>
      </x:c>
      <x:c r="E13" s="5" t="str">
        <x:v>Implementation</x:v>
      </x:c>
      <x:c r="F13" s="5" t="str">
        <x:v>Time and Materials</x:v>
      </x:c>
      <x:c r="G13" s="6" t="n">
        <x:v>45017</x:v>
      </x:c>
      <x:c r="H13" s="6" t="n">
        <x:v>45352</x:v>
      </x:c>
      <x:c r="I13" s="5" t="str">
        <x:v>Completed</x:v>
      </x:c>
      <x:c r="J13" s="7" t="n">
        <x:v>205775.96</x:v>
      </x:c>
      <x:c r="K13" s="7" t="n">
        <x:v>122446.54</x:v>
      </x:c>
      <x:c r="L13" s="7" t="n">
        <x:v>19163.01</x:v>
      </x:c>
      <x:c r="M13" s="7" t="n">
        <x:v>2947.1</x:v>
      </x:c>
      <x:c r="N13" s="7" t="n">
        <x:v>61219.34</x:v>
      </x:c>
      <x:c r="O13" s="8" t="n">
        <x:v>0.2975</x:v>
      </x:c>
      <x:c r="P13" s="7" t="n">
        <x:v>150.93</x:v>
      </x:c>
    </x:row>
    <x:row r="14">
      <x:c r="A14" s="5" t="str">
        <x:v>P0006</x:v>
      </x:c>
      <x:c r="B14" s="5" t="str">
        <x:v>Summit Logistics 035</x:v>
      </x:c>
      <x:c r="C14" s="5" t="str">
        <x:v>Enterprise</x:v>
      </x:c>
      <x:c r="D14" s="5" t="str">
        <x:v>US West</x:v>
      </x:c>
      <x:c r="E14" s="5" t="str">
        <x:v>Implementation</x:v>
      </x:c>
      <x:c r="F14" s="5" t="str">
        <x:v>Fixed Price</x:v>
      </x:c>
      <x:c r="G14" s="6" t="n">
        <x:v>44896</x:v>
      </x:c>
      <x:c r="H14" s="6" t="n">
        <x:v>44986</x:v>
      </x:c>
      <x:c r="I14" s="5" t="str">
        <x:v>Completed</x:v>
      </x:c>
      <x:c r="J14" s="7" t="n">
        <x:v>504483.95</x:v>
      </x:c>
      <x:c r="K14" s="7" t="n">
        <x:v>285922.45</x:v>
      </x:c>
      <x:c r="L14" s="7" t="n">
        <x:v>60803.65</x:v>
      </x:c>
      <x:c r="M14" s="7" t="n">
        <x:v>6972.05</x:v>
      </x:c>
      <x:c r="N14" s="7" t="n">
        <x:v>150785.8</x:v>
      </x:c>
      <x:c r="O14" s="8" t="n">
        <x:v>0.2989</x:v>
      </x:c>
      <x:c r="P14" s="7" t="n">
        <x:v>159.44</x:v>
      </x:c>
    </x:row>
    <x:row r="15">
      <x:c r="A15" s="5" t="str">
        <x:v>P0100</x:v>
      </x:c>
      <x:c r="B15" s="5" t="str">
        <x:v>Summit Retail 270</x:v>
      </x:c>
      <x:c r="C15" s="5" t="str">
        <x:v>Enterprise</x:v>
      </x:c>
      <x:c r="D15" s="5" t="str">
        <x:v>US West</x:v>
      </x:c>
      <x:c r="E15" s="5" t="str">
        <x:v>Implementation</x:v>
      </x:c>
      <x:c r="F15" s="5" t="str">
        <x:v>Time and Materials</x:v>
      </x:c>
      <x:c r="G15" s="6" t="n">
        <x:v>45078</x:v>
      </x:c>
      <x:c r="H15" s="6" t="n">
        <x:v>45200</x:v>
      </x:c>
      <x:c r="I15" s="5" t="str">
        <x:v>Completed</x:v>
      </x:c>
      <x:c r="J15" s="7" t="n">
        <x:v>642322.04</x:v>
      </x:c>
      <x:c r="K15" s="7" t="n">
        <x:v>381777.81</x:v>
      </x:c>
      <x:c r="L15" s="7" t="n">
        <x:v>58821.79</x:v>
      </x:c>
      <x:c r="M15" s="7" t="n">
        <x:v>5501.8</x:v>
      </x:c>
      <x:c r="N15" s="7" t="n">
        <x:v>196220.61</x:v>
      </x:c>
      <x:c r="O15" s="8" t="n">
        <x:v>0.3055</x:v>
      </x:c>
      <x:c r="P15" s="7" t="n">
        <x:v>150.45</x:v>
      </x:c>
    </x:row>
    <x:row r="16">
      <x:c r="A16" s="5" t="str">
        <x:v>P0184</x:v>
      </x:c>
      <x:c r="B16" s="5" t="str">
        <x:v>Northstar Education 158</x:v>
      </x:c>
      <x:c r="C16" s="5" t="str">
        <x:v>Mid-Market</x:v>
      </x:c>
      <x:c r="D16" s="5" t="str">
        <x:v>US West</x:v>
      </x:c>
      <x:c r="E16" s="5" t="str">
        <x:v>Implementation</x:v>
      </x:c>
      <x:c r="F16" s="5" t="str">
        <x:v>Fixed Price</x:v>
      </x:c>
      <x:c r="G16" s="6" t="n">
        <x:v>44986</x:v>
      </x:c>
      <x:c r="H16" s="6" t="n">
        <x:v>45323</x:v>
      </x:c>
      <x:c r="I16" s="5" t="str">
        <x:v>Completed</x:v>
      </x:c>
      <x:c r="J16" s="7" t="n">
        <x:v>308114.72</x:v>
      </x:c>
      <x:c r="K16" s="7" t="n">
        <x:v>182224.24</x:v>
      </x:c>
      <x:c r="L16" s="7" t="n">
        <x:v>28101.57</x:v>
      </x:c>
      <x:c r="M16" s="7" t="n">
        <x:v>3476.9</x:v>
      </x:c>
      <x:c r="N16" s="7" t="n">
        <x:v>94311.97</x:v>
      </x:c>
      <x:c r="O16" s="8" t="n">
        <x:v>0.3061</x:v>
      </x:c>
      <x:c r="P16" s="7" t="n">
        <x:v>151.36</x:v>
      </x:c>
    </x:row>
    <x:row r="17">
      <x:c r="A17" s="5" t="str">
        <x:v>P0081</x:v>
      </x:c>
      <x:c r="B17" s="5" t="str">
        <x:v>Clearwater Education 183</x:v>
      </x:c>
      <x:c r="C17" s="5" t="str">
        <x:v>SMB</x:v>
      </x:c>
      <x:c r="D17" s="5" t="str">
        <x:v>US East</x:v>
      </x:c>
      <x:c r="E17" s="5" t="str">
        <x:v>Implementation</x:v>
      </x:c>
      <x:c r="F17" s="5" t="str">
        <x:v>Fixed Price</x:v>
      </x:c>
      <x:c r="G17" s="6" t="n">
        <x:v>45566</x:v>
      </x:c>
      <x:c r="H17" s="6" t="n">
        <x:v>45870</x:v>
      </x:c>
      <x:c r="I17" s="5" t="str">
        <x:v>Completed</x:v>
      </x:c>
      <x:c r="J17" s="7" t="n">
        <x:v>82304.66</x:v>
      </x:c>
      <x:c r="K17" s="7" t="n">
        <x:v>49320.82</x:v>
      </x:c>
      <x:c r="L17" s="7" t="n">
        <x:v>6793.57</x:v>
      </x:c>
      <x:c r="M17" s="7" t="n">
        <x:v>840.53</x:v>
      </x:c>
      <x:c r="N17" s="7" t="n">
        <x:v>25349.79</x:v>
      </x:c>
      <x:c r="O17" s="8" t="n">
        <x:v>0.308</x:v>
      </x:c>
      <x:c r="P17" s="7" t="n">
        <x:v>157.13</x:v>
      </x:c>
    </x:row>
    <x:row r="18">
      <x:c r="A18" s="5" t="str">
        <x:v>P0130</x:v>
      </x:c>
      <x:c r="B18" s="5" t="str">
        <x:v>Harbor Media 291</x:v>
      </x:c>
      <x:c r="C18" s="5" t="str">
        <x:v>Enterprise</x:v>
      </x:c>
      <x:c r="D18" s="5" t="str">
        <x:v>US East</x:v>
      </x:c>
      <x:c r="E18" s="5" t="str">
        <x:v>Implementation</x:v>
      </x:c>
      <x:c r="F18" s="5" t="str">
        <x:v>Fixed Price</x:v>
      </x:c>
      <x:c r="G18" s="6" t="n">
        <x:v>46174</x:v>
      </x:c>
      <x:c r="H18" s="6" t="n">
        <x:v>46327</x:v>
      </x:c>
      <x:c r="I18" s="5" t="str">
        <x:v>In Progress</x:v>
      </x:c>
      <x:c r="J18" s="7" t="n">
        <x:v>62828.89</x:v>
      </x:c>
      <x:c r="K18" s="7" t="n">
        <x:v>39100.94</x:v>
      </x:c>
      <x:c r="L18" s="7" t="n">
        <x:v>3284.74</x:v>
      </x:c>
      <x:c r="M18" s="7" t="n">
        <x:v>1032.63</x:v>
      </x:c>
      <x:c r="N18" s="7" t="n">
        <x:v>19410.58</x:v>
      </x:c>
      <x:c r="O18" s="8" t="n">
        <x:v>0.3089</x:v>
      </x:c>
      <x:c r="P18" s="7" t="n">
        <x:v>154.71</x:v>
      </x:c>
    </x:row>
    <x:row r="19">
      <x:c r="A19" s="5" t="str">
        <x:v>P0036</x:v>
      </x:c>
      <x:c r="B19" s="5" t="str">
        <x:v>Oakridge Logistics 192</x:v>
      </x:c>
      <x:c r="C19" s="5" t="str">
        <x:v>SMB</x:v>
      </x:c>
      <x:c r="D19" s="5" t="str">
        <x:v>US Central</x:v>
      </x:c>
      <x:c r="E19" s="5" t="str">
        <x:v>Implementation</x:v>
      </x:c>
      <x:c r="F19" s="5" t="str">
        <x:v>Time and Materials</x:v>
      </x:c>
      <x:c r="G19" s="6" t="n">
        <x:v>45047</x:v>
      </x:c>
      <x:c r="H19" s="6" t="n">
        <x:v>45261</x:v>
      </x:c>
      <x:c r="I19" s="5" t="str">
        <x:v>Completed</x:v>
      </x:c>
      <x:c r="J19" s="7" t="n">
        <x:v>189254.18</x:v>
      </x:c>
      <x:c r="K19" s="7" t="n">
        <x:v>110906.34</x:v>
      </x:c>
      <x:c r="L19" s="7" t="n">
        <x:v>18067.48</x:v>
      </x:c>
      <x:c r="M19" s="7" t="n">
        <x:v>1732.92</x:v>
      </x:c>
      <x:c r="N19" s="7" t="n">
        <x:v>58547.41</x:v>
      </x:c>
      <x:c r="O19" s="8" t="n">
        <x:v>0.3094</x:v>
      </x:c>
      <x:c r="P19" s="7" t="n">
        <x:v>152.48</x:v>
      </x:c>
    </x:row>
    <x:row r="20">
      <x:c r="A20" s="5" t="str">
        <x:v>P0097</x:v>
      </x:c>
      <x:c r="B20" s="5" t="str">
        <x:v>Lakeview Education 004</x:v>
      </x:c>
      <x:c r="C20" s="5" t="str">
        <x:v>Enterprise</x:v>
      </x:c>
      <x:c r="D20" s="5" t="str">
        <x:v>US East</x:v>
      </x:c>
      <x:c r="E20" s="5" t="str">
        <x:v>Implementation</x:v>
      </x:c>
      <x:c r="F20" s="5" t="str">
        <x:v>Time and Materials</x:v>
      </x:c>
      <x:c r="G20" s="6" t="n">
        <x:v>45078</x:v>
      </x:c>
      <x:c r="H20" s="6" t="n">
        <x:v>45323</x:v>
      </x:c>
      <x:c r="I20" s="5" t="str">
        <x:v>Completed</x:v>
      </x:c>
      <x:c r="J20" s="7" t="n">
        <x:v>832167.21</x:v>
      </x:c>
      <x:c r="K20" s="7" t="n">
        <x:v>490877.08</x:v>
      </x:c>
      <x:c r="L20" s="7" t="n">
        <x:v>69392.14</x:v>
      </x:c>
      <x:c r="M20" s="7" t="n">
        <x:v>9632.25</x:v>
      </x:c>
      <x:c r="N20" s="7" t="n">
        <x:v>262265.74</x:v>
      </x:c>
      <x:c r="O20" s="8" t="n">
        <x:v>0.3152</x:v>
      </x:c>
      <x:c r="P20" s="7" t="n">
        <x:v>151.82</x:v>
      </x:c>
    </x:row>
    <x:row r="21">
      <x:c r="A21" s="5" t="str">
        <x:v>P0048</x:v>
      </x:c>
      <x:c r="B21" s="5" t="str">
        <x:v>Stonegate Foods 073</x:v>
      </x:c>
      <x:c r="C21" s="5" t="str">
        <x:v>Enterprise</x:v>
      </x:c>
      <x:c r="D21" s="5" t="str">
        <x:v>US West</x:v>
      </x:c>
      <x:c r="E21" s="5" t="str">
        <x:v>Implementation</x:v>
      </x:c>
      <x:c r="F21" s="5" t="str">
        <x:v>Time and Materials</x:v>
      </x:c>
      <x:c r="G21" s="6" t="n">
        <x:v>45689</x:v>
      </x:c>
      <x:c r="H21" s="6" t="n">
        <x:v>45870</x:v>
      </x:c>
      <x:c r="I21" s="5" t="str">
        <x:v>Completed</x:v>
      </x:c>
      <x:c r="J21" s="7" t="n">
        <x:v>1003143.88</x:v>
      </x:c>
      <x:c r="K21" s="7" t="n">
        <x:v>584263.28</x:v>
      </x:c>
      <x:c r="L21" s="7" t="n">
        <x:v>88416.41</x:v>
      </x:c>
      <x:c r="M21" s="7" t="n">
        <x:v>11828.89</x:v>
      </x:c>
      <x:c r="N21" s="7" t="n">
        <x:v>318635.31</x:v>
      </x:c>
      <x:c r="O21" s="8" t="n">
        <x:v>0.3176</x:v>
      </x:c>
      <x:c r="P21" s="7" t="n">
        <x:v>161.98</x:v>
      </x:c>
    </x:row>
    <x:row r="22">
      <x:c r="A22" s="5" t="str">
        <x:v>P0035</x:v>
      </x:c>
      <x:c r="B22" s="5" t="str">
        <x:v>Atlas Foods 149</x:v>
      </x:c>
      <x:c r="C22" s="5" t="str">
        <x:v>Enterprise</x:v>
      </x:c>
      <x:c r="D22" s="5" t="str">
        <x:v>US West</x:v>
      </x:c>
      <x:c r="E22" s="5" t="str">
        <x:v>Implementation</x:v>
      </x:c>
      <x:c r="F22" s="5" t="str">
        <x:v>Fixed Price</x:v>
      </x:c>
      <x:c r="G22" s="6" t="n">
        <x:v>45931</x:v>
      </x:c>
      <x:c r="H22" s="6" t="n">
        <x:v>46143</x:v>
      </x:c>
      <x:c r="I22" s="5" t="str">
        <x:v>Completed</x:v>
      </x:c>
      <x:c r="J22" s="7" t="n">
        <x:v>947735.71</x:v>
      </x:c>
      <x:c r="K22" s="7" t="n">
        <x:v>527674.06</x:v>
      </x:c>
      <x:c r="L22" s="7" t="n">
        <x:v>105027.23</x:v>
      </x:c>
      <x:c r="M22" s="7" t="n">
        <x:v>13414.98</x:v>
      </x:c>
      <x:c r="N22" s="7" t="n">
        <x:v>301619.45</x:v>
      </x:c>
      <x:c r="O22" s="8" t="n">
        <x:v>0.3183</x:v>
      </x:c>
      <x:c r="P22" s="7" t="n">
        <x:v>171.27</x:v>
      </x:c>
    </x:row>
    <x:row r="23">
      <x:c r="A23" s="5" t="str">
        <x:v>P0082</x:v>
      </x:c>
      <x:c r="B23" s="5" t="str">
        <x:v>Ironwood Mobility 244</x:v>
      </x:c>
      <x:c r="C23" s="5" t="str">
        <x:v>SMB</x:v>
      </x:c>
      <x:c r="D23" s="5" t="str">
        <x:v>US East</x:v>
      </x:c>
      <x:c r="E23" s="5" t="str">
        <x:v>Implementation</x:v>
      </x:c>
      <x:c r="F23" s="5" t="str">
        <x:v>Time and Materials</x:v>
      </x:c>
      <x:c r="G23" s="6" t="n">
        <x:v>45017</x:v>
      </x:c>
      <x:c r="H23" s="6" t="n">
        <x:v>45200</x:v>
      </x:c>
      <x:c r="I23" s="5" t="str">
        <x:v>Completed</x:v>
      </x:c>
      <x:c r="J23" s="7" t="n">
        <x:v>174655.36</x:v>
      </x:c>
      <x:c r="K23" s="7" t="n">
        <x:v>99428.25</x:v>
      </x:c>
      <x:c r="L23" s="7" t="n">
        <x:v>17279.73</x:v>
      </x:c>
      <x:c r="M23" s="7" t="n">
        <x:v>1529.41</x:v>
      </x:c>
      <x:c r="N23" s="7" t="n">
        <x:v>56417.98</x:v>
      </x:c>
      <x:c r="O23" s="8" t="n">
        <x:v>0.323</x:v>
      </x:c>
      <x:c r="P23" s="7" t="n">
        <x:v>157.45</x:v>
      </x:c>
    </x:row>
    <x:row r="24">
      <x:c r="A24" s="5" t="str">
        <x:v>P0068</x:v>
      </x:c>
      <x:c r="B24" s="5" t="str">
        <x:v>Frontier Retail 265</x:v>
      </x:c>
      <x:c r="C24" s="5" t="str">
        <x:v>Enterprise</x:v>
      </x:c>
      <x:c r="D24" s="5" t="str">
        <x:v>US East</x:v>
      </x:c>
      <x:c r="E24" s="5" t="str">
        <x:v>Implementation</x:v>
      </x:c>
      <x:c r="F24" s="5" t="str">
        <x:v>Time and Materials</x:v>
      </x:c>
      <x:c r="G24" s="6" t="n">
        <x:v>44927</x:v>
      </x:c>
      <x:c r="H24" s="6" t="n">
        <x:v>45047</x:v>
      </x:c>
      <x:c r="I24" s="5" t="str">
        <x:v>Completed</x:v>
      </x:c>
      <x:c r="J24" s="7" t="n">
        <x:v>628292.57</x:v>
      </x:c>
      <x:c r="K24" s="7" t="n">
        <x:v>358878.05</x:v>
      </x:c>
      <x:c r="L24" s="7" t="n">
        <x:v>57010.02</x:v>
      </x:c>
      <x:c r="M24" s="7" t="n">
        <x:v>6680.49</x:v>
      </x:c>
      <x:c r="N24" s="7" t="n">
        <x:v>205724.01</x:v>
      </x:c>
      <x:c r="O24" s="8" t="n">
        <x:v>0.3274</x:v>
      </x:c>
      <x:c r="P24" s="7" t="n">
        <x:v>158.2</x:v>
      </x:c>
    </x:row>
    <x:row r="25">
      <x:c r="A25" s="5" t="str">
        <x:v>P0146</x:v>
      </x:c>
      <x:c r="B25" s="5" t="str">
        <x:v>Atlas Media 193</x:v>
      </x:c>
      <x:c r="C25" s="5" t="str">
        <x:v>Mid-Market</x:v>
      </x:c>
      <x:c r="D25" s="5" t="str">
        <x:v>US East</x:v>
      </x:c>
      <x:c r="E25" s="5" t="str">
        <x:v>Implementation</x:v>
      </x:c>
      <x:c r="F25" s="5" t="str">
        <x:v>Time and Materials</x:v>
      </x:c>
      <x:c r="G25" s="6" t="n">
        <x:v>45444</x:v>
      </x:c>
      <x:c r="H25" s="6" t="n">
        <x:v>45536</x:v>
      </x:c>
      <x:c r="I25" s="5" t="str">
        <x:v>Completed</x:v>
      </x:c>
      <x:c r="J25" s="7" t="n">
        <x:v>407065.15</x:v>
      </x:c>
      <x:c r="K25" s="7" t="n">
        <x:v>229072.5</x:v>
      </x:c>
      <x:c r="L25" s="7" t="n">
        <x:v>39433.74</x:v>
      </x:c>
      <x:c r="M25" s="7" t="n">
        <x:v>4750.98</x:v>
      </x:c>
      <x:c r="N25" s="7" t="n">
        <x:v>133807.94</x:v>
      </x:c>
      <x:c r="O25" s="8" t="n">
        <x:v>0.3287</x:v>
      </x:c>
      <x:c r="P25" s="7" t="n">
        <x:v>161.18</x:v>
      </x:c>
    </x:row>
    <x:row r="26">
      <x:c r="A26" s="5" t="str">
        <x:v>P0175</x:v>
      </x:c>
      <x:c r="B26" s="5" t="str">
        <x:v>Pioneer Health 128</x:v>
      </x:c>
      <x:c r="C26" s="5" t="str">
        <x:v>SMB</x:v>
      </x:c>
      <x:c r="D26" s="5" t="str">
        <x:v>US Central</x:v>
      </x:c>
      <x:c r="E26" s="5" t="str">
        <x:v>Implementation</x:v>
      </x:c>
      <x:c r="F26" s="5" t="str">
        <x:v>Fixed Price</x:v>
      </x:c>
      <x:c r="G26" s="6" t="n">
        <x:v>45689</x:v>
      </x:c>
      <x:c r="H26" s="6" t="n">
        <x:v>45809</x:v>
      </x:c>
      <x:c r="I26" s="5" t="str">
        <x:v>Completed</x:v>
      </x:c>
      <x:c r="J26" s="7" t="n">
        <x:v>159328.31</x:v>
      </x:c>
      <x:c r="K26" s="7" t="n">
        <x:v>88462.01</x:v>
      </x:c>
      <x:c r="L26" s="7" t="n">
        <x:v>16734.36</x:v>
      </x:c>
      <x:c r="M26" s="7" t="n">
        <x:v>1319.76</x:v>
      </x:c>
      <x:c r="N26" s="7" t="n">
        <x:v>52812.2</x:v>
      </x:c>
      <x:c r="O26" s="8" t="n">
        <x:v>0.3315</x:v>
      </x:c>
      <x:c r="P26" s="7" t="n">
        <x:v>170.42</x:v>
      </x:c>
    </x:row>
    <x:row r="27">
      <x:c r="A27" s="5" t="str">
        <x:v>P0208</x:v>
      </x:c>
      <x:c r="B27" s="5" t="str">
        <x:v>Nova Retail 118</x:v>
      </x:c>
      <x:c r="C27" s="5" t="str">
        <x:v>Enterprise</x:v>
      </x:c>
      <x:c r="D27" s="5" t="str">
        <x:v>US West</x:v>
      </x:c>
      <x:c r="E27" s="5" t="str">
        <x:v>Implementation</x:v>
      </x:c>
      <x:c r="F27" s="5" t="str">
        <x:v>Fixed Price</x:v>
      </x:c>
      <x:c r="G27" s="6" t="n">
        <x:v>44986</x:v>
      </x:c>
      <x:c r="H27" s="6" t="n">
        <x:v>45139</x:v>
      </x:c>
      <x:c r="I27" s="5" t="str">
        <x:v>Completed</x:v>
      </x:c>
      <x:c r="J27" s="7" t="n">
        <x:v>788480.42</x:v>
      </x:c>
      <x:c r="K27" s="7" t="n">
        <x:v>432497.82</x:v>
      </x:c>
      <x:c r="L27" s="7" t="n">
        <x:v>83383.85</x:v>
      </x:c>
      <x:c r="M27" s="7" t="n">
        <x:v>10193.46</x:v>
      </x:c>
      <x:c r="N27" s="7" t="n">
        <x:v>262405.28</x:v>
      </x:c>
      <x:c r="O27" s="8" t="n">
        <x:v>0.3328</x:v>
      </x:c>
      <x:c r="P27" s="7" t="n">
        <x:v>164.38</x:v>
      </x:c>
    </x:row>
    <x:row r="28">
      <x:c r="A28" s="5" t="str">
        <x:v>P0059</x:v>
      </x:c>
      <x:c r="B28" s="5" t="str">
        <x:v>Vantage Technology 293</x:v>
      </x:c>
      <x:c r="C28" s="5" t="str">
        <x:v>Enterprise</x:v>
      </x:c>
      <x:c r="D28" s="5" t="str">
        <x:v>US Central</x:v>
      </x:c>
      <x:c r="E28" s="5" t="str">
        <x:v>Implementation</x:v>
      </x:c>
      <x:c r="F28" s="5" t="str">
        <x:v>Time and Materials</x:v>
      </x:c>
      <x:c r="G28" s="6" t="n">
        <x:v>44986</x:v>
      </x:c>
      <x:c r="H28" s="6" t="n">
        <x:v>45200</x:v>
      </x:c>
      <x:c r="I28" s="5" t="str">
        <x:v>Completed</x:v>
      </x:c>
      <x:c r="J28" s="7" t="n">
        <x:v>470893.35</x:v>
      </x:c>
      <x:c r="K28" s="7" t="n">
        <x:v>262967.48</x:v>
      </x:c>
      <x:c r="L28" s="7" t="n">
        <x:v>43924.48</x:v>
      </x:c>
      <x:c r="M28" s="7" t="n">
        <x:v>6470.67</x:v>
      </x:c>
      <x:c r="N28" s="7" t="n">
        <x:v>157530.73</x:v>
      </x:c>
      <x:c r="O28" s="8" t="n">
        <x:v>0.3345</x:v>
      </x:c>
      <x:c r="P28" s="7" t="n">
        <x:v>160.7</x:v>
      </x:c>
    </x:row>
    <x:row r="29">
      <x:c r="A29" s="5" t="str">
        <x:v>P0008</x:v>
      </x:c>
      <x:c r="B29" s="5" t="str">
        <x:v>Evergreen Media 123</x:v>
      </x:c>
      <x:c r="C29" s="5" t="str">
        <x:v>Mid-Market</x:v>
      </x:c>
      <x:c r="D29" s="5" t="str">
        <x:v>US West</x:v>
      </x:c>
      <x:c r="E29" s="5" t="str">
        <x:v>Implementation</x:v>
      </x:c>
      <x:c r="F29" s="5" t="str">
        <x:v>Time and Materials</x:v>
      </x:c>
      <x:c r="G29" s="6" t="n">
        <x:v>44866</x:v>
      </x:c>
      <x:c r="H29" s="6" t="n">
        <x:v>45200</x:v>
      </x:c>
      <x:c r="I29" s="5" t="str">
        <x:v>Completed</x:v>
      </x:c>
      <x:c r="J29" s="7" t="n">
        <x:v>412602.09</x:v>
      </x:c>
      <x:c r="K29" s="7" t="n">
        <x:v>232634.34</x:v>
      </x:c>
      <x:c r="L29" s="7" t="n">
        <x:v>36645.43</x:v>
      </x:c>
      <x:c r="M29" s="7" t="n">
        <x:v>4251.57</x:v>
      </x:c>
      <x:c r="N29" s="7" t="n">
        <x:v>139070.74</x:v>
      </x:c>
      <x:c r="O29" s="8" t="n">
        <x:v>0.3371</x:v>
      </x:c>
      <x:c r="P29" s="7" t="n">
        <x:v>159.36</x:v>
      </x:c>
    </x:row>
    <x:row r="30">
      <x:c r="A30" s="5" t="str">
        <x:v>P0136</x:v>
      </x:c>
      <x:c r="B30" s="5" t="str">
        <x:v>Nova Retail 118</x:v>
      </x:c>
      <x:c r="C30" s="5" t="str">
        <x:v>Enterprise</x:v>
      </x:c>
      <x:c r="D30" s="5" t="str">
        <x:v>US West</x:v>
      </x:c>
      <x:c r="E30" s="5" t="str">
        <x:v>Implementation</x:v>
      </x:c>
      <x:c r="F30" s="5" t="str">
        <x:v>Fixed Price</x:v>
      </x:c>
      <x:c r="G30" s="6" t="n">
        <x:v>45170</x:v>
      </x:c>
      <x:c r="H30" s="6" t="n">
        <x:v>45474</x:v>
      </x:c>
      <x:c r="I30" s="5" t="str">
        <x:v>Completed</x:v>
      </x:c>
      <x:c r="J30" s="7" t="n">
        <x:v>680972.68</x:v>
      </x:c>
      <x:c r="K30" s="7" t="n">
        <x:v>382930.83</x:v>
      </x:c>
      <x:c r="L30" s="7" t="n">
        <x:v>59845.23</x:v>
      </x:c>
      <x:c r="M30" s="7" t="n">
        <x:v>7956.31</x:v>
      </x:c>
      <x:c r="N30" s="7" t="n">
        <x:v>230240.28</x:v>
      </x:c>
      <x:c r="O30" s="8" t="n">
        <x:v>0.3381</x:v>
      </x:c>
      <x:c r="P30" s="7" t="n">
        <x:v>160.55</x:v>
      </x:c>
    </x:row>
    <x:row r="31">
      <x:c r="A31" s="5" t="str">
        <x:v>P0018</x:v>
      </x:c>
      <x:c r="B31" s="5" t="str">
        <x:v>Northstar Technology 188</x:v>
      </x:c>
      <x:c r="C31" s="5" t="str">
        <x:v>Mid-Market</x:v>
      </x:c>
      <x:c r="D31" s="5" t="str">
        <x:v>US West</x:v>
      </x:c>
      <x:c r="E31" s="5" t="str">
        <x:v>Implementation</x:v>
      </x:c>
      <x:c r="F31" s="5" t="str">
        <x:v>Time and Materials</x:v>
      </x:c>
      <x:c r="G31" s="6" t="n">
        <x:v>44713</x:v>
      </x:c>
      <x:c r="H31" s="6" t="n">
        <x:v>44958</x:v>
      </x:c>
      <x:c r="I31" s="5" t="str">
        <x:v>Completed</x:v>
      </x:c>
      <x:c r="J31" s="7" t="n">
        <x:v>97226.73</x:v>
      </x:c>
      <x:c r="K31" s="7" t="n">
        <x:v>52608.25</x:v>
      </x:c>
      <x:c r="L31" s="7" t="n">
        <x:v>9887.72</x:v>
      </x:c>
      <x:c r="M31" s="7" t="n">
        <x:v>1645.55</x:v>
      </x:c>
      <x:c r="N31" s="7" t="n">
        <x:v>33085.21</x:v>
      </x:c>
      <x:c r="O31" s="8" t="n">
        <x:v>0.3403</x:v>
      </x:c>
      <x:c r="P31" s="7" t="n">
        <x:v>166.86</x:v>
      </x:c>
    </x:row>
    <x:row r="32">
      <x:c r="A32" s="5" t="str">
        <x:v>P0095</x:v>
      </x:c>
      <x:c r="B32" s="5" t="str">
        <x:v>Keystone Logistics 099</x:v>
      </x:c>
      <x:c r="C32" s="5" t="str">
        <x:v>SMB</x:v>
      </x:c>
      <x:c r="D32" s="5" t="str">
        <x:v>US West</x:v>
      </x:c>
      <x:c r="E32" s="5" t="str">
        <x:v>Implementation</x:v>
      </x:c>
      <x:c r="F32" s="5" t="str">
        <x:v>Time and Materials</x:v>
      </x:c>
      <x:c r="G32" s="6" t="n">
        <x:v>45717</x:v>
      </x:c>
      <x:c r="H32" s="6" t="n">
        <x:v>45901</x:v>
      </x:c>
      <x:c r="I32" s="5" t="str">
        <x:v>Completed</x:v>
      </x:c>
      <x:c r="J32" s="7" t="n">
        <x:v>192447.83</x:v>
      </x:c>
      <x:c r="K32" s="7" t="n">
        <x:v>104780.56</x:v>
      </x:c>
      <x:c r="L32" s="7" t="n">
        <x:v>19007.12</x:v>
      </x:c>
      <x:c r="M32" s="7" t="n">
        <x:v>3002.42</x:v>
      </x:c>
      <x:c r="N32" s="7" t="n">
        <x:v>65657.75</x:v>
      </x:c>
      <x:c r="O32" s="8" t="n">
        <x:v>0.3412</x:v>
      </x:c>
      <x:c r="P32" s="7" t="n">
        <x:v>172.65</x:v>
      </x:c>
    </x:row>
    <x:row r="33">
      <x:c r="A33" s="5" t="str">
        <x:v>P0135</x:v>
      </x:c>
      <x:c r="B33" s="5" t="str">
        <x:v>Cedar Manufacturing 166</x:v>
      </x:c>
      <x:c r="C33" s="5" t="str">
        <x:v>SMB</x:v>
      </x:c>
      <x:c r="D33" s="5" t="str">
        <x:v>US Central</x:v>
      </x:c>
      <x:c r="E33" s="5" t="str">
        <x:v>Implementation</x:v>
      </x:c>
      <x:c r="F33" s="5" t="str">
        <x:v>Time and Materials</x:v>
      </x:c>
      <x:c r="G33" s="6" t="n">
        <x:v>45413</x:v>
      </x:c>
      <x:c r="H33" s="6" t="n">
        <x:v>45566</x:v>
      </x:c>
      <x:c r="I33" s="5" t="str">
        <x:v>Completed</x:v>
      </x:c>
      <x:c r="J33" s="7" t="n">
        <x:v>120815.05</x:v>
      </x:c>
      <x:c r="K33" s="7" t="n">
        <x:v>64131.08</x:v>
      </x:c>
      <x:c r="L33" s="7" t="n">
        <x:v>13742.6</x:v>
      </x:c>
      <x:c r="M33" s="7" t="n">
        <x:v>1534.09</x:v>
      </x:c>
      <x:c r="N33" s="7" t="n">
        <x:v>41407.26</x:v>
      </x:c>
      <x:c r="O33" s="8" t="n">
        <x:v>0.3427</x:v>
      </x:c>
      <x:c r="P33" s="7" t="n">
        <x:v>170.93</x:v>
      </x:c>
    </x:row>
    <x:row r="34">
      <x:c r="A34" s="5" t="str">
        <x:v>P0041</x:v>
      </x:c>
      <x:c r="B34" s="5" t="str">
        <x:v>BluePeak Logistics 210</x:v>
      </x:c>
      <x:c r="C34" s="5" t="str">
        <x:v>SMB</x:v>
      </x:c>
      <x:c r="D34" s="5" t="str">
        <x:v>US West</x:v>
      </x:c>
      <x:c r="E34" s="5" t="str">
        <x:v>Implementation</x:v>
      </x:c>
      <x:c r="F34" s="5" t="str">
        <x:v>Fixed Price</x:v>
      </x:c>
      <x:c r="G34" s="6" t="n">
        <x:v>45383</x:v>
      </x:c>
      <x:c r="H34" s="6" t="n">
        <x:v>45597</x:v>
      </x:c>
      <x:c r="I34" s="5" t="str">
        <x:v>Completed</x:v>
      </x:c>
      <x:c r="J34" s="7" t="n">
        <x:v>140563.38</x:v>
      </x:c>
      <x:c r="K34" s="7" t="n">
        <x:v>77697.58</x:v>
      </x:c>
      <x:c r="L34" s="7" t="n">
        <x:v>12898.23</x:v>
      </x:c>
      <x:c r="M34" s="7" t="n">
        <x:v>1613.92</x:v>
      </x:c>
      <x:c r="N34" s="7" t="n">
        <x:v>48353.64</x:v>
      </x:c>
      <x:c r="O34" s="8" t="n">
        <x:v>0.344</x:v>
      </x:c>
      <x:c r="P34" s="7" t="n">
        <x:v>164.15</x:v>
      </x:c>
    </x:row>
    <x:row r="35">
      <x:c r="A35" s="5" t="str">
        <x:v>P0150</x:v>
      </x:c>
      <x:c r="B35" s="5" t="str">
        <x:v>Westbridge Insurance 097</x:v>
      </x:c>
      <x:c r="C35" s="5" t="str">
        <x:v>Mid-Market</x:v>
      </x:c>
      <x:c r="D35" s="5" t="str">
        <x:v>US East</x:v>
      </x:c>
      <x:c r="E35" s="5" t="str">
        <x:v>Implementation</x:v>
      </x:c>
      <x:c r="F35" s="5" t="str">
        <x:v>Fixed Price</x:v>
      </x:c>
      <x:c r="G35" s="6" t="n">
        <x:v>44927</x:v>
      </x:c>
      <x:c r="H35" s="6" t="n">
        <x:v>45108</x:v>
      </x:c>
      <x:c r="I35" s="5" t="str">
        <x:v>Completed</x:v>
      </x:c>
      <x:c r="J35" s="7" t="n">
        <x:v>439522.24</x:v>
      </x:c>
      <x:c r="K35" s="7" t="n">
        <x:v>244362.66</x:v>
      </x:c>
      <x:c r="L35" s="7" t="n">
        <x:v>38111.5</x:v>
      </x:c>
      <x:c r="M35" s="7" t="n">
        <x:v>5094.58</x:v>
      </x:c>
      <x:c r="N35" s="7" t="n">
        <x:v>151953.53</x:v>
      </x:c>
      <x:c r="O35" s="8" t="n">
        <x:v>0.3457</x:v>
      </x:c>
      <x:c r="P35" s="7" t="n">
        <x:v>162.52</x:v>
      </x:c>
    </x:row>
    <x:row r="36">
      <x:c r="A36" s="5" t="str">
        <x:v>P0024</x:v>
      </x:c>
      <x:c r="B36" s="5" t="str">
        <x:v>Crescent Mobility 083</x:v>
      </x:c>
      <x:c r="C36" s="5" t="str">
        <x:v>SMB</x:v>
      </x:c>
      <x:c r="D36" s="5" t="str">
        <x:v>US East</x:v>
      </x:c>
      <x:c r="E36" s="5" t="str">
        <x:v>Implementation</x:v>
      </x:c>
      <x:c r="F36" s="5" t="str">
        <x:v>Fixed Price</x:v>
      </x:c>
      <x:c r="G36" s="6" t="n">
        <x:v>44805</x:v>
      </x:c>
      <x:c r="H36" s="6" t="n">
        <x:v>45047</x:v>
      </x:c>
      <x:c r="I36" s="5" t="str">
        <x:v>Completed</x:v>
      </x:c>
      <x:c r="J36" s="7" t="n">
        <x:v>46218.4</x:v>
      </x:c>
      <x:c r="K36" s="7" t="n">
        <x:v>26140.77</x:v>
      </x:c>
      <x:c r="L36" s="7" t="n">
        <x:v>3502.92</x:v>
      </x:c>
      <x:c r="M36" s="7" t="n">
        <x:v>532.46</x:v>
      </x:c>
      <x:c r="N36" s="7" t="n">
        <x:v>16042.25</x:v>
      </x:c>
      <x:c r="O36" s="8" t="n">
        <x:v>0.3471</x:v>
      </x:c>
      <x:c r="P36" s="7" t="n">
        <x:v>159.76</x:v>
      </x:c>
    </x:row>
    <x:row r="37">
      <x:c r="A37" s="5" t="str">
        <x:v>P0017</x:v>
      </x:c>
      <x:c r="B37" s="5" t="str">
        <x:v>Keystone Retail 007</x:v>
      </x:c>
      <x:c r="C37" s="5" t="str">
        <x:v>Mid-Market</x:v>
      </x:c>
      <x:c r="D37" s="5" t="str">
        <x:v>US West</x:v>
      </x:c>
      <x:c r="E37" s="5" t="str">
        <x:v>Implementation</x:v>
      </x:c>
      <x:c r="F37" s="5" t="str">
        <x:v>Fixed Price</x:v>
      </x:c>
      <x:c r="G37" s="6" t="n">
        <x:v>44805</x:v>
      </x:c>
      <x:c r="H37" s="6" t="n">
        <x:v>45108</x:v>
      </x:c>
      <x:c r="I37" s="5" t="str">
        <x:v>Completed</x:v>
      </x:c>
      <x:c r="J37" s="7" t="n">
        <x:v>215337.98</x:v>
      </x:c>
      <x:c r="K37" s="7" t="n">
        <x:v>117396.04</x:v>
      </x:c>
      <x:c r="L37" s="7" t="n">
        <x:v>20407.72</x:v>
      </x:c>
      <x:c r="M37" s="7" t="n">
        <x:v>2657.41</x:v>
      </x:c>
      <x:c r="N37" s="7" t="n">
        <x:v>74876.81</x:v>
      </x:c>
      <x:c r="O37" s="8" t="n">
        <x:v>0.3477</x:v>
      </x:c>
      <x:c r="P37" s="7" t="n">
        <x:v>165.75</x:v>
      </x:c>
    </x:row>
    <x:row r="38">
      <x:c r="A38" s="5" t="str">
        <x:v>P0089</x:v>
      </x:c>
      <x:c r="B38" s="5" t="str">
        <x:v>Stonegate Manufacturing 103</x:v>
      </x:c>
      <x:c r="C38" s="5" t="str">
        <x:v>Enterprise</x:v>
      </x:c>
      <x:c r="D38" s="5" t="str">
        <x:v>US Central</x:v>
      </x:c>
      <x:c r="E38" s="5" t="str">
        <x:v>Implementation</x:v>
      </x:c>
      <x:c r="F38" s="5" t="str">
        <x:v>Fixed Price</x:v>
      </x:c>
      <x:c r="G38" s="6" t="n">
        <x:v>45231</x:v>
      </x:c>
      <x:c r="H38" s="6" t="n">
        <x:v>45413</x:v>
      </x:c>
      <x:c r="I38" s="5" t="str">
        <x:v>Completed</x:v>
      </x:c>
      <x:c r="J38" s="7" t="n">
        <x:v>1016441.57</x:v>
      </x:c>
      <x:c r="K38" s="7" t="n">
        <x:v>545997.73</x:v>
      </x:c>
      <x:c r="L38" s="7" t="n">
        <x:v>96753.36</x:v>
      </x:c>
      <x:c r="M38" s="7" t="n">
        <x:v>17326.96</x:v>
      </x:c>
      <x:c r="N38" s="7" t="n">
        <x:v>356363.53</x:v>
      </x:c>
      <x:c r="O38" s="8" t="n">
        <x:v>0.3506</x:v>
      </x:c>
      <x:c r="P38" s="7" t="n">
        <x:v>168.57</x:v>
      </x:c>
    </x:row>
    <x:row r="39">
      <x:c r="A39" s="5" t="str">
        <x:v>P0144</x:v>
      </x:c>
      <x:c r="B39" s="5" t="str">
        <x:v>BluePeak Retail 084</x:v>
      </x:c>
      <x:c r="C39" s="5" t="str">
        <x:v>SMB</x:v>
      </x:c>
      <x:c r="D39" s="5" t="str">
        <x:v>US Central</x:v>
      </x:c>
      <x:c r="E39" s="5" t="str">
        <x:v>Implementation</x:v>
      </x:c>
      <x:c r="F39" s="5" t="str">
        <x:v>Time and Materials</x:v>
      </x:c>
      <x:c r="G39" s="6" t="n">
        <x:v>45809</x:v>
      </x:c>
      <x:c r="H39" s="6" t="n">
        <x:v>46054</x:v>
      </x:c>
      <x:c r="I39" s="5" t="str">
        <x:v>Completed</x:v>
      </x:c>
      <x:c r="J39" s="7" t="n">
        <x:v>189374.64</x:v>
      </x:c>
      <x:c r="K39" s="7" t="n">
        <x:v>101775.11</x:v>
      </x:c>
      <x:c r="L39" s="7" t="n">
        <x:v>18680.75</x:v>
      </x:c>
      <x:c r="M39" s="7" t="n">
        <x:v>2242.06</x:v>
      </x:c>
      <x:c r="N39" s="7" t="n">
        <x:v>66676.72</x:v>
      </x:c>
      <x:c r="O39" s="8" t="n">
        <x:v>0.3521</x:v>
      </x:c>
      <x:c r="P39" s="7" t="n">
        <x:v>175.15</x:v>
      </x:c>
    </x:row>
    <x:row r="40">
      <x:c r="A40" s="5" t="str">
        <x:v>P0004</x:v>
      </x:c>
      <x:c r="B40" s="5" t="str">
        <x:v>Evergreen Media 225</x:v>
      </x:c>
      <x:c r="C40" s="5" t="str">
        <x:v>Enterprise</x:v>
      </x:c>
      <x:c r="D40" s="5" t="str">
        <x:v>US Central</x:v>
      </x:c>
      <x:c r="E40" s="5" t="str">
        <x:v>Implementation</x:v>
      </x:c>
      <x:c r="F40" s="5" t="str">
        <x:v>Time and Materials</x:v>
      </x:c>
      <x:c r="G40" s="6" t="n">
        <x:v>44896</x:v>
      </x:c>
      <x:c r="H40" s="6" t="n">
        <x:v>45139</x:v>
      </x:c>
      <x:c r="I40" s="5" t="str">
        <x:v>Completed</x:v>
      </x:c>
      <x:c r="J40" s="7" t="n">
        <x:v>272380.24</x:v>
      </x:c>
      <x:c r="K40" s="7" t="n">
        <x:v>152744.13</x:v>
      </x:c>
      <x:c r="L40" s="7" t="n">
        <x:v>19254.2</x:v>
      </x:c>
      <x:c r="M40" s="7" t="n">
        <x:v>3802.39</x:v>
      </x:c>
      <x:c r="N40" s="7" t="n">
        <x:v>96579.54</x:v>
      </x:c>
      <x:c r="O40" s="8" t="n">
        <x:v>0.3546</x:v>
      </x:c>
      <x:c r="P40" s="7" t="n">
        <x:v>160.67</x:v>
      </x:c>
    </x:row>
    <x:row r="41">
      <x:c r="A41" s="5" t="str">
        <x:v>P0005</x:v>
      </x:c>
      <x:c r="B41" s="5" t="str">
        <x:v>Highland Media 298</x:v>
      </x:c>
      <x:c r="C41" s="5" t="str">
        <x:v>Mid-Market</x:v>
      </x:c>
      <x:c r="D41" s="5" t="str">
        <x:v>Canada</x:v>
      </x:c>
      <x:c r="E41" s="5" t="str">
        <x:v>Implementation</x:v>
      </x:c>
      <x:c r="F41" s="5" t="str">
        <x:v>Fixed Price</x:v>
      </x:c>
      <x:c r="G41" s="6" t="n">
        <x:v>44835</x:v>
      </x:c>
      <x:c r="H41" s="6" t="n">
        <x:v>45139</x:v>
      </x:c>
      <x:c r="I41" s="5" t="str">
        <x:v>Completed</x:v>
      </x:c>
      <x:c r="J41" s="7" t="n">
        <x:v>354281.85</x:v>
      </x:c>
      <x:c r="K41" s="7" t="n">
        <x:v>192395.31</x:v>
      </x:c>
      <x:c r="L41" s="7" t="n">
        <x:v>31509.87</x:v>
      </x:c>
      <x:c r="M41" s="7" t="n">
        <x:v>3565.01</x:v>
      </x:c>
      <x:c r="N41" s="7" t="n">
        <x:v>126811.64</x:v>
      </x:c>
      <x:c r="O41" s="8" t="n">
        <x:v>0.3579</x:v>
      </x:c>
      <x:c r="P41" s="7" t="n">
        <x:v>166.2</x:v>
      </x:c>
    </x:row>
    <x:row r="42">
      <x:c r="A42" s="5" t="str">
        <x:v>P0214</x:v>
      </x:c>
      <x:c r="B42" s="5" t="str">
        <x:v>Meridian Retail 229</x:v>
      </x:c>
      <x:c r="C42" s="5" t="str">
        <x:v>Enterprise</x:v>
      </x:c>
      <x:c r="D42" s="5" t="str">
        <x:v>US East</x:v>
      </x:c>
      <x:c r="E42" s="5" t="str">
        <x:v>Implementation</x:v>
      </x:c>
      <x:c r="F42" s="5" t="str">
        <x:v>Time and Materials</x:v>
      </x:c>
      <x:c r="G42" s="6" t="n">
        <x:v>46174</x:v>
      </x:c>
      <x:c r="H42" s="6" t="n">
        <x:v>46266</x:v>
      </x:c>
      <x:c r="I42" s="5" t="str">
        <x:v>In Progress</x:v>
      </x:c>
      <x:c r="J42" s="7" t="n">
        <x:v>194621.16</x:v>
      </x:c>
      <x:c r="K42" s="7" t="n">
        <x:v>107809.74</x:v>
      </x:c>
      <x:c r="L42" s="7" t="n">
        <x:v>15391.87</x:v>
      </x:c>
      <x:c r="M42" s="7" t="n">
        <x:v>1303.22</x:v>
      </x:c>
      <x:c r="N42" s="7" t="n">
        <x:v>70116.33</x:v>
      </x:c>
      <x:c r="O42" s="8" t="n">
        <x:v>0.3603</x:v>
      </x:c>
      <x:c r="P42" s="7" t="n">
        <x:v>173.82</x:v>
      </x:c>
    </x:row>
    <x:row r="43">
      <x:c r="A43" s="5" t="str">
        <x:v>P0102</x:v>
      </x:c>
      <x:c r="B43" s="5" t="str">
        <x:v>Frontier Technology 296</x:v>
      </x:c>
      <x:c r="C43" s="5" t="str">
        <x:v>Mid-Market</x:v>
      </x:c>
      <x:c r="D43" s="5" t="str">
        <x:v>US Central</x:v>
      </x:c>
      <x:c r="E43" s="5" t="str">
        <x:v>Implementation</x:v>
      </x:c>
      <x:c r="F43" s="5" t="str">
        <x:v>Fixed Price</x:v>
      </x:c>
      <x:c r="G43" s="6" t="n">
        <x:v>46054</x:v>
      </x:c>
      <x:c r="H43" s="6" t="n">
        <x:v>46357</x:v>
      </x:c>
      <x:c r="I43" s="5" t="str">
        <x:v>In Progress</x:v>
      </x:c>
      <x:c r="J43" s="7" t="n">
        <x:v>215197.5</x:v>
      </x:c>
      <x:c r="K43" s="7" t="n">
        <x:v>118859.47</x:v>
      </x:c>
      <x:c r="L43" s="7" t="n">
        <x:v>16058.23</x:v>
      </x:c>
      <x:c r="M43" s="7" t="n">
        <x:v>2591.2</x:v>
      </x:c>
      <x:c r="N43" s="7" t="n">
        <x:v>77688.6</x:v>
      </x:c>
      <x:c r="O43" s="8" t="n">
        <x:v>0.361</x:v>
      </x:c>
      <x:c r="P43" s="7" t="n">
        <x:v>174.19</x:v>
      </x:c>
    </x:row>
    <x:row r="44">
      <x:c r="A44" s="5" t="str">
        <x:v>P0099</x:v>
      </x:c>
      <x:c r="B44" s="5" t="str">
        <x:v>Lakeview Education 004</x:v>
      </x:c>
      <x:c r="C44" s="5" t="str">
        <x:v>Enterprise</x:v>
      </x:c>
      <x:c r="D44" s="5" t="str">
        <x:v>US East</x:v>
      </x:c>
      <x:c r="E44" s="5" t="str">
        <x:v>Implementation</x:v>
      </x:c>
      <x:c r="F44" s="5" t="str">
        <x:v>Time and Materials</x:v>
      </x:c>
      <x:c r="G44" s="6" t="n">
        <x:v>45597</x:v>
      </x:c>
      <x:c r="H44" s="6" t="n">
        <x:v>45717</x:v>
      </x:c>
      <x:c r="I44" s="5" t="str">
        <x:v>Completed</x:v>
      </x:c>
      <x:c r="J44" s="7" t="n">
        <x:v>822062.72</x:v>
      </x:c>
      <x:c r="K44" s="7" t="n">
        <x:v>435192.39</x:v>
      </x:c>
      <x:c r="L44" s="7" t="n">
        <x:v>75796.17</x:v>
      </x:c>
      <x:c r="M44" s="7" t="n">
        <x:v>13691.09</x:v>
      </x:c>
      <x:c r="N44" s="7" t="n">
        <x:v>297383.05</x:v>
      </x:c>
      <x:c r="O44" s="8" t="n">
        <x:v>0.3618</x:v>
      </x:c>
      <x:c r="P44" s="7" t="n">
        <x:v>177.59</x:v>
      </x:c>
    </x:row>
    <x:row r="45">
      <x:c r="A45" s="5" t="str">
        <x:v>P0066</x:v>
      </x:c>
      <x:c r="B45" s="5" t="str">
        <x:v>Highland Manufacturing 106</x:v>
      </x:c>
      <x:c r="C45" s="5" t="str">
        <x:v>Enterprise</x:v>
      </x:c>
      <x:c r="D45" s="5" t="str">
        <x:v>US East</x:v>
      </x:c>
      <x:c r="E45" s="5" t="str">
        <x:v>Implementation</x:v>
      </x:c>
      <x:c r="F45" s="5" t="str">
        <x:v>Fixed Price</x:v>
      </x:c>
      <x:c r="G45" s="6" t="n">
        <x:v>45292</x:v>
      </x:c>
      <x:c r="H45" s="6" t="n">
        <x:v>45597</x:v>
      </x:c>
      <x:c r="I45" s="5" t="str">
        <x:v>Completed</x:v>
      </x:c>
      <x:c r="J45" s="7" t="n">
        <x:v>1044512.85</x:v>
      </x:c>
      <x:c r="K45" s="7" t="n">
        <x:v>557287.88</x:v>
      </x:c>
      <x:c r="L45" s="7" t="n">
        <x:v>91143.09</x:v>
      </x:c>
      <x:c r="M45" s="7" t="n">
        <x:v>16249.59</x:v>
      </x:c>
      <x:c r="N45" s="7" t="n">
        <x:v>379832.28</x:v>
      </x:c>
      <x:c r="O45" s="8" t="n">
        <x:v>0.3636</x:v>
      </x:c>
      <x:c r="P45" s="7" t="n">
        <x:v>170.18</x:v>
      </x:c>
    </x:row>
    <x:row r="46">
      <x:c r="A46" s="5" t="str">
        <x:v>P0154</x:v>
      </x:c>
      <x:c r="B46" s="5" t="str">
        <x:v>Silverline Health 275</x:v>
      </x:c>
      <x:c r="C46" s="5" t="str">
        <x:v>Mid-Market</x:v>
      </x:c>
      <x:c r="D46" s="5" t="str">
        <x:v>US East</x:v>
      </x:c>
      <x:c r="E46" s="5" t="str">
        <x:v>Implementation</x:v>
      </x:c>
      <x:c r="F46" s="5" t="str">
        <x:v>Time and Materials</x:v>
      </x:c>
      <x:c r="G46" s="6" t="n">
        <x:v>45352</x:v>
      </x:c>
      <x:c r="H46" s="6" t="n">
        <x:v>45627</x:v>
      </x:c>
      <x:c r="I46" s="5" t="str">
        <x:v>Completed</x:v>
      </x:c>
      <x:c r="J46" s="7" t="n">
        <x:v>347707.13</x:v>
      </x:c>
      <x:c r="K46" s="7" t="n">
        <x:v>187983.4</x:v>
      </x:c>
      <x:c r="L46" s="7" t="n">
        <x:v>27505.91</x:v>
      </x:c>
      <x:c r="M46" s="7" t="n">
        <x:v>4643.33</x:v>
      </x:c>
      <x:c r="N46" s="7" t="n">
        <x:v>127574.49</x:v>
      </x:c>
      <x:c r="O46" s="8" t="n">
        <x:v>0.3669</x:v>
      </x:c>
      <x:c r="P46" s="7" t="n">
        <x:v>168.38</x:v>
      </x:c>
    </x:row>
    <x:row r="47">
      <x:c r="A47" s="5" t="str">
        <x:v>P0091</x:v>
      </x:c>
      <x:c r="B47" s="5" t="str">
        <x:v>BrightPath Financial 074</x:v>
      </x:c>
      <x:c r="C47" s="5" t="str">
        <x:v>Mid-Market</x:v>
      </x:c>
      <x:c r="D47" s="5" t="str">
        <x:v>Canada</x:v>
      </x:c>
      <x:c r="E47" s="5" t="str">
        <x:v>Optimization</x:v>
      </x:c>
      <x:c r="F47" s="5" t="str">
        <x:v>Time and Materials</x:v>
      </x:c>
      <x:c r="G47" s="6" t="n">
        <x:v>45017</x:v>
      </x:c>
      <x:c r="H47" s="6" t="n">
        <x:v>45170</x:v>
      </x:c>
      <x:c r="I47" s="5" t="str">
        <x:v>Completed</x:v>
      </x:c>
      <x:c r="J47" s="7" t="n">
        <x:v>203960.42</x:v>
      </x:c>
      <x:c r="K47" s="7" t="n">
        <x:v>112391.87</x:v>
      </x:c>
      <x:c r="L47" s="7" t="n">
        <x:v>13765.03</x:v>
      </x:c>
      <x:c r="M47" s="7" t="n">
        <x:v>2393.53</x:v>
      </x:c>
      <x:c r="N47" s="7" t="n">
        <x:v>75409.98</x:v>
      </x:c>
      <x:c r="O47" s="8" t="n">
        <x:v>0.3697</x:v>
      </x:c>
      <x:c r="P47" s="7" t="n">
        <x:v>162.74</x:v>
      </x:c>
    </x:row>
    <x:row r="48">
      <x:c r="A48" s="5" t="str">
        <x:v>P0171</x:v>
      </x:c>
      <x:c r="B48" s="5" t="str">
        <x:v>Northstar Technology 028</x:v>
      </x:c>
      <x:c r="C48" s="5" t="str">
        <x:v>Enterprise</x:v>
      </x:c>
      <x:c r="D48" s="5" t="str">
        <x:v>US East</x:v>
      </x:c>
      <x:c r="E48" s="5" t="str">
        <x:v>Implementation</x:v>
      </x:c>
      <x:c r="F48" s="5" t="str">
        <x:v>Fixed Price</x:v>
      </x:c>
      <x:c r="G48" s="6" t="n">
        <x:v>45717</x:v>
      </x:c>
      <x:c r="H48" s="6" t="n">
        <x:v>45992</x:v>
      </x:c>
      <x:c r="I48" s="5" t="str">
        <x:v>Completed</x:v>
      </x:c>
      <x:c r="J48" s="7" t="n">
        <x:v>1211668.32</x:v>
      </x:c>
      <x:c r="K48" s="7" t="n">
        <x:v>647229.06</x:v>
      </x:c>
      <x:c r="L48" s="7" t="n">
        <x:v>105156.84</x:v>
      </x:c>
      <x:c r="M48" s="7" t="n">
        <x:v>10479.7</x:v>
      </x:c>
      <x:c r="N48" s="7" t="n">
        <x:v>448802.72</x:v>
      </x:c>
      <x:c r="O48" s="8" t="n">
        <x:v>0.3704</x:v>
      </x:c>
      <x:c r="P48" s="7" t="n">
        <x:v>175.71</x:v>
      </x:c>
    </x:row>
    <x:row r="49">
      <x:c r="A49" s="5" t="str">
        <x:v>P0009</x:v>
      </x:c>
      <x:c r="B49" s="5" t="str">
        <x:v>Stonegate Manufacturing 103</x:v>
      </x:c>
      <x:c r="C49" s="5" t="str">
        <x:v>Enterprise</x:v>
      </x:c>
      <x:c r="D49" s="5" t="str">
        <x:v>US Central</x:v>
      </x:c>
      <x:c r="E49" s="5" t="str">
        <x:v>Implementation</x:v>
      </x:c>
      <x:c r="F49" s="5" t="str">
        <x:v>Time and Materials</x:v>
      </x:c>
      <x:c r="G49" s="6" t="n">
        <x:v>44713</x:v>
      </x:c>
      <x:c r="H49" s="6" t="n">
        <x:v>45017</x:v>
      </x:c>
      <x:c r="I49" s="5" t="str">
        <x:v>Completed</x:v>
      </x:c>
      <x:c r="J49" s="7" t="n">
        <x:v>308303.14</x:v>
      </x:c>
      <x:c r="K49" s="7" t="n">
        <x:v>160552.54</x:v>
      </x:c>
      <x:c r="L49" s="7" t="n">
        <x:v>30349.54</x:v>
      </x:c>
      <x:c r="M49" s="7" t="n">
        <x:v>3015.17</x:v>
      </x:c>
      <x:c r="N49" s="7" t="n">
        <x:v>114385.9</x:v>
      </x:c>
      <x:c r="O49" s="8" t="n">
        <x:v>0.371</x:v>
      </x:c>
      <x:c r="P49" s="7" t="n">
        <x:v>173.46</x:v>
      </x:c>
    </x:row>
    <x:row r="50">
      <x:c r="A50" s="5" t="str">
        <x:v>P0110</x:v>
      </x:c>
      <x:c r="B50" s="5" t="str">
        <x:v>Keystone Retail 007</x:v>
      </x:c>
      <x:c r="C50" s="5" t="str">
        <x:v>Mid-Market</x:v>
      </x:c>
      <x:c r="D50" s="5" t="str">
        <x:v>US West</x:v>
      </x:c>
      <x:c r="E50" s="5" t="str">
        <x:v>Implementation</x:v>
      </x:c>
      <x:c r="F50" s="5" t="str">
        <x:v>Fixed Price</x:v>
      </x:c>
      <x:c r="G50" s="6" t="n">
        <x:v>45170</x:v>
      </x:c>
      <x:c r="H50" s="6" t="n">
        <x:v>45383</x:v>
      </x:c>
      <x:c r="I50" s="5" t="str">
        <x:v>Completed</x:v>
      </x:c>
      <x:c r="J50" s="7" t="n">
        <x:v>453331.99</x:v>
      </x:c>
      <x:c r="K50" s="7" t="n">
        <x:v>230959.59</x:v>
      </x:c>
      <x:c r="L50" s="7" t="n">
        <x:v>45454.71</x:v>
      </x:c>
      <x:c r="M50" s="7" t="n">
        <x:v>5787.01</x:v>
      </x:c>
      <x:c r="N50" s="7" t="n">
        <x:v>171130.67</x:v>
      </x:c>
      <x:c r="O50" s="8" t="n">
        <x:v>0.3775</x:v>
      </x:c>
      <x:c r="P50" s="7" t="n">
        <x:v>176.5</x:v>
      </x:c>
    </x:row>
    <x:row r="51">
      <x:c r="A51" s="5" t="str">
        <x:v>P0152</x:v>
      </x:c>
      <x:c r="B51" s="5" t="str">
        <x:v>Harbor Energy 214</x:v>
      </x:c>
      <x:c r="C51" s="5" t="str">
        <x:v>Mid-Market</x:v>
      </x:c>
      <x:c r="D51" s="5" t="str">
        <x:v>US West</x:v>
      </x:c>
      <x:c r="E51" s="5" t="str">
        <x:v>Implementation</x:v>
      </x:c>
      <x:c r="F51" s="5" t="str">
        <x:v>Fixed Price</x:v>
      </x:c>
      <x:c r="G51" s="6" t="n">
        <x:v>46143</x:v>
      </x:c>
      <x:c r="H51" s="6" t="n">
        <x:v>46388</x:v>
      </x:c>
      <x:c r="I51" s="5" t="str">
        <x:v>In Progress</x:v>
      </x:c>
      <x:c r="J51" s="7" t="n">
        <x:v>51324.25</x:v>
      </x:c>
      <x:c r="K51" s="7" t="n">
        <x:v>27716.27</x:v>
      </x:c>
      <x:c r="L51" s="7" t="n">
        <x:v>3758.42</x:v>
      </x:c>
      <x:c r="M51" s="7" t="n">
        <x:v>340.57</x:v>
      </x:c>
      <x:c r="N51" s="7" t="n">
        <x:v>19508.98</x:v>
      </x:c>
      <x:c r="O51" s="8" t="n">
        <x:v>0.3801</x:v>
      </x:c>
      <x:c r="P51" s="7" t="n">
        <x:v>177.78</x:v>
      </x:c>
    </x:row>
    <x:row r="52">
      <x:c r="A52" s="5" t="str">
        <x:v>P0064</x:v>
      </x:c>
      <x:c r="B52" s="5" t="str">
        <x:v>Crescent Logistics 120</x:v>
      </x:c>
      <x:c r="C52" s="5" t="str">
        <x:v>Enterprise</x:v>
      </x:c>
      <x:c r="D52" s="5" t="str">
        <x:v>Canada</x:v>
      </x:c>
      <x:c r="E52" s="5" t="str">
        <x:v>Implementation</x:v>
      </x:c>
      <x:c r="F52" s="5" t="str">
        <x:v>Time and Materials</x:v>
      </x:c>
      <x:c r="G52" s="6" t="n">
        <x:v>45261</x:v>
      </x:c>
      <x:c r="H52" s="6" t="n">
        <x:v>45444</x:v>
      </x:c>
      <x:c r="I52" s="5" t="str">
        <x:v>Completed</x:v>
      </x:c>
      <x:c r="J52" s="7" t="n">
        <x:v>1519144.52</x:v>
      </x:c>
      <x:c r="K52" s="7" t="n">
        <x:v>770464.2</x:v>
      </x:c>
      <x:c r="L52" s="7" t="n">
        <x:v>139524.49</x:v>
      </x:c>
      <x:c r="M52" s="7" t="n">
        <x:v>27686.71</x:v>
      </x:c>
      <x:c r="N52" s="7" t="n">
        <x:v>581469.1</x:v>
      </x:c>
      <x:c r="O52" s="8" t="n">
        <x:v>0.3828</x:v>
      </x:c>
      <x:c r="P52" s="7" t="n">
        <x:v>178.62</x:v>
      </x:c>
    </x:row>
    <x:row r="53">
      <x:c r="A53" s="5" t="str">
        <x:v>P0149</x:v>
      </x:c>
      <x:c r="B53" s="5" t="str">
        <x:v>Lakeview Health 179</x:v>
      </x:c>
      <x:c r="C53" s="5" t="str">
        <x:v>Enterprise</x:v>
      </x:c>
      <x:c r="D53" s="5" t="str">
        <x:v>Canada</x:v>
      </x:c>
      <x:c r="E53" s="5" t="str">
        <x:v>Implementation</x:v>
      </x:c>
      <x:c r="F53" s="5" t="str">
        <x:v>Time and Materials</x:v>
      </x:c>
      <x:c r="G53" s="6" t="n">
        <x:v>46143</x:v>
      </x:c>
      <x:c r="H53" s="6" t="n">
        <x:v>46388</x:v>
      </x:c>
      <x:c r="I53" s="5" t="str">
        <x:v>In Progress</x:v>
      </x:c>
      <x:c r="J53" s="7" t="n">
        <x:v>248463.75</x:v>
      </x:c>
      <x:c r="K53" s="7" t="n">
        <x:v>125433.46</x:v>
      </x:c>
      <x:c r="L53" s="7" t="n">
        <x:v>26375.93</x:v>
      </x:c>
      <x:c r="M53" s="7" t="n">
        <x:v>942.48</x:v>
      </x:c>
      <x:c r="N53" s="7" t="n">
        <x:v>95711.87</x:v>
      </x:c>
      <x:c r="O53" s="8" t="n">
        <x:v>0.3852</x:v>
      </x:c>
      <x:c r="P53" s="7" t="n">
        <x:v>189.93</x:v>
      </x:c>
    </x:row>
    <x:row r="54">
      <x:c r="A54" s="5" t="str">
        <x:v>P0069</x:v>
      </x:c>
      <x:c r="B54" s="5" t="str">
        <x:v>Oakridge Media 185</x:v>
      </x:c>
      <x:c r="C54" s="5" t="str">
        <x:v>SMB</x:v>
      </x:c>
      <x:c r="D54" s="5" t="str">
        <x:v>US West</x:v>
      </x:c>
      <x:c r="E54" s="5" t="str">
        <x:v>Implementation</x:v>
      </x:c>
      <x:c r="F54" s="5" t="str">
        <x:v>Fixed Price</x:v>
      </x:c>
      <x:c r="G54" s="6" t="n">
        <x:v>45292</x:v>
      </x:c>
      <x:c r="H54" s="6" t="n">
        <x:v>45566</x:v>
      </x:c>
      <x:c r="I54" s="5" t="str">
        <x:v>Completed</x:v>
      </x:c>
      <x:c r="J54" s="7" t="n">
        <x:v>225032.16</x:v>
      </x:c>
      <x:c r="K54" s="7" t="n">
        <x:v>111011.72</x:v>
      </x:c>
      <x:c r="L54" s="7" t="n">
        <x:v>23533.81</x:v>
      </x:c>
      <x:c r="M54" s="7" t="n">
        <x:v>2987.84</x:v>
      </x:c>
      <x:c r="N54" s="7" t="n">
        <x:v>87498.82</x:v>
      </x:c>
      <x:c r="O54" s="8" t="n">
        <x:v>0.3888</x:v>
      </x:c>
      <x:c r="P54" s="7" t="n">
        <x:v>184</x:v>
      </x:c>
    </x:row>
    <x:row r="55">
      <x:c r="A55" s="5" t="str">
        <x:v>P0180</x:v>
      </x:c>
      <x:c r="B55" s="5" t="str">
        <x:v>Vantage Retail 211</x:v>
      </x:c>
      <x:c r="C55" s="5" t="str">
        <x:v>Enterprise</x:v>
      </x:c>
      <x:c r="D55" s="5" t="str">
        <x:v>Canada</x:v>
      </x:c>
      <x:c r="E55" s="5" t="str">
        <x:v>Implementation</x:v>
      </x:c>
      <x:c r="F55" s="5" t="str">
        <x:v>Time and Materials</x:v>
      </x:c>
      <x:c r="G55" s="6" t="n">
        <x:v>46143</x:v>
      </x:c>
      <x:c r="H55" s="6" t="n">
        <x:v>46388</x:v>
      </x:c>
      <x:c r="I55" s="5" t="str">
        <x:v>In Progress</x:v>
      </x:c>
      <x:c r="J55" s="7" t="n">
        <x:v>198671.97</x:v>
      </x:c>
      <x:c r="K55" s="7" t="n">
        <x:v>99947.64</x:v>
      </x:c>
      <x:c r="L55" s="7" t="n">
        <x:v>19157.01</x:v>
      </x:c>
      <x:c r="M55" s="7" t="n">
        <x:v>2303.77</x:v>
      </x:c>
      <x:c r="N55" s="7" t="n">
        <x:v>77263.55</x:v>
      </x:c>
      <x:c r="O55" s="8" t="n">
        <x:v>0.3889</x:v>
      </x:c>
      <x:c r="P55" s="7" t="n">
        <x:v>190.57</x:v>
      </x:c>
    </x:row>
    <x:row r="56">
      <x:c r="A56" s="5" t="str">
        <x:v>P0012</x:v>
      </x:c>
      <x:c r="B56" s="5" t="str">
        <x:v>Meridian Logistics 153</x:v>
      </x:c>
      <x:c r="C56" s="5" t="str">
        <x:v>SMB</x:v>
      </x:c>
      <x:c r="D56" s="5" t="str">
        <x:v>US East</x:v>
      </x:c>
      <x:c r="E56" s="5" t="str">
        <x:v>Implementation</x:v>
      </x:c>
      <x:c r="F56" s="5" t="str">
        <x:v>Fixed Price</x:v>
      </x:c>
      <x:c r="G56" s="6" t="n">
        <x:v>44805</x:v>
      </x:c>
      <x:c r="H56" s="6" t="n">
        <x:v>44958</x:v>
      </x:c>
      <x:c r="I56" s="5" t="str">
        <x:v>Completed</x:v>
      </x:c>
      <x:c r="J56" s="7" t="n">
        <x:v>33812.88</x:v>
      </x:c>
      <x:c r="K56" s="7" t="n">
        <x:v>16723.76</x:v>
      </x:c>
      <x:c r="L56" s="7" t="n">
        <x:v>3401.51</x:v>
      </x:c>
      <x:c r="M56" s="7" t="n">
        <x:v>491.9</x:v>
      </x:c>
      <x:c r="N56" s="7" t="n">
        <x:v>13195.7</x:v>
      </x:c>
      <x:c r="O56" s="8" t="n">
        <x:v>0.3903</x:v>
      </x:c>
      <x:c r="P56" s="7" t="n">
        <x:v>182.57</x:v>
      </x:c>
    </x:row>
    <x:row r="57">
      <x:c r="A57" s="5" t="str">
        <x:v>P0045</x:v>
      </x:c>
      <x:c r="B57" s="5" t="str">
        <x:v>Stonegate Health 171</x:v>
      </x:c>
      <x:c r="C57" s="5" t="str">
        <x:v>Mid-Market</x:v>
      </x:c>
      <x:c r="D57" s="5" t="str">
        <x:v>US East</x:v>
      </x:c>
      <x:c r="E57" s="5" t="str">
        <x:v>Implementation</x:v>
      </x:c>
      <x:c r="F57" s="5" t="str">
        <x:v>Time and Materials</x:v>
      </x:c>
      <x:c r="G57" s="6" t="n">
        <x:v>46143</x:v>
      </x:c>
      <x:c r="H57" s="6" t="n">
        <x:v>46357</x:v>
      </x:c>
      <x:c r="I57" s="5" t="str">
        <x:v>In Progress</x:v>
      </x:c>
      <x:c r="J57" s="7" t="n">
        <x:v>138917.57</x:v>
      </x:c>
      <x:c r="K57" s="7" t="n">
        <x:v>69830.71</x:v>
      </x:c>
      <x:c r="L57" s="7" t="n">
        <x:v>13534.91</x:v>
      </x:c>
      <x:c r="M57" s="7" t="n">
        <x:v>1319.18</x:v>
      </x:c>
      <x:c r="N57" s="7" t="n">
        <x:v>54232.75</x:v>
      </x:c>
      <x:c r="O57" s="8" t="n">
        <x:v>0.3904</x:v>
      </x:c>
      <x:c r="P57" s="7" t="n">
        <x:v>190.77</x:v>
      </x:c>
    </x:row>
    <x:row r="58">
      <x:c r="A58" s="5" t="str">
        <x:v>P0092</x:v>
      </x:c>
      <x:c r="B58" s="5" t="str">
        <x:v>Northstar Energy 026</x:v>
      </x:c>
      <x:c r="C58" s="5" t="str">
        <x:v>SMB</x:v>
      </x:c>
      <x:c r="D58" s="5" t="str">
        <x:v>US East</x:v>
      </x:c>
      <x:c r="E58" s="5" t="str">
        <x:v>Optimization</x:v>
      </x:c>
      <x:c r="F58" s="5" t="str">
        <x:v>Time and Materials</x:v>
      </x:c>
      <x:c r="G58" s="6" t="n">
        <x:v>45778</x:v>
      </x:c>
      <x:c r="H58" s="6" t="n">
        <x:v>45839</x:v>
      </x:c>
      <x:c r="I58" s="5" t="str">
        <x:v>Completed</x:v>
      </x:c>
      <x:c r="J58" s="7" t="n">
        <x:v>111383.87</x:v>
      </x:c>
      <x:c r="K58" s="7" t="n">
        <x:v>60194.35</x:v>
      </x:c>
      <x:c r="L58" s="7" t="n">
        <x:v>6542.83</x:v>
      </x:c>
      <x:c r="M58" s="7" t="n">
        <x:v>1112.9</x:v>
      </x:c>
      <x:c r="N58" s="7" t="n">
        <x:v>43533.78</x:v>
      </x:c>
      <x:c r="O58" s="8" t="n">
        <x:v>0.3908</x:v>
      </x:c>
      <x:c r="P58" s="7" t="n">
        <x:v>174.09</x:v>
      </x:c>
    </x:row>
    <x:row r="59">
      <x:c r="A59" s="5" t="str">
        <x:v>P0010</x:v>
      </x:c>
      <x:c r="B59" s="5" t="str">
        <x:v>Keystone Energy 249</x:v>
      </x:c>
      <x:c r="C59" s="5" t="str">
        <x:v>Enterprise</x:v>
      </x:c>
      <x:c r="D59" s="5" t="str">
        <x:v>US Central</x:v>
      </x:c>
      <x:c r="E59" s="5" t="str">
        <x:v>Implementation</x:v>
      </x:c>
      <x:c r="F59" s="5" t="str">
        <x:v>Time and Materials</x:v>
      </x:c>
      <x:c r="G59" s="6" t="n">
        <x:v>44866</x:v>
      </x:c>
      <x:c r="H59" s="6" t="n">
        <x:v>45017</x:v>
      </x:c>
      <x:c r="I59" s="5" t="str">
        <x:v>Completed</x:v>
      </x:c>
      <x:c r="J59" s="7" t="n">
        <x:v>527276.17</x:v>
      </x:c>
      <x:c r="K59" s="7" t="n">
        <x:v>270803.39</x:v>
      </x:c>
      <x:c r="L59" s="7" t="n">
        <x:v>45238.42</x:v>
      </x:c>
      <x:c r="M59" s="7" t="n">
        <x:v>4548.23</x:v>
      </x:c>
      <x:c r="N59" s="7" t="n">
        <x:v>206686.15</x:v>
      </x:c>
      <x:c r="O59" s="8" t="n">
        <x:v>0.392</x:v>
      </x:c>
      <x:c r="P59" s="7" t="n">
        <x:v>175.89</x:v>
      </x:c>
    </x:row>
    <x:row r="60">
      <x:c r="A60" s="5" t="str">
        <x:v>P0106</x:v>
      </x:c>
      <x:c r="B60" s="5" t="str">
        <x:v>BluePeak Energy 087</x:v>
      </x:c>
      <x:c r="C60" s="5" t="str">
        <x:v>Mid-Market</x:v>
      </x:c>
      <x:c r="D60" s="5" t="str">
        <x:v>US Central</x:v>
      </x:c>
      <x:c r="E60" s="5" t="str">
        <x:v>Implementation</x:v>
      </x:c>
      <x:c r="F60" s="5" t="str">
        <x:v>Fixed Price</x:v>
      </x:c>
      <x:c r="G60" s="6" t="n">
        <x:v>45352</x:v>
      </x:c>
      <x:c r="H60" s="6" t="n">
        <x:v>45505</x:v>
      </x:c>
      <x:c r="I60" s="5" t="str">
        <x:v>Completed</x:v>
      </x:c>
      <x:c r="J60" s="7" t="n">
        <x:v>458251.88</x:v>
      </x:c>
      <x:c r="K60" s="7" t="n">
        <x:v>240641.25</x:v>
      </x:c>
      <x:c r="L60" s="7" t="n">
        <x:v>32826.93</x:v>
      </x:c>
      <x:c r="M60" s="7" t="n">
        <x:v>4961.98</x:v>
      </x:c>
      <x:c r="N60" s="7" t="n">
        <x:v>179821.72</x:v>
      </x:c>
      <x:c r="O60" s="8" t="n">
        <x:v>0.3924</x:v>
      </x:c>
      <x:c r="P60" s="7" t="n">
        <x:v>172.54</x:v>
      </x:c>
    </x:row>
    <x:row r="61">
      <x:c r="A61" s="5" t="str">
        <x:v>P0187</x:v>
      </x:c>
      <x:c r="B61" s="5" t="str">
        <x:v>Frontier Insurance 299</x:v>
      </x:c>
      <x:c r="C61" s="5" t="str">
        <x:v>SMB</x:v>
      </x:c>
      <x:c r="D61" s="5" t="str">
        <x:v>Canada</x:v>
      </x:c>
      <x:c r="E61" s="5" t="str">
        <x:v>Implementation</x:v>
      </x:c>
      <x:c r="F61" s="5" t="str">
        <x:v>Time and Materials</x:v>
      </x:c>
      <x:c r="G61" s="6" t="n">
        <x:v>45413</x:v>
      </x:c>
      <x:c r="H61" s="6" t="n">
        <x:v>45717</x:v>
      </x:c>
      <x:c r="I61" s="5" t="str">
        <x:v>Completed</x:v>
      </x:c>
      <x:c r="J61" s="7" t="n">
        <x:v>212083.11</x:v>
      </x:c>
      <x:c r="K61" s="7" t="n">
        <x:v>111666.11</x:v>
      </x:c>
      <x:c r="L61" s="7" t="n">
        <x:v>14448.89</x:v>
      </x:c>
      <x:c r="M61" s="7" t="n">
        <x:v>2656.92</x:v>
      </x:c>
      <x:c r="N61" s="7" t="n">
        <x:v>83311.17</x:v>
      </x:c>
      <x:c r="O61" s="8" t="n">
        <x:v>0.3928</x:v>
      </x:c>
      <x:c r="P61" s="7" t="n">
        <x:v>174.58</x:v>
      </x:c>
    </x:row>
    <x:row r="62">
      <x:c r="A62" s="5" t="str">
        <x:v>P0011</x:v>
      </x:c>
      <x:c r="B62" s="5" t="str">
        <x:v>Pioneer Financial 266</x:v>
      </x:c>
      <x:c r="C62" s="5" t="str">
        <x:v>Enterprise</x:v>
      </x:c>
      <x:c r="D62" s="5" t="str">
        <x:v>US East</x:v>
      </x:c>
      <x:c r="E62" s="5" t="str">
        <x:v>Implementation</x:v>
      </x:c>
      <x:c r="F62" s="5" t="str">
        <x:v>Time and Materials</x:v>
      </x:c>
      <x:c r="G62" s="6" t="n">
        <x:v>44866</x:v>
      </x:c>
      <x:c r="H62" s="6" t="n">
        <x:v>45078</x:v>
      </x:c>
      <x:c r="I62" s="5" t="str">
        <x:v>Completed</x:v>
      </x:c>
      <x:c r="J62" s="7" t="n">
        <x:v>663743</x:v>
      </x:c>
      <x:c r="K62" s="7" t="n">
        <x:v>332762.44</x:v>
      </x:c>
      <x:c r="L62" s="7" t="n">
        <x:v>62237.48</x:v>
      </x:c>
      <x:c r="M62" s="7" t="n">
        <x:v>7881.53</x:v>
      </x:c>
      <x:c r="N62" s="7" t="n">
        <x:v>260861.54</x:v>
      </x:c>
      <x:c r="O62" s="8" t="n">
        <x:v>0.393</x:v>
      </x:c>
      <x:c r="P62" s="7" t="n">
        <x:v>180.24</x:v>
      </x:c>
    </x:row>
    <x:row r="63">
      <x:c r="A63" s="5" t="str">
        <x:v>P0182</x:v>
      </x:c>
      <x:c r="B63" s="5" t="str">
        <x:v>Redwood Foods 139</x:v>
      </x:c>
      <x:c r="C63" s="5" t="str">
        <x:v>Mid-Market</x:v>
      </x:c>
      <x:c r="D63" s="5" t="str">
        <x:v>US Central</x:v>
      </x:c>
      <x:c r="E63" s="5" t="str">
        <x:v>Implementation</x:v>
      </x:c>
      <x:c r="F63" s="5" t="str">
        <x:v>Time and Materials</x:v>
      </x:c>
      <x:c r="G63" s="6" t="n">
        <x:v>45231</x:v>
      </x:c>
      <x:c r="H63" s="6" t="n">
        <x:v>45444</x:v>
      </x:c>
      <x:c r="I63" s="5" t="str">
        <x:v>Completed</x:v>
      </x:c>
      <x:c r="J63" s="7" t="n">
        <x:v>552950.18</x:v>
      </x:c>
      <x:c r="K63" s="7" t="n">
        <x:v>271257.18</x:v>
      </x:c>
      <x:c r="L63" s="7" t="n">
        <x:v>56410.95</x:v>
      </x:c>
      <x:c r="M63" s="7" t="n">
        <x:v>7522.91</x:v>
      </x:c>
      <x:c r="N63" s="7" t="n">
        <x:v>217759.14</x:v>
      </x:c>
      <x:c r="O63" s="8" t="n">
        <x:v>0.3938</x:v>
      </x:c>
      <x:c r="P63" s="7" t="n">
        <x:v>184.18</x:v>
      </x:c>
    </x:row>
    <x:row r="64">
      <x:c r="A64" s="5" t="str">
        <x:v>P0090</x:v>
      </x:c>
      <x:c r="B64" s="5" t="str">
        <x:v>Atlas Financial 154</x:v>
      </x:c>
      <x:c r="C64" s="5" t="str">
        <x:v>Mid-Market</x:v>
      </x:c>
      <x:c r="D64" s="5" t="str">
        <x:v>Canada</x:v>
      </x:c>
      <x:c r="E64" s="5" t="str">
        <x:v>Implementation</x:v>
      </x:c>
      <x:c r="F64" s="5" t="str">
        <x:v>Time and Materials</x:v>
      </x:c>
      <x:c r="G64" s="6" t="n">
        <x:v>46113</x:v>
      </x:c>
      <x:c r="H64" s="6" t="n">
        <x:v>46388</x:v>
      </x:c>
      <x:c r="I64" s="5" t="str">
        <x:v>In Progress</x:v>
      </x:c>
      <x:c r="J64" s="7" t="n">
        <x:v>228900.46</x:v>
      </x:c>
      <x:c r="K64" s="7" t="n">
        <x:v>117697.57</x:v>
      </x:c>
      <x:c r="L64" s="7" t="n">
        <x:v>16146.33</x:v>
      </x:c>
      <x:c r="M64" s="7" t="n">
        <x:v>4135.87</x:v>
      </x:c>
      <x:c r="N64" s="7" t="n">
        <x:v>90920.69</x:v>
      </x:c>
      <x:c r="O64" s="8" t="n">
        <x:v>0.3972</x:v>
      </x:c>
      <x:c r="P64" s="7" t="n">
        <x:v>187.33</x:v>
      </x:c>
    </x:row>
    <x:row r="65">
      <x:c r="A65" s="5" t="str">
        <x:v>P0072</x:v>
      </x:c>
      <x:c r="B65" s="5" t="str">
        <x:v>Highland Technology 276</x:v>
      </x:c>
      <x:c r="C65" s="5" t="str">
        <x:v>SMB</x:v>
      </x:c>
      <x:c r="D65" s="5" t="str">
        <x:v>US East</x:v>
      </x:c>
      <x:c r="E65" s="5" t="str">
        <x:v>Implementation</x:v>
      </x:c>
      <x:c r="F65" s="5" t="str">
        <x:v>Time and Materials</x:v>
      </x:c>
      <x:c r="G65" s="6" t="n">
        <x:v>45627</x:v>
      </x:c>
      <x:c r="H65" s="6" t="n">
        <x:v>45962</x:v>
      </x:c>
      <x:c r="I65" s="5" t="str">
        <x:v>Completed</x:v>
      </x:c>
      <x:c r="J65" s="7" t="n">
        <x:v>82676.78</x:v>
      </x:c>
      <x:c r="K65" s="7" t="n">
        <x:v>40717.39</x:v>
      </x:c>
      <x:c r="L65" s="7" t="n">
        <x:v>7686.52</x:v>
      </x:c>
      <x:c r="M65" s="7" t="n">
        <x:v>1327.9</x:v>
      </x:c>
      <x:c r="N65" s="7" t="n">
        <x:v>32944.97</x:v>
      </x:c>
      <x:c r="O65" s="8" t="n">
        <x:v>0.3985</x:v>
      </x:c>
      <x:c r="P65" s="7" t="n">
        <x:v>191.07</x:v>
      </x:c>
    </x:row>
    <x:row r="66">
      <x:c r="A66" s="5" t="str">
        <x:v>P0073</x:v>
      </x:c>
      <x:c r="B66" s="5" t="str">
        <x:v>Lakeview Manufacturing 029</x:v>
      </x:c>
      <x:c r="C66" s="5" t="str">
        <x:v>Mid-Market</x:v>
      </x:c>
      <x:c r="D66" s="5" t="str">
        <x:v>Canada</x:v>
      </x:c>
      <x:c r="E66" s="5" t="str">
        <x:v>Implementation</x:v>
      </x:c>
      <x:c r="F66" s="5" t="str">
        <x:v>Fixed Price</x:v>
      </x:c>
      <x:c r="G66" s="6" t="n">
        <x:v>45505</x:v>
      </x:c>
      <x:c r="H66" s="6" t="n">
        <x:v>45839</x:v>
      </x:c>
      <x:c r="I66" s="5" t="str">
        <x:v>Completed</x:v>
      </x:c>
      <x:c r="J66" s="7" t="n">
        <x:v>546853.57</x:v>
      </x:c>
      <x:c r="K66" s="7" t="n">
        <x:v>273882.95</x:v>
      </x:c>
      <x:c r="L66" s="7" t="n">
        <x:v>46747.64</x:v>
      </x:c>
      <x:c r="M66" s="7" t="n">
        <x:v>7272</x:v>
      </x:c>
      <x:c r="N66" s="7" t="n">
        <x:v>218951.01</x:v>
      </x:c>
      <x:c r="O66" s="8" t="n">
        <x:v>0.4004</x:v>
      </x:c>
      <x:c r="P66" s="7" t="n">
        <x:v>187.05</x:v>
      </x:c>
    </x:row>
    <x:row r="67">
      <x:c r="A67" s="5" t="str">
        <x:v>P0211</x:v>
      </x:c>
      <x:c r="B67" s="5" t="str">
        <x:v>Atlas Retail 107</x:v>
      </x:c>
      <x:c r="C67" s="5" t="str">
        <x:v>SMB</x:v>
      </x:c>
      <x:c r="D67" s="5" t="str">
        <x:v>US Central</x:v>
      </x:c>
      <x:c r="E67" s="5" t="str">
        <x:v>Implementation</x:v>
      </x:c>
      <x:c r="F67" s="5" t="str">
        <x:v>Time and Materials</x:v>
      </x:c>
      <x:c r="G67" s="6" t="n">
        <x:v>45261</x:v>
      </x:c>
      <x:c r="H67" s="6" t="n">
        <x:v>45505</x:v>
      </x:c>
      <x:c r="I67" s="5" t="str">
        <x:v>Completed</x:v>
      </x:c>
      <x:c r="J67" s="7" t="n">
        <x:v>232068.45</x:v>
      </x:c>
      <x:c r="K67" s="7" t="n">
        <x:v>117821.29</x:v>
      </x:c>
      <x:c r="L67" s="7" t="n">
        <x:v>18732.57</x:v>
      </x:c>
      <x:c r="M67" s="7" t="n">
        <x:v>2300.29</x:v>
      </x:c>
      <x:c r="N67" s="7" t="n">
        <x:v>93214.3</x:v>
      </x:c>
      <x:c r="O67" s="8" t="n">
        <x:v>0.4017</x:v>
      </x:c>
      <x:c r="P67" s="7" t="n">
        <x:v>178.35</x:v>
      </x:c>
    </x:row>
    <x:row r="68">
      <x:c r="A68" s="5" t="str">
        <x:v>P0141</x:v>
      </x:c>
      <x:c r="B68" s="5" t="str">
        <x:v>Frontier Manufacturing 044</x:v>
      </x:c>
      <x:c r="C68" s="5" t="str">
        <x:v>SMB</x:v>
      </x:c>
      <x:c r="D68" s="5" t="str">
        <x:v>US West</x:v>
      </x:c>
      <x:c r="E68" s="5" t="str">
        <x:v>Implementation</x:v>
      </x:c>
      <x:c r="F68" s="5" t="str">
        <x:v>Time and Materials</x:v>
      </x:c>
      <x:c r="G68" s="6" t="n">
        <x:v>45778</x:v>
      </x:c>
      <x:c r="H68" s="6" t="n">
        <x:v>45870</x:v>
      </x:c>
      <x:c r="I68" s="5" t="str">
        <x:v>Completed</x:v>
      </x:c>
      <x:c r="J68" s="7" t="n">
        <x:v>177032.43</x:v>
      </x:c>
      <x:c r="K68" s="7" t="n">
        <x:v>84932.02</x:v>
      </x:c>
      <x:c r="L68" s="7" t="n">
        <x:v>18171.4</x:v>
      </x:c>
      <x:c r="M68" s="7" t="n">
        <x:v>2440.48</x:v>
      </x:c>
      <x:c r="N68" s="7" t="n">
        <x:v>71488.52</x:v>
      </x:c>
      <x:c r="O68" s="8" t="n">
        <x:v>0.4038</x:v>
      </x:c>
      <x:c r="P68" s="7" t="n">
        <x:v>195.66</x:v>
      </x:c>
    </x:row>
    <x:row r="69">
      <x:c r="A69" s="5" t="str">
        <x:v>P0054</x:v>
      </x:c>
      <x:c r="B69" s="5" t="str">
        <x:v>BrightPath Financial 074</x:v>
      </x:c>
      <x:c r="C69" s="5" t="str">
        <x:v>Mid-Market</x:v>
      </x:c>
      <x:c r="D69" s="5" t="str">
        <x:v>Canada</x:v>
      </x:c>
      <x:c r="E69" s="5" t="str">
        <x:v>Implementation</x:v>
      </x:c>
      <x:c r="F69" s="5" t="str">
        <x:v>Time and Materials</x:v>
      </x:c>
      <x:c r="G69" s="6" t="n">
        <x:v>45231</x:v>
      </x:c>
      <x:c r="H69" s="6" t="n">
        <x:v>45383</x:v>
      </x:c>
      <x:c r="I69" s="5" t="str">
        <x:v>Completed</x:v>
      </x:c>
      <x:c r="J69" s="7" t="n">
        <x:v>589241.02</x:v>
      </x:c>
      <x:c r="K69" s="7" t="n">
        <x:v>296052.91</x:v>
      </x:c>
      <x:c r="L69" s="7" t="n">
        <x:v>48816.67</x:v>
      </x:c>
      <x:c r="M69" s="7" t="n">
        <x:v>5700.91</x:v>
      </x:c>
      <x:c r="N69" s="7" t="n">
        <x:v>238670.53</x:v>
      </x:c>
      <x:c r="O69" s="8" t="n">
        <x:v>0.405</x:v>
      </x:c>
      <x:c r="P69" s="7" t="n">
        <x:v>179.66</x:v>
      </x:c>
    </x:row>
    <x:row r="70">
      <x:c r="A70" s="5" t="str">
        <x:v>P0162</x:v>
      </x:c>
      <x:c r="B70" s="5" t="str">
        <x:v>Meridian Technology 014</x:v>
      </x:c>
      <x:c r="C70" s="5" t="str">
        <x:v>SMB</x:v>
      </x:c>
      <x:c r="D70" s="5" t="str">
        <x:v>US East</x:v>
      </x:c>
      <x:c r="E70" s="5" t="str">
        <x:v>Implementation</x:v>
      </x:c>
      <x:c r="F70" s="5" t="str">
        <x:v>Time and Materials</x:v>
      </x:c>
      <x:c r="G70" s="6" t="n">
        <x:v>44927</x:v>
      </x:c>
      <x:c r="H70" s="6" t="n">
        <x:v>45200</x:v>
      </x:c>
      <x:c r="I70" s="5" t="str">
        <x:v>Completed</x:v>
      </x:c>
      <x:c r="J70" s="7" t="n">
        <x:v>265693.16</x:v>
      </x:c>
      <x:c r="K70" s="7" t="n">
        <x:v>134388.22</x:v>
      </x:c>
      <x:c r="L70" s="7" t="n">
        <x:v>20583.93</x:v>
      </x:c>
      <x:c r="M70" s="7" t="n">
        <x:v>3123.03</x:v>
      </x:c>
      <x:c r="N70" s="7" t="n">
        <x:v>107597.97</x:v>
      </x:c>
      <x:c r="O70" s="8" t="n">
        <x:v>0.405</x:v>
      </x:c>
      <x:c r="P70" s="7" t="n">
        <x:v>177.66</x:v>
      </x:c>
    </x:row>
    <x:row r="71">
      <x:c r="A71" s="5" t="str">
        <x:v>P0172</x:v>
      </x:c>
      <x:c r="B71" s="5" t="str">
        <x:v>Summit Retail 230</x:v>
      </x:c>
      <x:c r="C71" s="5" t="str">
        <x:v>Mid-Market</x:v>
      </x:c>
      <x:c r="D71" s="5" t="str">
        <x:v>US East</x:v>
      </x:c>
      <x:c r="E71" s="5" t="str">
        <x:v>Implementation</x:v>
      </x:c>
      <x:c r="F71" s="5" t="str">
        <x:v>Time and Materials</x:v>
      </x:c>
      <x:c r="G71" s="6" t="n">
        <x:v>45505</x:v>
      </x:c>
      <x:c r="H71" s="6" t="n">
        <x:v>45627</x:v>
      </x:c>
      <x:c r="I71" s="5" t="str">
        <x:v>Completed</x:v>
      </x:c>
      <x:c r="J71" s="7" t="n">
        <x:v>713637.23</x:v>
      </x:c>
      <x:c r="K71" s="7" t="n">
        <x:v>347810.19</x:v>
      </x:c>
      <x:c r="L71" s="7" t="n">
        <x:v>68240.16</x:v>
      </x:c>
      <x:c r="M71" s="7" t="n">
        <x:v>8482.03</x:v>
      </x:c>
      <x:c r="N71" s="7" t="n">
        <x:v>289104.85</x:v>
      </x:c>
      <x:c r="O71" s="8" t="n">
        <x:v>0.4051</x:v>
      </x:c>
      <x:c r="P71" s="7" t="n">
        <x:v>187.57</x:v>
      </x:c>
    </x:row>
    <x:row r="72">
      <x:c r="A72" s="5" t="str">
        <x:v>P0209</x:v>
      </x:c>
      <x:c r="B72" s="5" t="str">
        <x:v>Clearwater Education 224</x:v>
      </x:c>
      <x:c r="C72" s="5" t="str">
        <x:v>SMB</x:v>
      </x:c>
      <x:c r="D72" s="5" t="str">
        <x:v>US West</x:v>
      </x:c>
      <x:c r="E72" s="5" t="str">
        <x:v>Implementation</x:v>
      </x:c>
      <x:c r="F72" s="5" t="str">
        <x:v>Time and Materials</x:v>
      </x:c>
      <x:c r="G72" s="6" t="n">
        <x:v>45505</x:v>
      </x:c>
      <x:c r="H72" s="6" t="n">
        <x:v>45839</x:v>
      </x:c>
      <x:c r="I72" s="5" t="str">
        <x:v>Completed</x:v>
      </x:c>
      <x:c r="J72" s="7" t="n">
        <x:v>249682.31</x:v>
      </x:c>
      <x:c r="K72" s="7" t="n">
        <x:v>120857.83</x:v>
      </x:c>
      <x:c r="L72" s="7" t="n">
        <x:v>25824.4</x:v>
      </x:c>
      <x:c r="M72" s="7" t="n">
        <x:v>1775.68</x:v>
      </x:c>
      <x:c r="N72" s="7" t="n">
        <x:v>101224.41</x:v>
      </x:c>
      <x:c r="O72" s="8" t="n">
        <x:v>0.4054</x:v>
      </x:c>
      <x:c r="P72" s="7" t="n">
        <x:v>192.82</x:v>
      </x:c>
    </x:row>
    <x:row r="73">
      <x:c r="A73" s="5" t="str">
        <x:v>P0207</x:v>
      </x:c>
      <x:c r="B73" s="5" t="str">
        <x:v>Stonegate Insurance 071</x:v>
      </x:c>
      <x:c r="C73" s="5" t="str">
        <x:v>Enterprise</x:v>
      </x:c>
      <x:c r="D73" s="5" t="str">
        <x:v>US West</x:v>
      </x:c>
      <x:c r="E73" s="5" t="str">
        <x:v>Implementation</x:v>
      </x:c>
      <x:c r="F73" s="5" t="str">
        <x:v>Time and Materials</x:v>
      </x:c>
      <x:c r="G73" s="6" t="n">
        <x:v>45108</x:v>
      </x:c>
      <x:c r="H73" s="6" t="n">
        <x:v>45323</x:v>
      </x:c>
      <x:c r="I73" s="5" t="str">
        <x:v>Completed</x:v>
      </x:c>
      <x:c r="J73" s="7" t="n">
        <x:v>694330.91</x:v>
      </x:c>
      <x:c r="K73" s="7" t="n">
        <x:v>347927.59</x:v>
      </x:c>
      <x:c r="L73" s="7" t="n">
        <x:v>56270.02</x:v>
      </x:c>
      <x:c r="M73" s="7" t="n">
        <x:v>7521.31</x:v>
      </x:c>
      <x:c r="N73" s="7" t="n">
        <x:v>282612.01</x:v>
      </x:c>
      <x:c r="O73" s="8" t="n">
        <x:v>0.407</x:v>
      </x:c>
      <x:c r="P73" s="7" t="n">
        <x:v>178.63</x:v>
      </x:c>
    </x:row>
    <x:row r="74">
      <x:c r="A74" s="5" t="str">
        <x:v>P0199</x:v>
      </x:c>
      <x:c r="B74" s="5" t="str">
        <x:v>Vantage Foods 292</x:v>
      </x:c>
      <x:c r="C74" s="5" t="str">
        <x:v>Mid-Market</x:v>
      </x:c>
      <x:c r="D74" s="5" t="str">
        <x:v>Canada</x:v>
      </x:c>
      <x:c r="E74" s="5" t="str">
        <x:v>Implementation</x:v>
      </x:c>
      <x:c r="F74" s="5" t="str">
        <x:v>Time and Materials</x:v>
      </x:c>
      <x:c r="G74" s="6" t="n">
        <x:v>45474</x:v>
      </x:c>
      <x:c r="H74" s="6" t="n">
        <x:v>45658</x:v>
      </x:c>
      <x:c r="I74" s="5" t="str">
        <x:v>Completed</x:v>
      </x:c>
      <x:c r="J74" s="7" t="n">
        <x:v>205357.28</x:v>
      </x:c>
      <x:c r="K74" s="7" t="n">
        <x:v>95470.02</x:v>
      </x:c>
      <x:c r="L74" s="7" t="n">
        <x:v>23880.55</x:v>
      </x:c>
      <x:c r="M74" s="7" t="n">
        <x:v>2097.75</x:v>
      </x:c>
      <x:c r="N74" s="7" t="n">
        <x:v>83908.96</x:v>
      </x:c>
      <x:c r="O74" s="8" t="n">
        <x:v>0.4086</x:v>
      </x:c>
      <x:c r="P74" s="7" t="n">
        <x:v>197.21</x:v>
      </x:c>
    </x:row>
    <x:row r="75">
      <x:c r="A75" s="5" t="str">
        <x:v>P0076</x:v>
      </x:c>
      <x:c r="B75" s="5" t="str">
        <x:v>Vantage Health 216</x:v>
      </x:c>
      <x:c r="C75" s="5" t="str">
        <x:v>Mid-Market</x:v>
      </x:c>
      <x:c r="D75" s="5" t="str">
        <x:v>Canada</x:v>
      </x:c>
      <x:c r="E75" s="5" t="str">
        <x:v>Implementation</x:v>
      </x:c>
      <x:c r="F75" s="5" t="str">
        <x:v>Time and Materials</x:v>
      </x:c>
      <x:c r="G75" s="6" t="n">
        <x:v>45383</x:v>
      </x:c>
      <x:c r="H75" s="6" t="n">
        <x:v>45717</x:v>
      </x:c>
      <x:c r="I75" s="5" t="str">
        <x:v>Completed</x:v>
      </x:c>
      <x:c r="J75" s="7" t="n">
        <x:v>382241.95</x:v>
      </x:c>
      <x:c r="K75" s="7" t="n">
        <x:v>188901.41</x:v>
      </x:c>
      <x:c r="L75" s="7" t="n">
        <x:v>31226.33</x:v>
      </x:c>
      <x:c r="M75" s="7" t="n">
        <x:v>5715.23</x:v>
      </x:c>
      <x:c r="N75" s="7" t="n">
        <x:v>156398.98</x:v>
      </x:c>
      <x:c r="O75" s="8" t="n">
        <x:v>0.4092</x:v>
      </x:c>
      <x:c r="P75" s="7" t="n">
        <x:v>185.96</x:v>
      </x:c>
    </x:row>
    <x:row r="76">
      <x:c r="A76" s="5" t="str">
        <x:v>P0039</x:v>
      </x:c>
      <x:c r="B76" s="5" t="str">
        <x:v>Lakeview Energy 191</x:v>
      </x:c>
      <x:c r="C76" s="5" t="str">
        <x:v>SMB</x:v>
      </x:c>
      <x:c r="D76" s="5" t="str">
        <x:v>US Central</x:v>
      </x:c>
      <x:c r="E76" s="5" t="str">
        <x:v>Optimization</x:v>
      </x:c>
      <x:c r="F76" s="5" t="str">
        <x:v>Time and Materials</x:v>
      </x:c>
      <x:c r="G76" s="6" t="n">
        <x:v>45748</x:v>
      </x:c>
      <x:c r="H76" s="6" t="n">
        <x:v>45809</x:v>
      </x:c>
      <x:c r="I76" s="5" t="str">
        <x:v>Completed</x:v>
      </x:c>
      <x:c r="J76" s="7" t="n">
        <x:v>70953.09</x:v>
      </x:c>
      <x:c r="K76" s="7" t="n">
        <x:v>35972.26</x:v>
      </x:c>
      <x:c r="L76" s="7" t="n">
        <x:v>5225.29</x:v>
      </x:c>
      <x:c r="M76" s="7" t="n">
        <x:v>685.01</x:v>
      </x:c>
      <x:c r="N76" s="7" t="n">
        <x:v>29070.52</x:v>
      </x:c>
      <x:c r="O76" s="8" t="n">
        <x:v>0.4097</x:v>
      </x:c>
      <x:c r="P76" s="7" t="n">
        <x:v>185.94</x:v>
      </x:c>
    </x:row>
    <x:row r="77">
      <x:c r="A77" s="5" t="str">
        <x:v>P0098</x:v>
      </x:c>
      <x:c r="B77" s="5" t="str">
        <x:v>Harbor Financial 050</x:v>
      </x:c>
      <x:c r="C77" s="5" t="str">
        <x:v>SMB</x:v>
      </x:c>
      <x:c r="D77" s="5" t="str">
        <x:v>Canada</x:v>
      </x:c>
      <x:c r="E77" s="5" t="str">
        <x:v>Optimization</x:v>
      </x:c>
      <x:c r="F77" s="5" t="str">
        <x:v>Time and Materials</x:v>
      </x:c>
      <x:c r="G77" s="6" t="n">
        <x:v>45809</x:v>
      </x:c>
      <x:c r="H77" s="6" t="n">
        <x:v>45870</x:v>
      </x:c>
      <x:c r="I77" s="5" t="str">
        <x:v>Completed</x:v>
      </x:c>
      <x:c r="J77" s="7" t="n">
        <x:v>123002.02</x:v>
      </x:c>
      <x:c r="K77" s="7" t="n">
        <x:v>61151.2</x:v>
      </x:c>
      <x:c r="L77" s="7" t="n">
        <x:v>9203.54</x:v>
      </x:c>
      <x:c r="M77" s="7" t="n">
        <x:v>1825.47</x:v>
      </x:c>
      <x:c r="N77" s="7" t="n">
        <x:v>50821.81</x:v>
      </x:c>
      <x:c r="O77" s="8" t="n">
        <x:v>0.4132</x:v>
      </x:c>
      <x:c r="P77" s="7" t="n">
        <x:v>188.6</x:v>
      </x:c>
    </x:row>
    <x:row r="78">
      <x:c r="A78" s="5" t="str">
        <x:v>P0070</x:v>
      </x:c>
      <x:c r="B78" s="5" t="str">
        <x:v>Evergreen Energy 156</x:v>
      </x:c>
      <x:c r="C78" s="5" t="str">
        <x:v>Mid-Market</x:v>
      </x:c>
      <x:c r="D78" s="5" t="str">
        <x:v>US East</x:v>
      </x:c>
      <x:c r="E78" s="5" t="str">
        <x:v>Implementation</x:v>
      </x:c>
      <x:c r="F78" s="5" t="str">
        <x:v>Time and Materials</x:v>
      </x:c>
      <x:c r="G78" s="6" t="n">
        <x:v>45717</x:v>
      </x:c>
      <x:c r="H78" s="6" t="n">
        <x:v>45931</x:v>
      </x:c>
      <x:c r="I78" s="5" t="str">
        <x:v>Completed</x:v>
      </x:c>
      <x:c r="J78" s="7" t="n">
        <x:v>471635.7</x:v>
      </x:c>
      <x:c r="K78" s="7" t="n">
        <x:v>233205.02</x:v>
      </x:c>
      <x:c r="L78" s="7" t="n">
        <x:v>36551.57</x:v>
      </x:c>
      <x:c r="M78" s="7" t="n">
        <x:v>5889.48</x:v>
      </x:c>
      <x:c r="N78" s="7" t="n">
        <x:v>195989.63</x:v>
      </x:c>
      <x:c r="O78" s="8" t="n">
        <x:v>0.4156</x:v>
      </x:c>
      <x:c r="P78" s="7" t="n">
        <x:v>190.16</x:v>
      </x:c>
    </x:row>
    <x:row r="79">
      <x:c r="A79" s="5" t="str">
        <x:v>P0047</x:v>
      </x:c>
      <x:c r="B79" s="5" t="str">
        <x:v>Cedar Insurance 018</x:v>
      </x:c>
      <x:c r="C79" s="5" t="str">
        <x:v>SMB</x:v>
      </x:c>
      <x:c r="D79" s="5" t="str">
        <x:v>US West</x:v>
      </x:c>
      <x:c r="E79" s="5" t="str">
        <x:v>Implementation</x:v>
      </x:c>
      <x:c r="F79" s="5" t="str">
        <x:v>Time and Materials</x:v>
      </x:c>
      <x:c r="G79" s="6" t="n">
        <x:v>46054</x:v>
      </x:c>
      <x:c r="H79" s="6" t="n">
        <x:v>46235</x:v>
      </x:c>
      <x:c r="I79" s="5" t="str">
        <x:v>In Progress</x:v>
      </x:c>
      <x:c r="J79" s="7" t="n">
        <x:v>179889.16</x:v>
      </x:c>
      <x:c r="K79" s="7" t="n">
        <x:v>85573.85</x:v>
      </x:c>
      <x:c r="L79" s="7" t="n">
        <x:v>15772.47</x:v>
      </x:c>
      <x:c r="M79" s="7" t="n">
        <x:v>3307.82</x:v>
      </x:c>
      <x:c r="N79" s="7" t="n">
        <x:v>75235.02</x:v>
      </x:c>
      <x:c r="O79" s="8" t="n">
        <x:v>0.4182</x:v>
      </x:c>
      <x:c r="P79" s="7" t="n">
        <x:v>202.26</x:v>
      </x:c>
    </x:row>
    <x:row r="80">
      <x:c r="A80" s="5" t="str">
        <x:v>P0174</x:v>
      </x:c>
      <x:c r="B80" s="5" t="str">
        <x:v>Highland Manufacturing 015</x:v>
      </x:c>
      <x:c r="C80" s="5" t="str">
        <x:v>SMB</x:v>
      </x:c>
      <x:c r="D80" s="5" t="str">
        <x:v>US East</x:v>
      </x:c>
      <x:c r="E80" s="5" t="str">
        <x:v>Implementation</x:v>
      </x:c>
      <x:c r="F80" s="5" t="str">
        <x:v>Time and Materials</x:v>
      </x:c>
      <x:c r="G80" s="6" t="n">
        <x:v>45200</x:v>
      </x:c>
      <x:c r="H80" s="6" t="n">
        <x:v>45505</x:v>
      </x:c>
      <x:c r="I80" s="5" t="str">
        <x:v>Completed</x:v>
      </x:c>
      <x:c r="J80" s="7" t="n">
        <x:v>169952.52</x:v>
      </x:c>
      <x:c r="K80" s="7" t="n">
        <x:v>80474.5</x:v>
      </x:c>
      <x:c r="L80" s="7" t="n">
        <x:v>16570.34</x:v>
      </x:c>
      <x:c r="M80" s="7" t="n">
        <x:v>1690.48</x:v>
      </x:c>
      <x:c r="N80" s="7" t="n">
        <x:v>71217.24</x:v>
      </x:c>
      <x:c r="O80" s="8" t="n">
        <x:v>0.419</x:v>
      </x:c>
      <x:c r="P80" s="7" t="n">
        <x:v>190.66</x:v>
      </x:c>
    </x:row>
    <x:row r="81">
      <x:c r="A81" s="5" t="str">
        <x:v>P0177</x:v>
      </x:c>
      <x:c r="B81" s="5" t="str">
        <x:v>Atlas Financial 066</x:v>
      </x:c>
      <x:c r="C81" s="5" t="str">
        <x:v>SMB</x:v>
      </x:c>
      <x:c r="D81" s="5" t="str">
        <x:v>Canada</x:v>
      </x:c>
      <x:c r="E81" s="5" t="str">
        <x:v>Implementation</x:v>
      </x:c>
      <x:c r="F81" s="5" t="str">
        <x:v>Time and Materials</x:v>
      </x:c>
      <x:c r="G81" s="6" t="n">
        <x:v>46174</x:v>
      </x:c>
      <x:c r="H81" s="6" t="n">
        <x:v>46508</x:v>
      </x:c>
      <x:c r="I81" s="5" t="str">
        <x:v>In Progress</x:v>
      </x:c>
      <x:c r="J81" s="7" t="n">
        <x:v>13800.05</x:v>
      </x:c>
      <x:c r="K81" s="7" t="n">
        <x:v>7033.34</x:v>
      </x:c>
      <x:c r="L81" s="7" t="n">
        <x:v>920.68</x:v>
      </x:c>
      <x:c r="M81" s="7" t="n">
        <x:v>51.88</x:v>
      </x:c>
      <x:c r="N81" s="7" t="n">
        <x:v>5794.16</x:v>
      </x:c>
      <x:c r="O81" s="8" t="n">
        <x:v>0.4199</x:v>
      </x:c>
      <x:c r="P81" s="7" t="n">
        <x:v>189.04</x:v>
      </x:c>
    </x:row>
    <x:row r="82">
      <x:c r="A82" s="5" t="str">
        <x:v>P0210</x:v>
      </x:c>
      <x:c r="B82" s="5" t="str">
        <x:v>Meridian Manufacturing 300</x:v>
      </x:c>
      <x:c r="C82" s="5" t="str">
        <x:v>Enterprise</x:v>
      </x:c>
      <x:c r="D82" s="5" t="str">
        <x:v>US Central</x:v>
      </x:c>
      <x:c r="E82" s="5" t="str">
        <x:v>Implementation</x:v>
      </x:c>
      <x:c r="F82" s="5" t="str">
        <x:v>Fixed Price</x:v>
      </x:c>
      <x:c r="G82" s="6" t="n">
        <x:v>45505</x:v>
      </x:c>
      <x:c r="H82" s="6" t="n">
        <x:v>45689</x:v>
      </x:c>
      <x:c r="I82" s="5" t="str">
        <x:v>Completed</x:v>
      </x:c>
      <x:c r="J82" s="7" t="n">
        <x:v>700020.13</x:v>
      </x:c>
      <x:c r="K82" s="7" t="n">
        <x:v>333049.21</x:v>
      </x:c>
      <x:c r="L82" s="7" t="n">
        <x:v>65773.9</x:v>
      </x:c>
      <x:c r="M82" s="7" t="n">
        <x:v>6927.73</x:v>
      </x:c>
      <x:c r="N82" s="7" t="n">
        <x:v>294269.32</x:v>
      </x:c>
      <x:c r="O82" s="8" t="n">
        <x:v>0.4204</x:v>
      </x:c>
      <x:c r="P82" s="7" t="n">
        <x:v>193.82</x:v>
      </x:c>
    </x:row>
    <x:row r="83">
      <x:c r="A83" s="5" t="str">
        <x:v>P0218</x:v>
      </x:c>
      <x:c r="B83" s="5" t="str">
        <x:v>Redwood Foods 268</x:v>
      </x:c>
      <x:c r="C83" s="5" t="str">
        <x:v>Enterprise</x:v>
      </x:c>
      <x:c r="D83" s="5" t="str">
        <x:v>US West</x:v>
      </x:c>
      <x:c r="E83" s="5" t="str">
        <x:v>Implementation</x:v>
      </x:c>
      <x:c r="F83" s="5" t="str">
        <x:v>Time and Materials</x:v>
      </x:c>
      <x:c r="G83" s="6" t="n">
        <x:v>45931</x:v>
      </x:c>
      <x:c r="H83" s="6" t="n">
        <x:v>46143</x:v>
      </x:c>
      <x:c r="I83" s="5" t="str">
        <x:v>Completed</x:v>
      </x:c>
      <x:c r="J83" s="7" t="n">
        <x:v>836282.33</x:v>
      </x:c>
      <x:c r="K83" s="7" t="n">
        <x:v>394883.21</x:v>
      </x:c>
      <x:c r="L83" s="7" t="n">
        <x:v>75718.28</x:v>
      </x:c>
      <x:c r="M83" s="7" t="n">
        <x:v>10360.24</x:v>
      </x:c>
      <x:c r="N83" s="7" t="n">
        <x:v>355320.58</x:v>
      </x:c>
      <x:c r="O83" s="8" t="n">
        <x:v>0.4249</x:v>
      </x:c>
      <x:c r="P83" s="7" t="n">
        <x:v>201.99</x:v>
      </x:c>
    </x:row>
    <x:row r="84">
      <x:c r="A84" s="5" t="str">
        <x:v>P0026</x:v>
      </x:c>
      <x:c r="B84" s="5" t="str">
        <x:v>Northstar Health 063</x:v>
      </x:c>
      <x:c r="C84" s="5" t="str">
        <x:v>Mid-Market</x:v>
      </x:c>
      <x:c r="D84" s="5" t="str">
        <x:v>US Central</x:v>
      </x:c>
      <x:c r="E84" s="5" t="str">
        <x:v>Optimization</x:v>
      </x:c>
      <x:c r="F84" s="5" t="str">
        <x:v>Fixed Price</x:v>
      </x:c>
      <x:c r="G84" s="6" t="n">
        <x:v>44866</x:v>
      </x:c>
      <x:c r="H84" s="6" t="n">
        <x:v>44986</x:v>
      </x:c>
      <x:c r="I84" s="5" t="str">
        <x:v>Completed</x:v>
      </x:c>
      <x:c r="J84" s="7" t="n">
        <x:v>93019.86</x:v>
      </x:c>
      <x:c r="K84" s="7" t="n">
        <x:v>44231.24</x:v>
      </x:c>
      <x:c r="L84" s="7" t="n">
        <x:v>7880.7</x:v>
      </x:c>
      <x:c r="M84" s="7" t="n">
        <x:v>1028.92</x:v>
      </x:c>
      <x:c r="N84" s="7" t="n">
        <x:v>39879</x:v>
      </x:c>
      <x:c r="O84" s="8" t="n">
        <x:v>0.4287</x:v>
      </x:c>
      <x:c r="P84" s="7" t="n">
        <x:v>190.03</x:v>
      </x:c>
    </x:row>
    <x:row r="85">
      <x:c r="A85" s="5" t="str">
        <x:v>P0077</x:v>
      </x:c>
      <x:c r="B85" s="5" t="str">
        <x:v>Nova Logistics 294</x:v>
      </x:c>
      <x:c r="C85" s="5" t="str">
        <x:v>Enterprise</x:v>
      </x:c>
      <x:c r="D85" s="5" t="str">
        <x:v>US East</x:v>
      </x:c>
      <x:c r="E85" s="5" t="str">
        <x:v>Optimization</x:v>
      </x:c>
      <x:c r="F85" s="5" t="str">
        <x:v>Time and Materials</x:v>
      </x:c>
      <x:c r="G85" s="6" t="n">
        <x:v>45108</x:v>
      </x:c>
      <x:c r="H85" s="6" t="n">
        <x:v>45231</x:v>
      </x:c>
      <x:c r="I85" s="5" t="str">
        <x:v>Completed</x:v>
      </x:c>
      <x:c r="J85" s="7" t="n">
        <x:v>328244.42</x:v>
      </x:c>
      <x:c r="K85" s="7" t="n">
        <x:v>167805.76</x:v>
      </x:c>
      <x:c r="L85" s="7" t="n">
        <x:v>14709.86</x:v>
      </x:c>
      <x:c r="M85" s="7" t="n">
        <x:v>4984.49</x:v>
      </x:c>
      <x:c r="N85" s="7" t="n">
        <x:v>140744.28</x:v>
      </x:c>
      <x:c r="O85" s="8" t="n">
        <x:v>0.4288</x:v>
      </x:c>
      <x:c r="P85" s="7" t="n">
        <x:v>174.37</x:v>
      </x:c>
    </x:row>
    <x:row r="86">
      <x:c r="A86" s="5" t="str">
        <x:v>P0155</x:v>
      </x:c>
      <x:c r="B86" s="5" t="str">
        <x:v>Oakridge Energy 060</x:v>
      </x:c>
      <x:c r="C86" s="5" t="str">
        <x:v>Mid-Market</x:v>
      </x:c>
      <x:c r="D86" s="5" t="str">
        <x:v>US West</x:v>
      </x:c>
      <x:c r="E86" s="5" t="str">
        <x:v>Implementation</x:v>
      </x:c>
      <x:c r="F86" s="5" t="str">
        <x:v>Time and Materials</x:v>
      </x:c>
      <x:c r="G86" s="6" t="n">
        <x:v>45413</x:v>
      </x:c>
      <x:c r="H86" s="6" t="n">
        <x:v>45717</x:v>
      </x:c>
      <x:c r="I86" s="5" t="str">
        <x:v>Completed</x:v>
      </x:c>
      <x:c r="J86" s="7" t="n">
        <x:v>348971.67</x:v>
      </x:c>
      <x:c r="K86" s="7" t="n">
        <x:v>163318.3</x:v>
      </x:c>
      <x:c r="L86" s="7" t="n">
        <x:v>31849.96</x:v>
      </x:c>
      <x:c r="M86" s="7" t="n">
        <x:v>3933.82</x:v>
      </x:c>
      <x:c r="N86" s="7" t="n">
        <x:v>149869.58</x:v>
      </x:c>
      <x:c r="O86" s="8" t="n">
        <x:v>0.4295</x:v>
      </x:c>
      <x:c r="P86" s="7" t="n">
        <x:v>196.49</x:v>
      </x:c>
    </x:row>
    <x:row r="87">
      <x:c r="A87" s="5" t="str">
        <x:v>P0115</x:v>
      </x:c>
      <x:c r="B87" s="5" t="str">
        <x:v>Nova Foods 040</x:v>
      </x:c>
      <x:c r="C87" s="5" t="str">
        <x:v>Mid-Market</x:v>
      </x:c>
      <x:c r="D87" s="5" t="str">
        <x:v>US West</x:v>
      </x:c>
      <x:c r="E87" s="5" t="str">
        <x:v>Implementation</x:v>
      </x:c>
      <x:c r="F87" s="5" t="str">
        <x:v>Time and Materials</x:v>
      </x:c>
      <x:c r="G87" s="6" t="n">
        <x:v>45870</x:v>
      </x:c>
      <x:c r="H87" s="6" t="n">
        <x:v>46204</x:v>
      </x:c>
      <x:c r="I87" s="5" t="str">
        <x:v>In Progress</x:v>
      </x:c>
      <x:c r="J87" s="7" t="n">
        <x:v>534127.81</x:v>
      </x:c>
      <x:c r="K87" s="7" t="n">
        <x:v>239215.49</x:v>
      </x:c>
      <x:c r="L87" s="7" t="n">
        <x:v>56680.13</x:v>
      </x:c>
      <x:c r="M87" s="7" t="n">
        <x:v>7985.8</x:v>
      </x:c>
      <x:c r="N87" s="7" t="n">
        <x:v>230246.4</x:v>
      </x:c>
      <x:c r="O87" s="8" t="n">
        <x:v>0.4311</x:v>
      </x:c>
      <x:c r="P87" s="7" t="n">
        <x:v>212.03</x:v>
      </x:c>
    </x:row>
    <x:row r="88">
      <x:c r="A88" s="5" t="str">
        <x:v>P0159</x:v>
      </x:c>
      <x:c r="B88" s="5" t="str">
        <x:v>Beacon Technology 295</x:v>
      </x:c>
      <x:c r="C88" s="5" t="str">
        <x:v>Enterprise</x:v>
      </x:c>
      <x:c r="D88" s="5" t="str">
        <x:v>US East</x:v>
      </x:c>
      <x:c r="E88" s="5" t="str">
        <x:v>Implementation</x:v>
      </x:c>
      <x:c r="F88" s="5" t="str">
        <x:v>Time and Materials</x:v>
      </x:c>
      <x:c r="G88" s="6" t="n">
        <x:v>45170</x:v>
      </x:c>
      <x:c r="H88" s="6" t="n">
        <x:v>45474</x:v>
      </x:c>
      <x:c r="I88" s="5" t="str">
        <x:v>Completed</x:v>
      </x:c>
      <x:c r="J88" s="7" t="n">
        <x:v>1040717.37</x:v>
      </x:c>
      <x:c r="K88" s="7" t="n">
        <x:v>478465.77</x:v>
      </x:c>
      <x:c r="L88" s="7" t="n">
        <x:v>103804.2</x:v>
      </x:c>
      <x:c r="M88" s="7" t="n">
        <x:v>9815.44</x:v>
      </x:c>
      <x:c r="N88" s="7" t="n">
        <x:v>448631.99</x:v>
      </x:c>
      <x:c r="O88" s="8" t="n">
        <x:v>0.4311</x:v>
      </x:c>
      <x:c r="P88" s="7" t="n">
        <x:v>195.91</x:v>
      </x:c>
    </x:row>
    <x:row r="89">
      <x:c r="A89" s="5" t="str">
        <x:v>P0132</x:v>
      </x:c>
      <x:c r="B89" s="5" t="str">
        <x:v>BrightPath Education 174</x:v>
      </x:c>
      <x:c r="C89" s="5" t="str">
        <x:v>Enterprise</x:v>
      </x:c>
      <x:c r="D89" s="5" t="str">
        <x:v>US West</x:v>
      </x:c>
      <x:c r="E89" s="5" t="str">
        <x:v>Implementation</x:v>
      </x:c>
      <x:c r="F89" s="5" t="str">
        <x:v>Fixed Price</x:v>
      </x:c>
      <x:c r="G89" s="6" t="n">
        <x:v>44958</x:v>
      </x:c>
      <x:c r="H89" s="6" t="n">
        <x:v>45078</x:v>
      </x:c>
      <x:c r="I89" s="5" t="str">
        <x:v>Completed</x:v>
      </x:c>
      <x:c r="J89" s="7" t="n">
        <x:v>535145.82</x:v>
      </x:c>
      <x:c r="K89" s="7" t="n">
        <x:v>257866.93</x:v>
      </x:c>
      <x:c r="L89" s="7" t="n">
        <x:v>40428.4</x:v>
      </x:c>
      <x:c r="M89" s="7" t="n">
        <x:v>5938.5</x:v>
      </x:c>
      <x:c r="N89" s="7" t="n">
        <x:v>230912.01</x:v>
      </x:c>
      <x:c r="O89" s="8" t="n">
        <x:v>0.4315</x:v>
      </x:c>
      <x:c r="P89" s="7" t="n">
        <x:v>187.51</x:v>
      </x:c>
    </x:row>
    <x:row r="90">
      <x:c r="A90" s="5" t="str">
        <x:v>P0112</x:v>
      </x:c>
      <x:c r="B90" s="5" t="str">
        <x:v>Evergreen Media 123</x:v>
      </x:c>
      <x:c r="C90" s="5" t="str">
        <x:v>Mid-Market</x:v>
      </x:c>
      <x:c r="D90" s="5" t="str">
        <x:v>US West</x:v>
      </x:c>
      <x:c r="E90" s="5" t="str">
        <x:v>Implementation</x:v>
      </x:c>
      <x:c r="F90" s="5" t="str">
        <x:v>Time and Materials</x:v>
      </x:c>
      <x:c r="G90" s="6" t="n">
        <x:v>45839</x:v>
      </x:c>
      <x:c r="H90" s="6" t="n">
        <x:v>46174</x:v>
      </x:c>
      <x:c r="I90" s="5" t="str">
        <x:v>Completed</x:v>
      </x:c>
      <x:c r="J90" s="7" t="n">
        <x:v>577724.14</x:v>
      </x:c>
      <x:c r="K90" s="7" t="n">
        <x:v>279923.17</x:v>
      </x:c>
      <x:c r="L90" s="7" t="n">
        <x:v>39441.61</x:v>
      </x:c>
      <x:c r="M90" s="7" t="n">
        <x:v>8822.58</x:v>
      </x:c>
      <x:c r="N90" s="7" t="n">
        <x:v>249536.78</x:v>
      </x:c>
      <x:c r="O90" s="8" t="n">
        <x:v>0.4319</x:v>
      </x:c>
      <x:c r="P90" s="7" t="n">
        <x:v>195.89</x:v>
      </x:c>
    </x:row>
    <x:row r="91">
      <x:c r="A91" s="5" t="str">
        <x:v>P0157</x:v>
      </x:c>
      <x:c r="B91" s="5" t="str">
        <x:v>Crescent Mobility 083</x:v>
      </x:c>
      <x:c r="C91" s="5" t="str">
        <x:v>SMB</x:v>
      </x:c>
      <x:c r="D91" s="5" t="str">
        <x:v>US East</x:v>
      </x:c>
      <x:c r="E91" s="5" t="str">
        <x:v>Implementation</x:v>
      </x:c>
      <x:c r="F91" s="5" t="str">
        <x:v>Time and Materials</x:v>
      </x:c>
      <x:c r="G91" s="6" t="n">
        <x:v>46113</x:v>
      </x:c>
      <x:c r="H91" s="6" t="n">
        <x:v>46235</x:v>
      </x:c>
      <x:c r="I91" s="5" t="str">
        <x:v>In Progress</x:v>
      </x:c>
      <x:c r="J91" s="7" t="n">
        <x:v>87648.75</x:v>
      </x:c>
      <x:c r="K91" s="7" t="n">
        <x:v>40398.84</x:v>
      </x:c>
      <x:c r="L91" s="7" t="n">
        <x:v>8007.08</x:v>
      </x:c>
      <x:c r="M91" s="7" t="n">
        <x:v>1339.59</x:v>
      </x:c>
      <x:c r="N91" s="7" t="n">
        <x:v>37903.24</x:v>
      </x:c>
      <x:c r="O91" s="8" t="n">
        <x:v>0.4324</x:v>
      </x:c>
      <x:c r="P91" s="7" t="n">
        <x:v>208.89</x:v>
      </x:c>
    </x:row>
    <x:row r="92">
      <x:c r="A92" s="5" t="str">
        <x:v>P0046</x:v>
      </x:c>
      <x:c r="B92" s="5" t="str">
        <x:v>BluePeak Logistics 210</x:v>
      </x:c>
      <x:c r="C92" s="5" t="str">
        <x:v>SMB</x:v>
      </x:c>
      <x:c r="D92" s="5" t="str">
        <x:v>US West</x:v>
      </x:c>
      <x:c r="E92" s="5" t="str">
        <x:v>Implementation</x:v>
      </x:c>
      <x:c r="F92" s="5" t="str">
        <x:v>Fixed Price</x:v>
      </x:c>
      <x:c r="G92" s="6" t="n">
        <x:v>45658</x:v>
      </x:c>
      <x:c r="H92" s="6" t="n">
        <x:v>45778</x:v>
      </x:c>
      <x:c r="I92" s="5" t="str">
        <x:v>Completed</x:v>
      </x:c>
      <x:c r="J92" s="7" t="n">
        <x:v>167411.83</x:v>
      </x:c>
      <x:c r="K92" s="7" t="n">
        <x:v>79219.45</x:v>
      </x:c>
      <x:c r="L92" s="7" t="n">
        <x:v>12708.91</x:v>
      </x:c>
      <x:c r="M92" s="7" t="n">
        <x:v>2951.95</x:v>
      </x:c>
      <x:c r="N92" s="7" t="n">
        <x:v>72531.53</x:v>
      </x:c>
      <x:c r="O92" s="8" t="n">
        <x:v>0.4333</x:v>
      </x:c>
      <x:c r="P92" s="7" t="n">
        <x:v>200.71</x:v>
      </x:c>
    </x:row>
    <x:row r="93">
      <x:c r="A93" s="5" t="str">
        <x:v>P0140</x:v>
      </x:c>
      <x:c r="B93" s="5" t="str">
        <x:v>Highland Mobility 011</x:v>
      </x:c>
      <x:c r="C93" s="5" t="str">
        <x:v>SMB</x:v>
      </x:c>
      <x:c r="D93" s="5" t="str">
        <x:v>US West</x:v>
      </x:c>
      <x:c r="E93" s="5" t="str">
        <x:v>Implementation</x:v>
      </x:c>
      <x:c r="F93" s="5" t="str">
        <x:v>Time and Materials</x:v>
      </x:c>
      <x:c r="G93" s="6" t="n">
        <x:v>46082</x:v>
      </x:c>
      <x:c r="H93" s="6" t="n">
        <x:v>46327</x:v>
      </x:c>
      <x:c r="I93" s="5" t="str">
        <x:v>In Progress</x:v>
      </x:c>
      <x:c r="J93" s="7" t="n">
        <x:v>54140.67</x:v>
      </x:c>
      <x:c r="K93" s="7" t="n">
        <x:v>24187.29</x:v>
      </x:c>
      <x:c r="L93" s="7" t="n">
        <x:v>5721.95</x:v>
      </x:c>
      <x:c r="M93" s="7" t="n">
        <x:v>671.65</x:v>
      </x:c>
      <x:c r="N93" s="7" t="n">
        <x:v>23559.81</x:v>
      </x:c>
      <x:c r="O93" s="8" t="n">
        <x:v>0.4352</x:v>
      </x:c>
      <x:c r="P93" s="7" t="n">
        <x:v>215.53</x:v>
      </x:c>
    </x:row>
    <x:row r="94">
      <x:c r="A94" s="5" t="str">
        <x:v>P0203</x:v>
      </x:c>
      <x:c r="B94" s="5" t="str">
        <x:v>Keystone Logistics 099</x:v>
      </x:c>
      <x:c r="C94" s="5" t="str">
        <x:v>SMB</x:v>
      </x:c>
      <x:c r="D94" s="5" t="str">
        <x:v>US West</x:v>
      </x:c>
      <x:c r="E94" s="5" t="str">
        <x:v>Implementation</x:v>
      </x:c>
      <x:c r="F94" s="5" t="str">
        <x:v>Fixed Price</x:v>
      </x:c>
      <x:c r="G94" s="6" t="n">
        <x:v>45992</x:v>
      </x:c>
      <x:c r="H94" s="6" t="n">
        <x:v>46113</x:v>
      </x:c>
      <x:c r="I94" s="5" t="str">
        <x:v>Completed</x:v>
      </x:c>
      <x:c r="J94" s="7" t="n">
        <x:v>250914.95</x:v>
      </x:c>
      <x:c r="K94" s="7" t="n">
        <x:v>114468.21</x:v>
      </x:c>
      <x:c r="L94" s="7" t="n">
        <x:v>24091.76</x:v>
      </x:c>
      <x:c r="M94" s="7" t="n">
        <x:v>2528.87</x:v>
      </x:c>
      <x:c r="N94" s="7" t="n">
        <x:v>109826.11</x:v>
      </x:c>
      <x:c r="O94" s="8" t="n">
        <x:v>0.4377</x:v>
      </x:c>
      <x:c r="P94" s="7" t="n">
        <x:v>209.88</x:v>
      </x:c>
    </x:row>
    <x:row r="95">
      <x:c r="A95" s="5" t="str">
        <x:v>P0105</x:v>
      </x:c>
      <x:c r="B95" s="5" t="str">
        <x:v>Oakridge Manufacturing 081</x:v>
      </x:c>
      <x:c r="C95" s="5" t="str">
        <x:v>SMB</x:v>
      </x:c>
      <x:c r="D95" s="5" t="str">
        <x:v>US West</x:v>
      </x:c>
      <x:c r="E95" s="5" t="str">
        <x:v>Optimization</x:v>
      </x:c>
      <x:c r="F95" s="5" t="str">
        <x:v>Fixed Price</x:v>
      </x:c>
      <x:c r="G95" s="6" t="n">
        <x:v>45352</x:v>
      </x:c>
      <x:c r="H95" s="6" t="n">
        <x:v>45505</x:v>
      </x:c>
      <x:c r="I95" s="5" t="str">
        <x:v>Completed</x:v>
      </x:c>
      <x:c r="J95" s="7" t="n">
        <x:v>104934.24</x:v>
      </x:c>
      <x:c r="K95" s="7" t="n">
        <x:v>52920.17</x:v>
      </x:c>
      <x:c r="L95" s="7" t="n">
        <x:v>4760.56</x:v>
      </x:c>
      <x:c r="M95" s="7" t="n">
        <x:v>1253.3</x:v>
      </x:c>
      <x:c r="N95" s="7" t="n">
        <x:v>46000.21</x:v>
      </x:c>
      <x:c r="O95" s="8" t="n">
        <x:v>0.4384</x:v>
      </x:c>
      <x:c r="P95" s="7" t="n">
        <x:v>179.62</x:v>
      </x:c>
    </x:row>
    <x:row r="96">
      <x:c r="A96" s="5" t="str">
        <x:v>P0029</x:v>
      </x:c>
      <x:c r="B96" s="5" t="str">
        <x:v>Evergreen Foods 267</x:v>
      </x:c>
      <x:c r="C96" s="5" t="str">
        <x:v>SMB</x:v>
      </x:c>
      <x:c r="D96" s="5" t="str">
        <x:v>US East</x:v>
      </x:c>
      <x:c r="E96" s="5" t="str">
        <x:v>Managed Services</x:v>
      </x:c>
      <x:c r="F96" s="5" t="str">
        <x:v>Fixed Price</x:v>
      </x:c>
      <x:c r="G96" s="6" t="n">
        <x:v>44805</x:v>
      </x:c>
      <x:c r="H96" s="6" t="n">
        <x:v>45231</x:v>
      </x:c>
      <x:c r="I96" s="5" t="str">
        <x:v>Completed</x:v>
      </x:c>
      <x:c r="J96" s="7" t="n">
        <x:v>32057.87</x:v>
      </x:c>
      <x:c r="K96" s="7" t="n">
        <x:v>16657.31</x:v>
      </x:c>
      <x:c r="L96" s="7" t="n">
        <x:v>998.45</x:v>
      </x:c>
      <x:c r="M96" s="7" t="n">
        <x:v>341.18</x:v>
      </x:c>
      <x:c r="N96" s="7" t="n">
        <x:v>14060.95</x:v>
      </x:c>
      <x:c r="O96" s="8" t="n">
        <x:v>0.4386</x:v>
      </x:c>
      <x:c r="P96" s="7" t="n">
        <x:v>172.63</x:v>
      </x:c>
    </x:row>
    <x:row r="97">
      <x:c r="A97" s="5" t="str">
        <x:v>P0143</x:v>
      </x:c>
      <x:c r="B97" s="5" t="str">
        <x:v>Frontier Health 297</x:v>
      </x:c>
      <x:c r="C97" s="5" t="str">
        <x:v>Mid-Market</x:v>
      </x:c>
      <x:c r="D97" s="5" t="str">
        <x:v>US East</x:v>
      </x:c>
      <x:c r="E97" s="5" t="str">
        <x:v>Optimization</x:v>
      </x:c>
      <x:c r="F97" s="5" t="str">
        <x:v>Time and Materials</x:v>
      </x:c>
      <x:c r="G97" s="6" t="n">
        <x:v>45717</x:v>
      </x:c>
      <x:c r="H97" s="6" t="n">
        <x:v>45901</x:v>
      </x:c>
      <x:c r="I97" s="5" t="str">
        <x:v>Completed</x:v>
      </x:c>
      <x:c r="J97" s="7" t="n">
        <x:v>110824.31</x:v>
      </x:c>
      <x:c r="K97" s="7" t="n">
        <x:v>52731.16</x:v>
      </x:c>
      <x:c r="L97" s="7" t="n">
        <x:v>8064.86</x:v>
      </x:c>
      <x:c r="M97" s="7" t="n">
        <x:v>1184.47</x:v>
      </x:c>
      <x:c r="N97" s="7" t="n">
        <x:v>48843.81</x:v>
      </x:c>
      <x:c r="O97" s="8" t="n">
        <x:v>0.4407</x:v>
      </x:c>
      <x:c r="P97" s="7" t="n">
        <x:v>197.62</x:v>
      </x:c>
    </x:row>
    <x:row r="98">
      <x:c r="A98" s="5" t="str">
        <x:v>P0116</x:v>
      </x:c>
      <x:c r="B98" s="5" t="str">
        <x:v>Westbridge Logistics 264</x:v>
      </x:c>
      <x:c r="C98" s="5" t="str">
        <x:v>Mid-Market</x:v>
      </x:c>
      <x:c r="D98" s="5" t="str">
        <x:v>US West</x:v>
      </x:c>
      <x:c r="E98" s="5" t="str">
        <x:v>Optimization</x:v>
      </x:c>
      <x:c r="F98" s="5" t="str">
        <x:v>Fixed Price</x:v>
      </x:c>
      <x:c r="G98" s="6" t="n">
        <x:v>46143</x:v>
      </x:c>
      <x:c r="H98" s="6" t="n">
        <x:v>46327</x:v>
      </x:c>
      <x:c r="I98" s="5" t="str">
        <x:v>In Progress</x:v>
      </x:c>
      <x:c r="J98" s="7" t="n">
        <x:v>74317.2</x:v>
      </x:c>
      <x:c r="K98" s="7" t="n">
        <x:v>34775.94</x:v>
      </x:c>
      <x:c r="L98" s="7" t="n">
        <x:v>5588.49</x:v>
      </x:c>
      <x:c r="M98" s="7" t="n">
        <x:v>1165.27</x:v>
      </x:c>
      <x:c r="N98" s="7" t="n">
        <x:v>32787.49</x:v>
      </x:c>
      <x:c r="O98" s="8" t="n">
        <x:v>0.4412</x:v>
      </x:c>
      <x:c r="P98" s="7" t="n">
        <x:v>205.18</x:v>
      </x:c>
    </x:row>
    <x:row r="99">
      <x:c r="A99" s="5" t="str">
        <x:v>P0181</x:v>
      </x:c>
      <x:c r="B99" s="5" t="str">
        <x:v>Cedar Insurance 176</x:v>
      </x:c>
      <x:c r="C99" s="5" t="str">
        <x:v>Mid-Market</x:v>
      </x:c>
      <x:c r="D99" s="5" t="str">
        <x:v>Canada</x:v>
      </x:c>
      <x:c r="E99" s="5" t="str">
        <x:v>Implementation</x:v>
      </x:c>
      <x:c r="F99" s="5" t="str">
        <x:v>Fixed Price</x:v>
      </x:c>
      <x:c r="G99" s="6" t="n">
        <x:v>45536</x:v>
      </x:c>
      <x:c r="H99" s="6" t="n">
        <x:v>45717</x:v>
      </x:c>
      <x:c r="I99" s="5" t="str">
        <x:v>Completed</x:v>
      </x:c>
      <x:c r="J99" s="7" t="n">
        <x:v>398264.49</x:v>
      </x:c>
      <x:c r="K99" s="7" t="n">
        <x:v>182501.47</x:v>
      </x:c>
      <x:c r="L99" s="7" t="n">
        <x:v>35212.31</x:v>
      </x:c>
      <x:c r="M99" s="7" t="n">
        <x:v>4321.39</x:v>
      </x:c>
      <x:c r="N99" s="7" t="n">
        <x:v>176229.34</x:v>
      </x:c>
      <x:c r="O99" s="8" t="n">
        <x:v>0.4425</x:v>
      </x:c>
      <x:c r="P99" s="7" t="n">
        <x:v>203.06</x:v>
      </x:c>
    </x:row>
    <x:row r="100">
      <x:c r="A100" s="5" t="str">
        <x:v>P0156</x:v>
      </x:c>
      <x:c r="B100" s="5" t="str">
        <x:v>Meridian Retail 205</x:v>
      </x:c>
      <x:c r="C100" s="5" t="str">
        <x:v>Mid-Market</x:v>
      </x:c>
      <x:c r="D100" s="5" t="str">
        <x:v>US East</x:v>
      </x:c>
      <x:c r="E100" s="5" t="str">
        <x:v>Implementation</x:v>
      </x:c>
      <x:c r="F100" s="5" t="str">
        <x:v>Time and Materials</x:v>
      </x:c>
      <x:c r="G100" s="6" t="n">
        <x:v>45597</x:v>
      </x:c>
      <x:c r="H100" s="6" t="n">
        <x:v>45809</x:v>
      </x:c>
      <x:c r="I100" s="5" t="str">
        <x:v>Completed</x:v>
      </x:c>
      <x:c r="J100" s="7" t="n">
        <x:v>563912.56</x:v>
      </x:c>
      <x:c r="K100" s="7" t="n">
        <x:v>255703.57</x:v>
      </x:c>
      <x:c r="L100" s="7" t="n">
        <x:v>50431.43</x:v>
      </x:c>
      <x:c r="M100" s="7" t="n">
        <x:v>7665.65</x:v>
      </x:c>
      <x:c r="N100" s="7" t="n">
        <x:v>250111.9</x:v>
      </x:c>
      <x:c r="O100" s="8" t="n">
        <x:v>0.4435</x:v>
      </x:c>
      <x:c r="P100" s="7" t="n">
        <x:v>207.51</x:v>
      </x:c>
    </x:row>
    <x:row r="101">
      <x:c r="A101" s="5" t="str">
        <x:v>P0094</x:v>
      </x:c>
      <x:c r="B101" s="5" t="str">
        <x:v>Meridian Technology 057</x:v>
      </x:c>
      <x:c r="C101" s="5" t="str">
        <x:v>Mid-Market</x:v>
      </x:c>
      <x:c r="D101" s="5" t="str">
        <x:v>US West</x:v>
      </x:c>
      <x:c r="E101" s="5" t="str">
        <x:v>Managed Services</x:v>
      </x:c>
      <x:c r="F101" s="5" t="str">
        <x:v>Fixed Price</x:v>
      </x:c>
      <x:c r="G101" s="6" t="n">
        <x:v>45717</x:v>
      </x:c>
      <x:c r="H101" s="6" t="n">
        <x:v>45962</x:v>
      </x:c>
      <x:c r="I101" s="5" t="str">
        <x:v>Completed</x:v>
      </x:c>
      <x:c r="J101" s="7" t="n">
        <x:v>218088.04</x:v>
      </x:c>
      <x:c r="K101" s="7" t="n">
        <x:v>112448.04</x:v>
      </x:c>
      <x:c r="L101" s="7" t="n">
        <x:v>5775.26</x:v>
      </x:c>
      <x:c r="M101" s="7" t="n">
        <x:v>2176.06</x:v>
      </x:c>
      <x:c r="N101" s="7" t="n">
        <x:v>97688.66</x:v>
      </x:c>
      <x:c r="O101" s="8" t="n">
        <x:v>0.4479</x:v>
      </x:c>
      <x:c r="P101" s="7" t="n">
        <x:v>182.32</x:v>
      </x:c>
    </x:row>
    <x:row r="102">
      <x:c r="A102" s="5" t="str">
        <x:v>P0065</x:v>
      </x:c>
      <x:c r="B102" s="5" t="str">
        <x:v>BluePeak Mobility 246</x:v>
      </x:c>
      <x:c r="C102" s="5" t="str">
        <x:v>SMB</x:v>
      </x:c>
      <x:c r="D102" s="5" t="str">
        <x:v>US East</x:v>
      </x:c>
      <x:c r="E102" s="5" t="str">
        <x:v>Optimization</x:v>
      </x:c>
      <x:c r="F102" s="5" t="str">
        <x:v>Fixed Price</x:v>
      </x:c>
      <x:c r="G102" s="6" t="n">
        <x:v>46082</x:v>
      </x:c>
      <x:c r="H102" s="6" t="n">
        <x:v>46266</x:v>
      </x:c>
      <x:c r="I102" s="5" t="str">
        <x:v>In Progress</x:v>
      </x:c>
      <x:c r="J102" s="7" t="n">
        <x:v>79845.88</x:v>
      </x:c>
      <x:c r="K102" s="7" t="n">
        <x:v>37621.67</x:v>
      </x:c>
      <x:c r="L102" s="7" t="n">
        <x:v>5172.22</x:v>
      </x:c>
      <x:c r="M102" s="7" t="n">
        <x:v>1246.27</x:v>
      </x:c>
      <x:c r="N102" s="7" t="n">
        <x:v>35805.71</x:v>
      </x:c>
      <x:c r="O102" s="8" t="n">
        <x:v>0.4484</x:v>
      </x:c>
      <x:c r="P102" s="7" t="n">
        <x:v>204.21</x:v>
      </x:c>
    </x:row>
    <x:row r="103">
      <x:c r="A103" s="5" t="str">
        <x:v>P0173</x:v>
      </x:c>
      <x:c r="B103" s="5" t="str">
        <x:v>Highland Foods 117</x:v>
      </x:c>
      <x:c r="C103" s="5" t="str">
        <x:v>Mid-Market</x:v>
      </x:c>
      <x:c r="D103" s="5" t="str">
        <x:v>US West</x:v>
      </x:c>
      <x:c r="E103" s="5" t="str">
        <x:v>Optimization</x:v>
      </x:c>
      <x:c r="F103" s="5" t="str">
        <x:v>Time and Materials</x:v>
      </x:c>
      <x:c r="G103" s="6" t="n">
        <x:v>45352</x:v>
      </x:c>
      <x:c r="H103" s="6" t="n">
        <x:v>45444</x:v>
      </x:c>
      <x:c r="I103" s="5" t="str">
        <x:v>Completed</x:v>
      </x:c>
      <x:c r="J103" s="7" t="n">
        <x:v>215686.34</x:v>
      </x:c>
      <x:c r="K103" s="7" t="n">
        <x:v>100199.13</x:v>
      </x:c>
      <x:c r="L103" s="7" t="n">
        <x:v>16303.16</x:v>
      </x:c>
      <x:c r="M103" s="7" t="n">
        <x:v>2153.37</x:v>
      </x:c>
      <x:c r="N103" s="7" t="n">
        <x:v>97030.69</x:v>
      </x:c>
      <x:c r="O103" s="8" t="n">
        <x:v>0.4499</x:v>
      </x:c>
      <x:c r="P103" s="7" t="n">
        <x:v>195.58</x:v>
      </x:c>
    </x:row>
    <x:row r="104">
      <x:c r="A104" s="5" t="str">
        <x:v>P0176</x:v>
      </x:c>
      <x:c r="B104" s="5" t="str">
        <x:v>BrightPath Mobility 143</x:v>
      </x:c>
      <x:c r="C104" s="5" t="str">
        <x:v>SMB</x:v>
      </x:c>
      <x:c r="D104" s="5" t="str">
        <x:v>US East</x:v>
      </x:c>
      <x:c r="E104" s="5" t="str">
        <x:v>Managed Services</x:v>
      </x:c>
      <x:c r="F104" s="5" t="str">
        <x:v>Fixed Price</x:v>
      </x:c>
      <x:c r="G104" s="6" t="n">
        <x:v>45170</x:v>
      </x:c>
      <x:c r="H104" s="6" t="n">
        <x:v>45689</x:v>
      </x:c>
      <x:c r="I104" s="5" t="str">
        <x:v>Completed</x:v>
      </x:c>
      <x:c r="J104" s="7" t="n">
        <x:v>84883.33</x:v>
      </x:c>
      <x:c r="K104" s="7" t="n">
        <x:v>43182.05</x:v>
      </x:c>
      <x:c r="L104" s="7" t="n">
        <x:v>2507.94</x:v>
      </x:c>
      <x:c r="M104" s="7" t="n">
        <x:v>996.83</x:v>
      </x:c>
      <x:c r="N104" s="7" t="n">
        <x:v>38196.59</x:v>
      </x:c>
      <x:c r="O104" s="8" t="n">
        <x:v>0.45</x:v>
      </x:c>
      <x:c r="P104" s="7" t="n">
        <x:v>178.85</x:v>
      </x:c>
    </x:row>
    <x:row r="105">
      <x:c r="A105" s="5" t="str">
        <x:v>P0113</x:v>
      </x:c>
      <x:c r="B105" s="5" t="str">
        <x:v>Evergreen Foods 267</x:v>
      </x:c>
      <x:c r="C105" s="5" t="str">
        <x:v>SMB</x:v>
      </x:c>
      <x:c r="D105" s="5" t="str">
        <x:v>US East</x:v>
      </x:c>
      <x:c r="E105" s="5" t="str">
        <x:v>Optimization</x:v>
      </x:c>
      <x:c r="F105" s="5" t="str">
        <x:v>Time and Materials</x:v>
      </x:c>
      <x:c r="G105" s="6" t="n">
        <x:v>45748</x:v>
      </x:c>
      <x:c r="H105" s="6" t="n">
        <x:v>45809</x:v>
      </x:c>
      <x:c r="I105" s="5" t="str">
        <x:v>Completed</x:v>
      </x:c>
      <x:c r="J105" s="7" t="n">
        <x:v>105678.73</x:v>
      </x:c>
      <x:c r="K105" s="7" t="n">
        <x:v>54163.43</x:v>
      </x:c>
      <x:c r="L105" s="7" t="n">
        <x:v>2898.33</x:v>
      </x:c>
      <x:c r="M105" s="7" t="n">
        <x:v>791.22</x:v>
      </x:c>
      <x:c r="N105" s="7" t="n">
        <x:v>47825.76</x:v>
      </x:c>
      <x:c r="O105" s="8" t="n">
        <x:v>0.4526</x:v>
      </x:c>
      <x:c r="P105" s="7" t="n">
        <x:v>183.98</x:v>
      </x:c>
    </x:row>
    <x:row r="106">
      <x:c r="A106" s="5" t="str">
        <x:v>P0124</x:v>
      </x:c>
      <x:c r="B106" s="5" t="str">
        <x:v>Westbridge Energy 072</x:v>
      </x:c>
      <x:c r="C106" s="5" t="str">
        <x:v>Enterprise</x:v>
      </x:c>
      <x:c r="D106" s="5" t="str">
        <x:v>Canada</x:v>
      </x:c>
      <x:c r="E106" s="5" t="str">
        <x:v>Optimization</x:v>
      </x:c>
      <x:c r="F106" s="5" t="str">
        <x:v>Fixed Price</x:v>
      </x:c>
      <x:c r="G106" s="6" t="n">
        <x:v>45352</x:v>
      </x:c>
      <x:c r="H106" s="6" t="n">
        <x:v>45383</x:v>
      </x:c>
      <x:c r="I106" s="5" t="str">
        <x:v>Completed</x:v>
      </x:c>
      <x:c r="J106" s="7" t="n">
        <x:v>411500.34</x:v>
      </x:c>
      <x:c r="K106" s="7" t="n">
        <x:v>183870.87</x:v>
      </x:c>
      <x:c r="L106" s="7" t="n">
        <x:v>33688.95</x:v>
      </x:c>
      <x:c r="M106" s="7" t="n">
        <x:v>7598.3</x:v>
      </x:c>
      <x:c r="N106" s="7" t="n">
        <x:v>186342.23</x:v>
      </x:c>
      <x:c r="O106" s="8" t="n">
        <x:v>0.4528</x:v>
      </x:c>
      <x:c r="P106" s="7" t="n">
        <x:v>204.22</x:v>
      </x:c>
    </x:row>
    <x:row r="107">
      <x:c r="A107" s="5" t="str">
        <x:v>P0161</x:v>
      </x:c>
      <x:c r="B107" s="5" t="str">
        <x:v>Silverline Health 275</x:v>
      </x:c>
      <x:c r="C107" s="5" t="str">
        <x:v>Mid-Market</x:v>
      </x:c>
      <x:c r="D107" s="5" t="str">
        <x:v>US East</x:v>
      </x:c>
      <x:c r="E107" s="5" t="str">
        <x:v>Optimization</x:v>
      </x:c>
      <x:c r="F107" s="5" t="str">
        <x:v>Fixed Price</x:v>
      </x:c>
      <x:c r="G107" s="6" t="n">
        <x:v>45658</x:v>
      </x:c>
      <x:c r="H107" s="6" t="n">
        <x:v>45839</x:v>
      </x:c>
      <x:c r="I107" s="5" t="str">
        <x:v>Completed</x:v>
      </x:c>
      <x:c r="J107" s="7" t="n">
        <x:v>205458.95</x:v>
      </x:c>
      <x:c r="K107" s="7" t="n">
        <x:v>91798.01</x:v>
      </x:c>
      <x:c r="L107" s="7" t="n">
        <x:v>15910.94</x:v>
      </x:c>
      <x:c r="M107" s="7" t="n">
        <x:v>4513.84</x:v>
      </x:c>
      <x:c r="N107" s="7" t="n">
        <x:v>93236.13</x:v>
      </x:c>
      <x:c r="O107" s="8" t="n">
        <x:v>0.4538</x:v>
      </x:c>
      <x:c r="P107" s="7" t="n">
        <x:v>211.75</x:v>
      </x:c>
    </x:row>
    <x:row r="108">
      <x:c r="A108" s="5" t="str">
        <x:v>P0021</x:v>
      </x:c>
      <x:c r="B108" s="5" t="str">
        <x:v>Silverline Health 275</x:v>
      </x:c>
      <x:c r="C108" s="5" t="str">
        <x:v>Mid-Market</x:v>
      </x:c>
      <x:c r="D108" s="5" t="str">
        <x:v>US East</x:v>
      </x:c>
      <x:c r="E108" s="5" t="str">
        <x:v>Optimization</x:v>
      </x:c>
      <x:c r="F108" s="5" t="str">
        <x:v>Time and Materials</x:v>
      </x:c>
      <x:c r="G108" s="6" t="n">
        <x:v>44743</x:v>
      </x:c>
      <x:c r="H108" s="6" t="n">
        <x:v>44927</x:v>
      </x:c>
      <x:c r="I108" s="5" t="str">
        <x:v>Completed</x:v>
      </x:c>
      <x:c r="J108" s="7" t="n">
        <x:v>16305.54</x:v>
      </x:c>
      <x:c r="K108" s="7" t="n">
        <x:v>7046.03</x:v>
      </x:c>
      <x:c r="L108" s="7" t="n">
        <x:v>1572.06</x:v>
      </x:c>
      <x:c r="M108" s="7" t="n">
        <x:v>239.43</x:v>
      </x:c>
      <x:c r="N108" s="7" t="n">
        <x:v>7448.03</x:v>
      </x:c>
      <x:c r="O108" s="8" t="n">
        <x:v>0.4568</x:v>
      </x:c>
      <x:c r="P108" s="7" t="n">
        <x:v>209.05</x:v>
      </x:c>
    </x:row>
    <x:row r="109">
      <x:c r="A109" s="5" t="str">
        <x:v>P0164</x:v>
      </x:c>
      <x:c r="B109" s="5" t="str">
        <x:v>BrightPath Education 174</x:v>
      </x:c>
      <x:c r="C109" s="5" t="str">
        <x:v>Enterprise</x:v>
      </x:c>
      <x:c r="D109" s="5" t="str">
        <x:v>US West</x:v>
      </x:c>
      <x:c r="E109" s="5" t="str">
        <x:v>Implementation</x:v>
      </x:c>
      <x:c r="F109" s="5" t="str">
        <x:v>Fixed Price</x:v>
      </x:c>
      <x:c r="G109" s="6" t="n">
        <x:v>45292</x:v>
      </x:c>
      <x:c r="H109" s="6" t="n">
        <x:v>45597</x:v>
      </x:c>
      <x:c r="I109" s="5" t="str">
        <x:v>Completed</x:v>
      </x:c>
      <x:c r="J109" s="7" t="n">
        <x:v>550483.7</x:v>
      </x:c>
      <x:c r="K109" s="7" t="n">
        <x:v>247578.67</x:v>
      </x:c>
      <x:c r="L109" s="7" t="n">
        <x:v>44603.5</x:v>
      </x:c>
      <x:c r="M109" s="7" t="n">
        <x:v>6636.86</x:v>
      </x:c>
      <x:c r="N109" s="7" t="n">
        <x:v>251664.67</x:v>
      </x:c>
      <x:c r="O109" s="8" t="n">
        <x:v>0.4572</x:v>
      </x:c>
      <x:c r="P109" s="7" t="n">
        <x:v>201.89</x:v>
      </x:c>
    </x:row>
    <x:row r="110">
      <x:c r="A110" s="5" t="str">
        <x:v>P0183</x:v>
      </x:c>
      <x:c r="B110" s="5" t="str">
        <x:v>Northstar Technology 028</x:v>
      </x:c>
      <x:c r="C110" s="5" t="str">
        <x:v>Enterprise</x:v>
      </x:c>
      <x:c r="D110" s="5" t="str">
        <x:v>US East</x:v>
      </x:c>
      <x:c r="E110" s="5" t="str">
        <x:v>Implementation</x:v>
      </x:c>
      <x:c r="F110" s="5" t="str">
        <x:v>Time and Materials</x:v>
      </x:c>
      <x:c r="G110" s="6" t="n">
        <x:v>45931</x:v>
      </x:c>
      <x:c r="H110" s="6" t="n">
        <x:v>46082</x:v>
      </x:c>
      <x:c r="I110" s="5" t="str">
        <x:v>Completed</x:v>
      </x:c>
      <x:c r="J110" s="7" t="n">
        <x:v>925191.91</x:v>
      </x:c>
      <x:c r="K110" s="7" t="n">
        <x:v>384870.2</x:v>
      </x:c>
      <x:c r="L110" s="7" t="n">
        <x:v>107870.24</x:v>
      </x:c>
      <x:c r="M110" s="7" t="n">
        <x:v>8476.55</x:v>
      </x:c>
      <x:c r="N110" s="7" t="n">
        <x:v>423974.94</x:v>
      </x:c>
      <x:c r="O110" s="8" t="n">
        <x:v>0.4583</x:v>
      </x:c>
      <x:c r="P110" s="7" t="n">
        <x:v>228.04</x:v>
      </x:c>
    </x:row>
    <x:row r="111">
      <x:c r="A111" s="5" t="str">
        <x:v>P0167</x:v>
      </x:c>
      <x:c r="B111" s="5" t="str">
        <x:v>Highland Mobility 011</x:v>
      </x:c>
      <x:c r="C111" s="5" t="str">
        <x:v>SMB</x:v>
      </x:c>
      <x:c r="D111" s="5" t="str">
        <x:v>US West</x:v>
      </x:c>
      <x:c r="E111" s="5" t="str">
        <x:v>Implementation</x:v>
      </x:c>
      <x:c r="F111" s="5" t="str">
        <x:v>Time and Materials</x:v>
      </x:c>
      <x:c r="G111" s="6" t="n">
        <x:v>45078</x:v>
      </x:c>
      <x:c r="H111" s="6" t="n">
        <x:v>45352</x:v>
      </x:c>
      <x:c r="I111" s="5" t="str">
        <x:v>Completed</x:v>
      </x:c>
      <x:c r="J111" s="7" t="n">
        <x:v>248271.32</x:v>
      </x:c>
      <x:c r="K111" s="7" t="n">
        <x:v>111688.59</x:v>
      </x:c>
      <x:c r="L111" s="7" t="n">
        <x:v>18895.61</x:v>
      </x:c>
      <x:c r="M111" s="7" t="n">
        <x:v>3730.07</x:v>
      </x:c>
      <x:c r="N111" s="7" t="n">
        <x:v>113957.02</x:v>
      </x:c>
      <x:c r="O111" s="8" t="n">
        <x:v>0.459</x:v>
      </x:c>
      <x:c r="P111" s="7" t="n">
        <x:v>199.43</x:v>
      </x:c>
    </x:row>
    <x:row r="112">
      <x:c r="A112" s="5" t="str">
        <x:v>P0138</x:v>
      </x:c>
      <x:c r="B112" s="5" t="str">
        <x:v>BluePeak Education 127</x:v>
      </x:c>
      <x:c r="C112" s="5" t="str">
        <x:v>Mid-Market</x:v>
      </x:c>
      <x:c r="D112" s="5" t="str">
        <x:v>US East</x:v>
      </x:c>
      <x:c r="E112" s="5" t="str">
        <x:v>Implementation</x:v>
      </x:c>
      <x:c r="F112" s="5" t="str">
        <x:v>Time and Materials</x:v>
      </x:c>
      <x:c r="G112" s="6" t="n">
        <x:v>46054</x:v>
      </x:c>
      <x:c r="H112" s="6" t="n">
        <x:v>46296</x:v>
      </x:c>
      <x:c r="I112" s="5" t="str">
        <x:v>In Progress</x:v>
      </x:c>
      <x:c r="J112" s="7" t="n">
        <x:v>246560.95</x:v>
      </x:c>
      <x:c r="K112" s="7" t="n">
        <x:v>104407.9</x:v>
      </x:c>
      <x:c r="L112" s="7" t="n">
        <x:v>25719.22</x:v>
      </x:c>
      <x:c r="M112" s="7" t="n">
        <x:v>3055.62</x:v>
      </x:c>
      <x:c r="N112" s="7" t="n">
        <x:v>113378.21</x:v>
      </x:c>
      <x:c r="O112" s="8" t="n">
        <x:v>0.4598</x:v>
      </x:c>
      <x:c r="P112" s="7" t="n">
        <x:v>227.2</x:v>
      </x:c>
    </x:row>
    <x:row r="113">
      <x:c r="A113" s="5" t="str">
        <x:v>P0086</x:v>
      </x:c>
      <x:c r="B113" s="5" t="str">
        <x:v>Frontier Health 297</x:v>
      </x:c>
      <x:c r="C113" s="5" t="str">
        <x:v>Mid-Market</x:v>
      </x:c>
      <x:c r="D113" s="5" t="str">
        <x:v>US East</x:v>
      </x:c>
      <x:c r="E113" s="5" t="str">
        <x:v>Optimization</x:v>
      </x:c>
      <x:c r="F113" s="5" t="str">
        <x:v>Time and Materials</x:v>
      </x:c>
      <x:c r="G113" s="6" t="n">
        <x:v>45505</x:v>
      </x:c>
      <x:c r="H113" s="6" t="n">
        <x:v>45689</x:v>
      </x:c>
      <x:c r="I113" s="5" t="str">
        <x:v>Completed</x:v>
      </x:c>
      <x:c r="J113" s="7" t="n">
        <x:v>197730.29</x:v>
      </x:c>
      <x:c r="K113" s="7" t="n">
        <x:v>94352.21</x:v>
      </x:c>
      <x:c r="L113" s="7" t="n">
        <x:v>9609.36</x:v>
      </x:c>
      <x:c r="M113" s="7" t="n">
        <x:v>2777.17</x:v>
      </x:c>
      <x:c r="N113" s="7" t="n">
        <x:v>90991.54</x:v>
      </x:c>
      <x:c r="O113" s="8" t="n">
        <x:v>0.4602</x:v>
      </x:c>
      <x:c r="P113" s="7" t="n">
        <x:v>193.83</x:v>
      </x:c>
    </x:row>
    <x:row r="114">
      <x:c r="A114" s="5" t="str">
        <x:v>P0191</x:v>
      </x:c>
      <x:c r="B114" s="5" t="str">
        <x:v>Nova Foods 198</x:v>
      </x:c>
      <x:c r="C114" s="5" t="str">
        <x:v>Enterprise</x:v>
      </x:c>
      <x:c r="D114" s="5" t="str">
        <x:v>Canada</x:v>
      </x:c>
      <x:c r="E114" s="5" t="str">
        <x:v>Implementation</x:v>
      </x:c>
      <x:c r="F114" s="5" t="str">
        <x:v>Time and Materials</x:v>
      </x:c>
      <x:c r="G114" s="6" t="n">
        <x:v>45261</x:v>
      </x:c>
      <x:c r="H114" s="6" t="n">
        <x:v>45597</x:v>
      </x:c>
      <x:c r="I114" s="5" t="str">
        <x:v>Completed</x:v>
      </x:c>
      <x:c r="J114" s="7" t="n">
        <x:v>834689.67</x:v>
      </x:c>
      <x:c r="K114" s="7" t="n">
        <x:v>358485.46</x:v>
      </x:c>
      <x:c r="L114" s="7" t="n">
        <x:v>76772.98</x:v>
      </x:c>
      <x:c r="M114" s="7" t="n">
        <x:v>11853.84</x:v>
      </x:c>
      <x:c r="N114" s="7" t="n">
        <x:v>387577.37</x:v>
      </x:c>
      <x:c r="O114" s="8" t="n">
        <x:v>0.4643</x:v>
      </x:c>
      <x:c r="P114" s="7" t="n">
        <x:v>211.29</x:v>
      </x:c>
    </x:row>
    <x:row r="115">
      <x:c r="A115" s="5" t="str">
        <x:v>P0178</x:v>
      </x:c>
      <x:c r="B115" s="5" t="str">
        <x:v>Northstar Technology 028</x:v>
      </x:c>
      <x:c r="C115" s="5" t="str">
        <x:v>Enterprise</x:v>
      </x:c>
      <x:c r="D115" s="5" t="str">
        <x:v>US East</x:v>
      </x:c>
      <x:c r="E115" s="5" t="str">
        <x:v>Optimization</x:v>
      </x:c>
      <x:c r="F115" s="5" t="str">
        <x:v>Time and Materials</x:v>
      </x:c>
      <x:c r="G115" s="6" t="n">
        <x:v>46113</x:v>
      </x:c>
      <x:c r="H115" s="6" t="n">
        <x:v>46143</x:v>
      </x:c>
      <x:c r="I115" s="5" t="str">
        <x:v>Completed</x:v>
      </x:c>
      <x:c r="J115" s="7" t="n">
        <x:v>654419.07</x:v>
      </x:c>
      <x:c r="K115" s="7" t="n">
        <x:v>290319.71</x:v>
      </x:c>
      <x:c r="L115" s="7" t="n">
        <x:v>53172.31</x:v>
      </x:c>
      <x:c r="M115" s="7" t="n">
        <x:v>6784.03</x:v>
      </x:c>
      <x:c r="N115" s="7" t="n">
        <x:v>304143.02</x:v>
      </x:c>
      <x:c r="O115" s="8" t="n">
        <x:v>0.4648</x:v>
      </x:c>
      <x:c r="P115" s="7" t="n">
        <x:v>217.08</x:v>
      </x:c>
    </x:row>
    <x:row r="116">
      <x:c r="A116" s="5" t="str">
        <x:v>P0020</x:v>
      </x:c>
      <x:c r="B116" s="5" t="str">
        <x:v>Cedar Foods 055</x:v>
      </x:c>
      <x:c r="C116" s="5" t="str">
        <x:v>SMB</x:v>
      </x:c>
      <x:c r="D116" s="5" t="str">
        <x:v>US West</x:v>
      </x:c>
      <x:c r="E116" s="5" t="str">
        <x:v>Optimization</x:v>
      </x:c>
      <x:c r="F116" s="5" t="str">
        <x:v>Fixed Price</x:v>
      </x:c>
      <x:c r="G116" s="6" t="n">
        <x:v>44835</x:v>
      </x:c>
      <x:c r="H116" s="6" t="n">
        <x:v>44958</x:v>
      </x:c>
      <x:c r="I116" s="5" t="str">
        <x:v>Completed</x:v>
      </x:c>
      <x:c r="J116" s="7" t="n">
        <x:v>24718.28</x:v>
      </x:c>
      <x:c r="K116" s="7" t="n">
        <x:v>11578.18</x:v>
      </x:c>
      <x:c r="L116" s="7" t="n">
        <x:v>1334.6</x:v>
      </x:c>
      <x:c r="M116" s="7" t="n">
        <x:v>303.9</x:v>
      </x:c>
      <x:c r="N116" s="7" t="n">
        <x:v>11501.59</x:v>
      </x:c>
      <x:c r="O116" s="8" t="n">
        <x:v>0.4653</x:v>
      </x:c>
      <x:c r="P116" s="7" t="n">
        <x:v>192.81</x:v>
      </x:c>
    </x:row>
    <x:row r="117">
      <x:c r="A117" s="5" t="str">
        <x:v>P0201</x:v>
      </x:c>
      <x:c r="B117" s="5" t="str">
        <x:v>Crescent Technology 094</x:v>
      </x:c>
      <x:c r="C117" s="5" t="str">
        <x:v>Enterprise</x:v>
      </x:c>
      <x:c r="D117" s="5" t="str">
        <x:v>US West</x:v>
      </x:c>
      <x:c r="E117" s="5" t="str">
        <x:v>Implementation</x:v>
      </x:c>
      <x:c r="F117" s="5" t="str">
        <x:v>Time and Materials</x:v>
      </x:c>
      <x:c r="G117" s="6" t="n">
        <x:v>45962</x:v>
      </x:c>
      <x:c r="H117" s="6" t="n">
        <x:v>46204</x:v>
      </x:c>
      <x:c r="I117" s="5" t="str">
        <x:v>In Progress</x:v>
      </x:c>
      <x:c r="J117" s="7" t="n">
        <x:v>1254248.03</x:v>
      </x:c>
      <x:c r="K117" s="7" t="n">
        <x:v>564772.93</x:v>
      </x:c>
      <x:c r="L117" s="7" t="n">
        <x:v>85839.82</x:v>
      </x:c>
      <x:c r="M117" s="7" t="n">
        <x:v>17492.01</x:v>
      </x:c>
      <x:c r="N117" s="7" t="n">
        <x:v>586143.28</x:v>
      </x:c>
      <x:c r="O117" s="8" t="n">
        <x:v>0.4673</x:v>
      </x:c>
      <x:c r="P117" s="7" t="n">
        <x:v>212.23</x:v>
      </x:c>
    </x:row>
    <x:row r="118">
      <x:c r="A118" s="5" t="str">
        <x:v>P0179</x:v>
      </x:c>
      <x:c r="B118" s="5" t="str">
        <x:v>Meridian Foods 010</x:v>
      </x:c>
      <x:c r="C118" s="5" t="str">
        <x:v>SMB</x:v>
      </x:c>
      <x:c r="D118" s="5" t="str">
        <x:v>Canada</x:v>
      </x:c>
      <x:c r="E118" s="5" t="str">
        <x:v>Implementation</x:v>
      </x:c>
      <x:c r="F118" s="5" t="str">
        <x:v>Fixed Price</x:v>
      </x:c>
      <x:c r="G118" s="6" t="n">
        <x:v>45505</x:v>
      </x:c>
      <x:c r="H118" s="6" t="n">
        <x:v>45778</x:v>
      </x:c>
      <x:c r="I118" s="5" t="str">
        <x:v>Completed</x:v>
      </x:c>
      <x:c r="J118" s="7" t="n">
        <x:v>243763.47</x:v>
      </x:c>
      <x:c r="K118" s="7" t="n">
        <x:v>105828.16</x:v>
      </x:c>
      <x:c r="L118" s="7" t="n">
        <x:v>21251.27</x:v>
      </x:c>
      <x:c r="M118" s="7" t="n">
        <x:v>2758.7</x:v>
      </x:c>
      <x:c r="N118" s="7" t="n">
        <x:v>113925.32</x:v>
      </x:c>
      <x:c r="O118" s="8" t="n">
        <x:v>0.4674</x:v>
      </x:c>
      <x:c r="P118" s="7" t="n">
        <x:v>214.98</x:v>
      </x:c>
    </x:row>
    <x:row r="119">
      <x:c r="A119" s="5" t="str">
        <x:v>P0163</x:v>
      </x:c>
      <x:c r="B119" s="5" t="str">
        <x:v>Northstar Technology 028</x:v>
      </x:c>
      <x:c r="C119" s="5" t="str">
        <x:v>Enterprise</x:v>
      </x:c>
      <x:c r="D119" s="5" t="str">
        <x:v>US East</x:v>
      </x:c>
      <x:c r="E119" s="5" t="str">
        <x:v>Optimization</x:v>
      </x:c>
      <x:c r="F119" s="5" t="str">
        <x:v>Fixed Price</x:v>
      </x:c>
      <x:c r="G119" s="6" t="n">
        <x:v>45717</x:v>
      </x:c>
      <x:c r="H119" s="6" t="n">
        <x:v>45748</x:v>
      </x:c>
      <x:c r="I119" s="5" t="str">
        <x:v>Completed</x:v>
      </x:c>
      <x:c r="J119" s="7" t="n">
        <x:v>425918.02</x:v>
      </x:c>
      <x:c r="K119" s="7" t="n">
        <x:v>198032.69</x:v>
      </x:c>
      <x:c r="L119" s="7" t="n">
        <x:v>23210.94</x:v>
      </x:c>
      <x:c r="M119" s="7" t="n">
        <x:v>4149.4</x:v>
      </x:c>
      <x:c r="N119" s="7" t="n">
        <x:v>200524.98</x:v>
      </x:c>
      <x:c r="O119" s="8" t="n">
        <x:v>0.4708</x:v>
      </x:c>
      <x:c r="P119" s="7" t="n">
        <x:v>203.81</x:v>
      </x:c>
    </x:row>
    <x:row r="120">
      <x:c r="A120" s="5" t="str">
        <x:v>P0055</x:v>
      </x:c>
      <x:c r="B120" s="5" t="str">
        <x:v>Silverline Energy 124</x:v>
      </x:c>
      <x:c r="C120" s="5" t="str">
        <x:v>SMB</x:v>
      </x:c>
      <x:c r="D120" s="5" t="str">
        <x:v>US Central</x:v>
      </x:c>
      <x:c r="E120" s="5" t="str">
        <x:v>Optimization</x:v>
      </x:c>
      <x:c r="F120" s="5" t="str">
        <x:v>Time and Materials</x:v>
      </x:c>
      <x:c r="G120" s="6" t="n">
        <x:v>45323</x:v>
      </x:c>
      <x:c r="H120" s="6" t="n">
        <x:v>45474</x:v>
      </x:c>
      <x:c r="I120" s="5" t="str">
        <x:v>Completed</x:v>
      </x:c>
      <x:c r="J120" s="7" t="n">
        <x:v>142721.49</x:v>
      </x:c>
      <x:c r="K120" s="7" t="n">
        <x:v>62805.23</x:v>
      </x:c>
      <x:c r="L120" s="7" t="n">
        <x:v>10733.44</x:v>
      </x:c>
      <x:c r="M120" s="7" t="n">
        <x:v>1752.98</x:v>
      </x:c>
      <x:c r="N120" s="7" t="n">
        <x:v>67429.84</x:v>
      </x:c>
      <x:c r="O120" s="8" t="n">
        <x:v>0.4725</x:v>
      </x:c>
      <x:c r="P120" s="7" t="n">
        <x:v>206.13</x:v>
      </x:c>
    </x:row>
    <x:row r="121">
      <x:c r="A121" s="5" t="str">
        <x:v>P0058</x:v>
      </x:c>
      <x:c r="B121" s="5" t="str">
        <x:v>Crescent Logistics 247</x:v>
      </x:c>
      <x:c r="C121" s="5" t="str">
        <x:v>Enterprise</x:v>
      </x:c>
      <x:c r="D121" s="5" t="str">
        <x:v>US West</x:v>
      </x:c>
      <x:c r="E121" s="5" t="str">
        <x:v>Optimization</x:v>
      </x:c>
      <x:c r="F121" s="5" t="str">
        <x:v>Time and Materials</x:v>
      </x:c>
      <x:c r="G121" s="6" t="n">
        <x:v>45231</x:v>
      </x:c>
      <x:c r="H121" s="6" t="n">
        <x:v>45261</x:v>
      </x:c>
      <x:c r="I121" s="5" t="str">
        <x:v>Completed</x:v>
      </x:c>
      <x:c r="J121" s="7" t="n">
        <x:v>593901.31</x:v>
      </x:c>
      <x:c r="K121" s="7" t="n">
        <x:v>269443.29</x:v>
      </x:c>
      <x:c r="L121" s="7" t="n">
        <x:v>34303.7</x:v>
      </x:c>
      <x:c r="M121" s="7" t="n">
        <x:v>8174.87</x:v>
      </x:c>
      <x:c r="N121" s="7" t="n">
        <x:v>281979.45</x:v>
      </x:c>
      <x:c r="O121" s="8" t="n">
        <x:v>0.4748</x:v>
      </x:c>
      <x:c r="P121" s="7" t="n">
        <x:v>195.35</x:v>
      </x:c>
    </x:row>
    <x:row r="122">
      <x:c r="A122" s="5" t="str">
        <x:v>P0051</x:v>
      </x:c>
      <x:c r="B122" s="5" t="str">
        <x:v>Highland Retail 252</x:v>
      </x:c>
      <x:c r="C122" s="5" t="str">
        <x:v>SMB</x:v>
      </x:c>
      <x:c r="D122" s="5" t="str">
        <x:v>US West</x:v>
      </x:c>
      <x:c r="E122" s="5" t="str">
        <x:v>Implementation</x:v>
      </x:c>
      <x:c r="F122" s="5" t="str">
        <x:v>Time and Materials</x:v>
      </x:c>
      <x:c r="G122" s="6" t="n">
        <x:v>45627</x:v>
      </x:c>
      <x:c r="H122" s="6" t="n">
        <x:v>45778</x:v>
      </x:c>
      <x:c r="I122" s="5" t="str">
        <x:v>Completed</x:v>
      </x:c>
      <x:c r="J122" s="7" t="n">
        <x:v>189243.38</x:v>
      </x:c>
      <x:c r="K122" s="7" t="n">
        <x:v>81215.68</x:v>
      </x:c>
      <x:c r="L122" s="7" t="n">
        <x:v>15260.18</x:v>
      </x:c>
      <x:c r="M122" s="7" t="n">
        <x:v>2370.62</x:v>
      </x:c>
      <x:c r="N122" s="7" t="n">
        <x:v>90396.9</x:v>
      </x:c>
      <x:c r="O122" s="8" t="n">
        <x:v>0.4777</x:v>
      </x:c>
      <x:c r="P122" s="7" t="n">
        <x:v>220.43</x:v>
      </x:c>
    </x:row>
    <x:row r="123">
      <x:c r="A123" s="5" t="str">
        <x:v>P0109</x:v>
      </x:c>
      <x:c r="B123" s="5" t="str">
        <x:v>Nova Insurance 132</x:v>
      </x:c>
      <x:c r="C123" s="5" t="str">
        <x:v>Mid-Market</x:v>
      </x:c>
      <x:c r="D123" s="5" t="str">
        <x:v>Canada</x:v>
      </x:c>
      <x:c r="E123" s="5" t="str">
        <x:v>Optimization</x:v>
      </x:c>
      <x:c r="F123" s="5" t="str">
        <x:v>Time and Materials</x:v>
      </x:c>
      <x:c r="G123" s="6" t="n">
        <x:v>45261</x:v>
      </x:c>
      <x:c r="H123" s="6" t="n">
        <x:v>45292</x:v>
      </x:c>
      <x:c r="I123" s="5" t="str">
        <x:v>Completed</x:v>
      </x:c>
      <x:c r="J123" s="7" t="n">
        <x:v>252626.13</x:v>
      </x:c>
      <x:c r="K123" s="7" t="n">
        <x:v>113914.01</x:v>
      </x:c>
      <x:c r="L123" s="7" t="n">
        <x:v>16046.13</x:v>
      </x:c>
      <x:c r="M123" s="7" t="n">
        <x:v>1307.2</x:v>
      </x:c>
      <x:c r="N123" s="7" t="n">
        <x:v>121358.78</x:v>
      </x:c>
      <x:c r="O123" s="8" t="n">
        <x:v>0.4804</x:v>
      </x:c>
      <x:c r="P123" s="7" t="n">
        <x:v>199.36</x:v>
      </x:c>
    </x:row>
    <x:row r="124">
      <x:c r="A124" s="5" t="str">
        <x:v>P0197</x:v>
      </x:c>
      <x:c r="B124" s="5" t="str">
        <x:v>BrightPath Retail 234</x:v>
      </x:c>
      <x:c r="C124" s="5" t="str">
        <x:v>Mid-Market</x:v>
      </x:c>
      <x:c r="D124" s="5" t="str">
        <x:v>US Central</x:v>
      </x:c>
      <x:c r="E124" s="5" t="str">
        <x:v>Implementation</x:v>
      </x:c>
      <x:c r="F124" s="5" t="str">
        <x:v>Time and Materials</x:v>
      </x:c>
      <x:c r="G124" s="6" t="n">
        <x:v>45505</x:v>
      </x:c>
      <x:c r="H124" s="6" t="n">
        <x:v>45689</x:v>
      </x:c>
      <x:c r="I124" s="5" t="str">
        <x:v>Completed</x:v>
      </x:c>
      <x:c r="J124" s="7" t="n">
        <x:v>555298.44</x:v>
      </x:c>
      <x:c r="K124" s="7" t="n">
        <x:v>234456.58</x:v>
      </x:c>
      <x:c r="L124" s="7" t="n">
        <x:v>45408.16</x:v>
      </x:c>
      <x:c r="M124" s="7" t="n">
        <x:v>8588.22</x:v>
      </x:c>
      <x:c r="N124" s="7" t="n">
        <x:v>266845.49</x:v>
      </x:c>
      <x:c r="O124" s="8" t="n">
        <x:v>0.4805</x:v>
      </x:c>
      <x:c r="P124" s="7" t="n">
        <x:v>218.99</x:v>
      </x:c>
    </x:row>
    <x:row r="125">
      <x:c r="A125" s="5" t="str">
        <x:v>P0107</x:v>
      </x:c>
      <x:c r="B125" s="5" t="str">
        <x:v>Keystone Logistics 099</x:v>
      </x:c>
      <x:c r="C125" s="5" t="str">
        <x:v>SMB</x:v>
      </x:c>
      <x:c r="D125" s="5" t="str">
        <x:v>US West</x:v>
      </x:c>
      <x:c r="E125" s="5" t="str">
        <x:v>Optimization</x:v>
      </x:c>
      <x:c r="F125" s="5" t="str">
        <x:v>Fixed Price</x:v>
      </x:c>
      <x:c r="G125" s="6" t="n">
        <x:v>45809</x:v>
      </x:c>
      <x:c r="H125" s="6" t="n">
        <x:v>45931</x:v>
      </x:c>
      <x:c r="I125" s="5" t="str">
        <x:v>Completed</x:v>
      </x:c>
      <x:c r="J125" s="7" t="n">
        <x:v>97694.17</x:v>
      </x:c>
      <x:c r="K125" s="7" t="n">
        <x:v>44894.76</x:v>
      </x:c>
      <x:c r="L125" s="7" t="n">
        <x:v>4473.59</x:v>
      </x:c>
      <x:c r="M125" s="7" t="n">
        <x:v>1279.21</x:v>
      </x:c>
      <x:c r="N125" s="7" t="n">
        <x:v>47046.62</x:v>
      </x:c>
      <x:c r="O125" s="8" t="n">
        <x:v>0.4816</x:v>
      </x:c>
      <x:c r="P125" s="7" t="n">
        <x:v>203.66</x:v>
      </x:c>
    </x:row>
    <x:row r="126">
      <x:c r="A126" s="5" t="str">
        <x:v>P0120</x:v>
      </x:c>
      <x:c r="B126" s="5" t="str">
        <x:v>Lakeview Financial 212</x:v>
      </x:c>
      <x:c r="C126" s="5" t="str">
        <x:v>SMB</x:v>
      </x:c>
      <x:c r="D126" s="5" t="str">
        <x:v>US Central</x:v>
      </x:c>
      <x:c r="E126" s="5" t="str">
        <x:v>Implementation</x:v>
      </x:c>
      <x:c r="F126" s="5" t="str">
        <x:v>Time and Materials</x:v>
      </x:c>
      <x:c r="G126" s="6" t="n">
        <x:v>45352</x:v>
      </x:c>
      <x:c r="H126" s="6" t="n">
        <x:v>45474</x:v>
      </x:c>
      <x:c r="I126" s="5" t="str">
        <x:v>Completed</x:v>
      </x:c>
      <x:c r="J126" s="7" t="n">
        <x:v>79303.81</x:v>
      </x:c>
      <x:c r="K126" s="7" t="n">
        <x:v>32802.51</x:v>
      </x:c>
      <x:c r="L126" s="7" t="n">
        <x:v>7324.51</x:v>
      </x:c>
      <x:c r="M126" s="7" t="n">
        <x:v>823.04</x:v>
      </x:c>
      <x:c r="N126" s="7" t="n">
        <x:v>38353.75</x:v>
      </x:c>
      <x:c r="O126" s="8" t="n">
        <x:v>0.4836</x:v>
      </x:c>
      <x:c r="P126" s="7" t="n">
        <x:v>219.31</x:v>
      </x:c>
    </x:row>
    <x:row r="127">
      <x:c r="A127" s="5" t="str">
        <x:v>P0108</x:v>
      </x:c>
      <x:c r="B127" s="5" t="str">
        <x:v>Vantage Foods 292</x:v>
      </x:c>
      <x:c r="C127" s="5" t="str">
        <x:v>Mid-Market</x:v>
      </x:c>
      <x:c r="D127" s="5" t="str">
        <x:v>Canada</x:v>
      </x:c>
      <x:c r="E127" s="5" t="str">
        <x:v>Implementation</x:v>
      </x:c>
      <x:c r="F127" s="5" t="str">
        <x:v>Time and Materials</x:v>
      </x:c>
      <x:c r="G127" s="6" t="n">
        <x:v>45566</x:v>
      </x:c>
      <x:c r="H127" s="6" t="n">
        <x:v>45717</x:v>
      </x:c>
      <x:c r="I127" s="5" t="str">
        <x:v>Completed</x:v>
      </x:c>
      <x:c r="J127" s="7" t="n">
        <x:v>373847.85</x:v>
      </x:c>
      <x:c r="K127" s="7" t="n">
        <x:v>158231.47</x:v>
      </x:c>
      <x:c r="L127" s="7" t="n">
        <x:v>30498.21</x:v>
      </x:c>
      <x:c r="M127" s="7" t="n">
        <x:v>3866.82</x:v>
      </x:c>
      <x:c r="N127" s="7" t="n">
        <x:v>181251.35</x:v>
      </x:c>
      <x:c r="O127" s="8" t="n">
        <x:v>0.4848</x:v>
      </x:c>
      <x:c r="P127" s="7" t="n">
        <x:v>220.79</x:v>
      </x:c>
    </x:row>
    <x:row r="128">
      <x:c r="A128" s="5" t="str">
        <x:v>P0123</x:v>
      </x:c>
      <x:c r="B128" s="5" t="str">
        <x:v>Highland Manufacturing 106</x:v>
      </x:c>
      <x:c r="C128" s="5" t="str">
        <x:v>Enterprise</x:v>
      </x:c>
      <x:c r="D128" s="5" t="str">
        <x:v>US East</x:v>
      </x:c>
      <x:c r="E128" s="5" t="str">
        <x:v>Implementation</x:v>
      </x:c>
      <x:c r="F128" s="5" t="str">
        <x:v>Fixed Price</x:v>
      </x:c>
      <x:c r="G128" s="6" t="n">
        <x:v>45901</x:v>
      </x:c>
      <x:c r="H128" s="6" t="n">
        <x:v>45992</x:v>
      </x:c>
      <x:c r="I128" s="5" t="str">
        <x:v>Completed</x:v>
      </x:c>
      <x:c r="J128" s="7" t="n">
        <x:v>1312180.46</x:v>
      </x:c>
      <x:c r="K128" s="7" t="n">
        <x:v>581674.72</x:v>
      </x:c>
      <x:c r="L128" s="7" t="n">
        <x:v>81395.69</x:v>
      </x:c>
      <x:c r="M128" s="7" t="n">
        <x:v>12501.57</x:v>
      </x:c>
      <x:c r="N128" s="7" t="n">
        <x:v>636608.48</x:v>
      </x:c>
      <x:c r="O128" s="8" t="n">
        <x:v>0.4852</x:v>
      </x:c>
      <x:c r="P128" s="7" t="n">
        <x:v>211.23</x:v>
      </x:c>
    </x:row>
    <x:row r="129">
      <x:c r="A129" s="5" t="str">
        <x:v>P0198</x:v>
      </x:c>
      <x:c r="B129" s="5" t="str">
        <x:v>Evergreen Media 289</x:v>
      </x:c>
      <x:c r="C129" s="5" t="str">
        <x:v>Mid-Market</x:v>
      </x:c>
      <x:c r="D129" s="5" t="str">
        <x:v>Canada</x:v>
      </x:c>
      <x:c r="E129" s="5" t="str">
        <x:v>Optimization</x:v>
      </x:c>
      <x:c r="F129" s="5" t="str">
        <x:v>Fixed Price</x:v>
      </x:c>
      <x:c r="G129" s="6" t="n">
        <x:v>45292</x:v>
      </x:c>
      <x:c r="H129" s="6" t="n">
        <x:v>45352</x:v>
      </x:c>
      <x:c r="I129" s="5" t="str">
        <x:v>Completed</x:v>
      </x:c>
      <x:c r="J129" s="7" t="n">
        <x:v>184165.36</x:v>
      </x:c>
      <x:c r="K129" s="7" t="n">
        <x:v>80957.1</x:v>
      </x:c>
      <x:c r="L129" s="7" t="n">
        <x:v>10487.38</x:v>
      </x:c>
      <x:c r="M129" s="7" t="n">
        <x:v>2842.18</x:v>
      </x:c>
      <x:c r="N129" s="7" t="n">
        <x:v>89878.7</x:v>
      </x:c>
      <x:c r="O129" s="8" t="n">
        <x:v>0.488</x:v>
      </x:c>
      <x:c r="P129" s="7" t="n">
        <x:v>207.11</x:v>
      </x:c>
    </x:row>
    <x:row r="130">
      <x:c r="A130" s="5" t="str">
        <x:v>P0213</x:v>
      </x:c>
      <x:c r="B130" s="5" t="str">
        <x:v>BluePeak Logistics 184</x:v>
      </x:c>
      <x:c r="C130" s="5" t="str">
        <x:v>Mid-Market</x:v>
      </x:c>
      <x:c r="D130" s="5" t="str">
        <x:v>Canada</x:v>
      </x:c>
      <x:c r="E130" s="5" t="str">
        <x:v>Training</x:v>
      </x:c>
      <x:c r="F130" s="5" t="str">
        <x:v>Fixed Price</x:v>
      </x:c>
      <x:c r="G130" s="6" t="n">
        <x:v>45139</x:v>
      </x:c>
      <x:c r="H130" s="6" t="n">
        <x:v>45170</x:v>
      </x:c>
      <x:c r="I130" s="5" t="str">
        <x:v>Completed</x:v>
      </x:c>
      <x:c r="J130" s="7" t="n">
        <x:v>41290.46</x:v>
      </x:c>
      <x:c r="K130" s="7" t="n">
        <x:v>19348.55</x:v>
      </x:c>
      <x:c r="L130" s="7" t="n">
        <x:v>878.46</x:v>
      </x:c>
      <x:c r="M130" s="7" t="n">
        <x:v>908.4</x:v>
      </x:c>
      <x:c r="N130" s="7" t="n">
        <x:v>20155.07</x:v>
      </x:c>
      <x:c r="O130" s="8" t="n">
        <x:v>0.4881</x:v>
      </x:c>
      <x:c r="P130" s="7" t="n">
        <x:v>189.23</x:v>
      </x:c>
    </x:row>
    <x:row r="131">
      <x:c r="A131" s="5" t="str">
        <x:v>P0122</x:v>
      </x:c>
      <x:c r="B131" s="5" t="str">
        <x:v>Lakeview Energy 191</x:v>
      </x:c>
      <x:c r="C131" s="5" t="str">
        <x:v>SMB</x:v>
      </x:c>
      <x:c r="D131" s="5" t="str">
        <x:v>US Central</x:v>
      </x:c>
      <x:c r="E131" s="5" t="str">
        <x:v>Optimization</x:v>
      </x:c>
      <x:c r="F131" s="5" t="str">
        <x:v>Fixed Price</x:v>
      </x:c>
      <x:c r="G131" s="6" t="n">
        <x:v>45717</x:v>
      </x:c>
      <x:c r="H131" s="6" t="n">
        <x:v>45809</x:v>
      </x:c>
      <x:c r="I131" s="5" t="str">
        <x:v>Completed</x:v>
      </x:c>
      <x:c r="J131" s="7" t="n">
        <x:v>111549.3</x:v>
      </x:c>
      <x:c r="K131" s="7" t="n">
        <x:v>48188.22</x:v>
      </x:c>
      <x:c r="L131" s="7" t="n">
        <x:v>7163.2</x:v>
      </x:c>
      <x:c r="M131" s="7" t="n">
        <x:v>1316.05</x:v>
      </x:c>
      <x:c r="N131" s="7" t="n">
        <x:v>54881.84</x:v>
      </x:c>
      <x:c r="O131" s="8" t="n">
        <x:v>0.492</x:v>
      </x:c>
      <x:c r="P131" s="7" t="n">
        <x:v>218.51</x:v>
      </x:c>
    </x:row>
    <x:row r="132">
      <x:c r="A132" s="5" t="str">
        <x:v>P0206</x:v>
      </x:c>
      <x:c r="B132" s="5" t="str">
        <x:v>Crescent Technology 285</x:v>
      </x:c>
      <x:c r="C132" s="5" t="str">
        <x:v>Mid-Market</x:v>
      </x:c>
      <x:c r="D132" s="5" t="str">
        <x:v>US Central</x:v>
      </x:c>
      <x:c r="E132" s="5" t="str">
        <x:v>Optimization</x:v>
      </x:c>
      <x:c r="F132" s="5" t="str">
        <x:v>Time and Materials</x:v>
      </x:c>
      <x:c r="G132" s="6" t="n">
        <x:v>45809</x:v>
      </x:c>
      <x:c r="H132" s="6" t="n">
        <x:v>45931</x:v>
      </x:c>
      <x:c r="I132" s="5" t="str">
        <x:v>Completed</x:v>
      </x:c>
      <x:c r="J132" s="7" t="n">
        <x:v>312236.05</x:v>
      </x:c>
      <x:c r="K132" s="7" t="n">
        <x:v>135549.89</x:v>
      </x:c>
      <x:c r="L132" s="7" t="n">
        <x:v>18946.83</x:v>
      </x:c>
      <x:c r="M132" s="7" t="n">
        <x:v>4022.32</x:v>
      </x:c>
      <x:c r="N132" s="7" t="n">
        <x:v>153716.99</x:v>
      </x:c>
      <x:c r="O132" s="8" t="n">
        <x:v>0.4923</x:v>
      </x:c>
      <x:c r="P132" s="7" t="n">
        <x:v>215.86</x:v>
      </x:c>
    </x:row>
    <x:row r="133">
      <x:c r="A133" s="5" t="str">
        <x:v>P0215</x:v>
      </x:c>
      <x:c r="B133" s="5" t="str">
        <x:v>Frontier Technology 296</x:v>
      </x:c>
      <x:c r="C133" s="5" t="str">
        <x:v>Mid-Market</x:v>
      </x:c>
      <x:c r="D133" s="5" t="str">
        <x:v>US Central</x:v>
      </x:c>
      <x:c r="E133" s="5" t="str">
        <x:v>Optimization</x:v>
      </x:c>
      <x:c r="F133" s="5" t="str">
        <x:v>Time and Materials</x:v>
      </x:c>
      <x:c r="G133" s="6" t="n">
        <x:v>45809</x:v>
      </x:c>
      <x:c r="H133" s="6" t="n">
        <x:v>45870</x:v>
      </x:c>
      <x:c r="I133" s="5" t="str">
        <x:v>Completed</x:v>
      </x:c>
      <x:c r="J133" s="7" t="n">
        <x:v>331366.54</x:v>
      </x:c>
      <x:c r="K133" s="7" t="n">
        <x:v>148755.27</x:v>
      </x:c>
      <x:c r="L133" s="7" t="n">
        <x:v>14373.11</x:v>
      </x:c>
      <x:c r="M133" s="7" t="n">
        <x:v>4906.36</x:v>
      </x:c>
      <x:c r="N133" s="7" t="n">
        <x:v>163331.79</x:v>
      </x:c>
      <x:c r="O133" s="8" t="n">
        <x:v>0.4929</x:v>
      </x:c>
      <x:c r="P133" s="7" t="n">
        <x:v>208.93</x:v>
      </x:c>
    </x:row>
    <x:row r="134">
      <x:c r="A134" s="5" t="str">
        <x:v>P0185</x:v>
      </x:c>
      <x:c r="B134" s="5" t="str">
        <x:v>Oakridge Mobility 213</x:v>
      </x:c>
      <x:c r="C134" s="5" t="str">
        <x:v>Mid-Market</x:v>
      </x:c>
      <x:c r="D134" s="5" t="str">
        <x:v>US West</x:v>
      </x:c>
      <x:c r="E134" s="5" t="str">
        <x:v>Implementation</x:v>
      </x:c>
      <x:c r="F134" s="5" t="str">
        <x:v>Time and Materials</x:v>
      </x:c>
      <x:c r="G134" s="6" t="n">
        <x:v>45962</x:v>
      </x:c>
      <x:c r="H134" s="6" t="n">
        <x:v>46235</x:v>
      </x:c>
      <x:c r="I134" s="5" t="str">
        <x:v>In Progress</x:v>
      </x:c>
      <x:c r="J134" s="7" t="n">
        <x:v>420049.9</x:v>
      </x:c>
      <x:c r="K134" s="7" t="n">
        <x:v>166232.8</x:v>
      </x:c>
      <x:c r="L134" s="7" t="n">
        <x:v>42466.98</x:v>
      </x:c>
      <x:c r="M134" s="7" t="n">
        <x:v>3811.51</x:v>
      </x:c>
      <x:c r="N134" s="7" t="n">
        <x:v>207538.59</x:v>
      </x:c>
      <x:c r="O134" s="8" t="n">
        <x:v>0.4941</x:v>
      </x:c>
      <x:c r="P134" s="7" t="n">
        <x:v>241.49</x:v>
      </x:c>
    </x:row>
    <x:row r="135">
      <x:c r="A135" s="5" t="str">
        <x:v>P0118</x:v>
      </x:c>
      <x:c r="B135" s="5" t="str">
        <x:v>BrightPath Retail 282</x:v>
      </x:c>
      <x:c r="C135" s="5" t="str">
        <x:v>Mid-Market</x:v>
      </x:c>
      <x:c r="D135" s="5" t="str">
        <x:v>US West</x:v>
      </x:c>
      <x:c r="E135" s="5" t="str">
        <x:v>Managed Services</x:v>
      </x:c>
      <x:c r="F135" s="5" t="str">
        <x:v>Fixed Price</x:v>
      </x:c>
      <x:c r="G135" s="6" t="n">
        <x:v>45139</x:v>
      </x:c>
      <x:c r="H135" s="6" t="n">
        <x:v>45292</x:v>
      </x:c>
      <x:c r="I135" s="5" t="str">
        <x:v>Completed</x:v>
      </x:c>
      <x:c r="J135" s="7" t="n">
        <x:v>320258.8</x:v>
      </x:c>
      <x:c r="K135" s="7" t="n">
        <x:v>146801.28</x:v>
      </x:c>
      <x:c r="L135" s="7" t="n">
        <x:v>10113.98</x:v>
      </x:c>
      <x:c r="M135" s="7" t="n">
        <x:v>3172.91</x:v>
      </x:c>
      <x:c r="N135" s="7" t="n">
        <x:v>160170.64</x:v>
      </x:c>
      <x:c r="O135" s="8" t="n">
        <x:v>0.5001</x:v>
      </x:c>
      <x:c r="P135" s="7" t="n">
        <x:v>194.47</x:v>
      </x:c>
    </x:row>
    <x:row r="136">
      <x:c r="A136" s="5" t="str">
        <x:v>P0220</x:v>
      </x:c>
      <x:c r="B136" s="5" t="str">
        <x:v>Silverline Education 169</x:v>
      </x:c>
      <x:c r="C136" s="5" t="str">
        <x:v>Enterprise</x:v>
      </x:c>
      <x:c r="D136" s="5" t="str">
        <x:v>US East</x:v>
      </x:c>
      <x:c r="E136" s="5" t="str">
        <x:v>Managed Services</x:v>
      </x:c>
      <x:c r="F136" s="5" t="str">
        <x:v>Fixed Price</x:v>
      </x:c>
      <x:c r="G136" s="6" t="n">
        <x:v>45962</x:v>
      </x:c>
      <x:c r="H136" s="6" t="n">
        <x:v>46143</x:v>
      </x:c>
      <x:c r="I136" s="5" t="str">
        <x:v>Completed</x:v>
      </x:c>
      <x:c r="J136" s="7" t="n">
        <x:v>572847.65</x:v>
      </x:c>
      <x:c r="K136" s="7" t="n">
        <x:v>260340.51</x:v>
      </x:c>
      <x:c r="L136" s="7" t="n">
        <x:v>18209.42</x:v>
      </x:c>
      <x:c r="M136" s="7" t="n">
        <x:v>7226.92</x:v>
      </x:c>
      <x:c r="N136" s="7" t="n">
        <x:v>287070.8</x:v>
      </x:c>
      <x:c r="O136" s="8" t="n">
        <x:v>0.5011</x:v>
      </x:c>
      <x:c r="P136" s="7" t="n">
        <x:v>209.96</x:v>
      </x:c>
    </x:row>
    <x:row r="137">
      <x:c r="A137" s="5" t="str">
        <x:v>P0200</x:v>
      </x:c>
      <x:c r="B137" s="5" t="str">
        <x:v>BluePeak Education 100</x:v>
      </x:c>
      <x:c r="C137" s="5" t="str">
        <x:v>SMB</x:v>
      </x:c>
      <x:c r="D137" s="5" t="str">
        <x:v>US West</x:v>
      </x:c>
      <x:c r="E137" s="5" t="str">
        <x:v>Optimization</x:v>
      </x:c>
      <x:c r="F137" s="5" t="str">
        <x:v>Time and Materials</x:v>
      </x:c>
      <x:c r="G137" s="6" t="n">
        <x:v>46113</x:v>
      </x:c>
      <x:c r="H137" s="6" t="n">
        <x:v>46296</x:v>
      </x:c>
      <x:c r="I137" s="5" t="str">
        <x:v>In Progress</x:v>
      </x:c>
      <x:c r="J137" s="7" t="n">
        <x:v>59626.45</x:v>
      </x:c>
      <x:c r="K137" s="7" t="n">
        <x:v>26359.4</x:v>
      </x:c>
      <x:c r="L137" s="7" t="n">
        <x:v>2869.57</x:v>
      </x:c>
      <x:c r="M137" s="7" t="n">
        <x:v>301.48</x:v>
      </x:c>
      <x:c r="N137" s="7" t="n">
        <x:v>30095.98</x:v>
      </x:c>
      <x:c r="O137" s="8" t="n">
        <x:v>0.5047</x:v>
      </x:c>
      <x:c r="P137" s="7" t="n">
        <x:v>218.01</x:v>
      </x:c>
    </x:row>
    <x:row r="138">
      <x:c r="A138" s="5" t="str">
        <x:v>P0188</x:v>
      </x:c>
      <x:c r="B138" s="5" t="str">
        <x:v>Lakeview Retail 006</x:v>
      </x:c>
      <x:c r="C138" s="5" t="str">
        <x:v>Mid-Market</x:v>
      </x:c>
      <x:c r="D138" s="5" t="str">
        <x:v>US West</x:v>
      </x:c>
      <x:c r="E138" s="5" t="str">
        <x:v>Optimization</x:v>
      </x:c>
      <x:c r="F138" s="5" t="str">
        <x:v>Time and Materials</x:v>
      </x:c>
      <x:c r="G138" s="6" t="n">
        <x:v>45717</x:v>
      </x:c>
      <x:c r="H138" s="6" t="n">
        <x:v>45778</x:v>
      </x:c>
      <x:c r="I138" s="5" t="str">
        <x:v>Completed</x:v>
      </x:c>
      <x:c r="J138" s="7" t="n">
        <x:v>268576.91</x:v>
      </x:c>
      <x:c r="K138" s="7" t="n">
        <x:v>117905.23</x:v>
      </x:c>
      <x:c r="L138" s="7" t="n">
        <x:v>10768.73</x:v>
      </x:c>
      <x:c r="M138" s="7" t="n">
        <x:v>3630.37</x:v>
      </x:c>
      <x:c r="N138" s="7" t="n">
        <x:v>136272.58</x:v>
      </x:c>
      <x:c r="O138" s="8" t="n">
        <x:v>0.5074</x:v>
      </x:c>
      <x:c r="P138" s="7" t="n">
        <x:v>215.29</x:v>
      </x:c>
    </x:row>
    <x:row r="139">
      <x:c r="A139" s="5" t="str">
        <x:v>P0145</x:v>
      </x:c>
      <x:c r="B139" s="5" t="str">
        <x:v>Highland Manufacturing 015</x:v>
      </x:c>
      <x:c r="C139" s="5" t="str">
        <x:v>SMB</x:v>
      </x:c>
      <x:c r="D139" s="5" t="str">
        <x:v>US East</x:v>
      </x:c>
      <x:c r="E139" s="5" t="str">
        <x:v>Implementation</x:v>
      </x:c>
      <x:c r="F139" s="5" t="str">
        <x:v>Fixed Price</x:v>
      </x:c>
      <x:c r="G139" s="6" t="n">
        <x:v>44986</x:v>
      </x:c>
      <x:c r="H139" s="6" t="n">
        <x:v>45078</x:v>
      </x:c>
      <x:c r="I139" s="5" t="str">
        <x:v>Completed</x:v>
      </x:c>
      <x:c r="J139" s="7" t="n">
        <x:v>107271.74</x:v>
      </x:c>
      <x:c r="K139" s="7" t="n">
        <x:v>41272.81</x:v>
      </x:c>
      <x:c r="L139" s="7" t="n">
        <x:v>10108.96</x:v>
      </x:c>
      <x:c r="M139" s="7" t="n">
        <x:v>1435.8</x:v>
      </x:c>
      <x:c r="N139" s="7" t="n">
        <x:v>54454.19</x:v>
      </x:c>
      <x:c r="O139" s="8" t="n">
        <x:v>0.5076</x:v>
      </x:c>
      <x:c r="P139" s="7" t="n">
        <x:v>234.83</x:v>
      </x:c>
    </x:row>
    <x:row r="140">
      <x:c r="A140" s="5" t="str">
        <x:v>P0014</x:v>
      </x:c>
      <x:c r="B140" s="5" t="str">
        <x:v>Crescent Insurance 104</x:v>
      </x:c>
      <x:c r="C140" s="5" t="str">
        <x:v>SMB</x:v>
      </x:c>
      <x:c r="D140" s="5" t="str">
        <x:v>US East</x:v>
      </x:c>
      <x:c r="E140" s="5" t="str">
        <x:v>Optimization</x:v>
      </x:c>
      <x:c r="F140" s="5" t="str">
        <x:v>Time and Materials</x:v>
      </x:c>
      <x:c r="G140" s="6" t="n">
        <x:v>44835</x:v>
      </x:c>
      <x:c r="H140" s="6" t="n">
        <x:v>45017</x:v>
      </x:c>
      <x:c r="I140" s="5" t="str">
        <x:v>Completed</x:v>
      </x:c>
      <x:c r="J140" s="7" t="n">
        <x:v>32589.39</x:v>
      </x:c>
      <x:c r="K140" s="7" t="n">
        <x:v>13120.95</x:v>
      </x:c>
      <x:c r="L140" s="7" t="n">
        <x:v>2484.22</x:v>
      </x:c>
      <x:c r="M140" s="7" t="n">
        <x:v>385.35</x:v>
      </x:c>
      <x:c r="N140" s="7" t="n">
        <x:v>16598.87</x:v>
      </x:c>
      <x:c r="O140" s="8" t="n">
        <x:v>0.5093</x:v>
      </x:c>
      <x:c r="P140" s="7" t="n">
        <x:v>224.44</x:v>
      </x:c>
    </x:row>
    <x:row r="141">
      <x:c r="A141" s="5" t="str">
        <x:v>P0131</x:v>
      </x:c>
      <x:c r="B141" s="5" t="str">
        <x:v>Nova Logistics 294</x:v>
      </x:c>
      <x:c r="C141" s="5" t="str">
        <x:v>Enterprise</x:v>
      </x:c>
      <x:c r="D141" s="5" t="str">
        <x:v>US East</x:v>
      </x:c>
      <x:c r="E141" s="5" t="str">
        <x:v>Optimization</x:v>
      </x:c>
      <x:c r="F141" s="5" t="str">
        <x:v>Time and Materials</x:v>
      </x:c>
      <x:c r="G141" s="6" t="n">
        <x:v>45901</x:v>
      </x:c>
      <x:c r="H141" s="6" t="n">
        <x:v>45962</x:v>
      </x:c>
      <x:c r="I141" s="5" t="str">
        <x:v>Completed</x:v>
      </x:c>
      <x:c r="J141" s="7" t="n">
        <x:v>603285.11</x:v>
      </x:c>
      <x:c r="K141" s="7" t="n">
        <x:v>254281.13</x:v>
      </x:c>
      <x:c r="L141" s="7" t="n">
        <x:v>37006.81</x:v>
      </x:c>
      <x:c r="M141" s="7" t="n">
        <x:v>4755.3</x:v>
      </x:c>
      <x:c r="N141" s="7" t="n">
        <x:v>307241.88</x:v>
      </x:c>
      <x:c r="O141" s="8" t="n">
        <x:v>0.5093</x:v>
      </x:c>
      <x:c r="P141" s="7" t="n">
        <x:v>222.11</x:v>
      </x:c>
    </x:row>
    <x:row r="142">
      <x:c r="A142" s="5" t="str">
        <x:v>P0027</x:v>
      </x:c>
      <x:c r="B142" s="5" t="str">
        <x:v>Stonegate Logistics 065</x:v>
      </x:c>
      <x:c r="C142" s="5" t="str">
        <x:v>SMB</x:v>
      </x:c>
      <x:c r="D142" s="5" t="str">
        <x:v>US West</x:v>
      </x:c>
      <x:c r="E142" s="5" t="str">
        <x:v>Optimization</x:v>
      </x:c>
      <x:c r="F142" s="5" t="str">
        <x:v>Time and Materials</x:v>
      </x:c>
      <x:c r="G142" s="6" t="n">
        <x:v>44866</x:v>
      </x:c>
      <x:c r="H142" s="6" t="n">
        <x:v>44986</x:v>
      </x:c>
      <x:c r="I142" s="5" t="str">
        <x:v>Completed</x:v>
      </x:c>
      <x:c r="J142" s="7" t="n">
        <x:v>45723.96</x:v>
      </x:c>
      <x:c r="K142" s="7" t="n">
        <x:v>19732.73</x:v>
      </x:c>
      <x:c r="L142" s="7" t="n">
        <x:v>2200.2</x:v>
      </x:c>
      <x:c r="M142" s="7" t="n">
        <x:v>496.91</x:v>
      </x:c>
      <x:c r="N142" s="7" t="n">
        <x:v>23294.12</x:v>
      </x:c>
      <x:c r="O142" s="8" t="n">
        <x:v>0.5095</x:v>
      </x:c>
      <x:c r="P142" s="7" t="n">
        <x:v>209.45</x:v>
      </x:c>
    </x:row>
    <x:row r="143">
      <x:c r="A143" s="5" t="str">
        <x:v>P0022</x:v>
      </x:c>
      <x:c r="B143" s="5" t="str">
        <x:v>Highland Technology 276</x:v>
      </x:c>
      <x:c r="C143" s="5" t="str">
        <x:v>SMB</x:v>
      </x:c>
      <x:c r="D143" s="5" t="str">
        <x:v>US East</x:v>
      </x:c>
      <x:c r="E143" s="5" t="str">
        <x:v>Managed Services</x:v>
      </x:c>
      <x:c r="F143" s="5" t="str">
        <x:v>Fixed Price</x:v>
      </x:c>
      <x:c r="G143" s="6" t="n">
        <x:v>44805</x:v>
      </x:c>
      <x:c r="H143" s="6" t="n">
        <x:v>45139</x:v>
      </x:c>
      <x:c r="I143" s="5" t="str">
        <x:v>Completed</x:v>
      </x:c>
      <x:c r="J143" s="7" t="n">
        <x:v>31200.45</x:v>
      </x:c>
      <x:c r="K143" s="7" t="n">
        <x:v>14031.24</x:v>
      </x:c>
      <x:c r="L143" s="7" t="n">
        <x:v>846.79</x:v>
      </x:c>
      <x:c r="M143" s="7" t="n">
        <x:v>418.15</x:v>
      </x:c>
      <x:c r="N143" s="7" t="n">
        <x:v>15904.25</x:v>
      </x:c>
      <x:c r="O143" s="8" t="n">
        <x:v>0.5097</x:v>
      </x:c>
      <x:c r="P143" s="7" t="n">
        <x:v>200.52</x:v>
      </x:c>
    </x:row>
    <x:row r="144">
      <x:c r="A144" s="5" t="str">
        <x:v>P0061</x:v>
      </x:c>
      <x:c r="B144" s="5" t="str">
        <x:v>Meridian Retail 229</x:v>
      </x:c>
      <x:c r="C144" s="5" t="str">
        <x:v>Enterprise</x:v>
      </x:c>
      <x:c r="D144" s="5" t="str">
        <x:v>US East</x:v>
      </x:c>
      <x:c r="E144" s="5" t="str">
        <x:v>Optimization</x:v>
      </x:c>
      <x:c r="F144" s="5" t="str">
        <x:v>Time and Materials</x:v>
      </x:c>
      <x:c r="G144" s="6" t="n">
        <x:v>45200</x:v>
      </x:c>
      <x:c r="H144" s="6" t="n">
        <x:v>45261</x:v>
      </x:c>
      <x:c r="I144" s="5" t="str">
        <x:v>Completed</x:v>
      </x:c>
      <x:c r="J144" s="7" t="n">
        <x:v>380565.25</x:v>
      </x:c>
      <x:c r="K144" s="7" t="n">
        <x:v>151526.5</x:v>
      </x:c>
      <x:c r="L144" s="7" t="n">
        <x:v>27593.14</x:v>
      </x:c>
      <x:c r="M144" s="7" t="n">
        <x:v>7385.71</x:v>
      </x:c>
      <x:c r="N144" s="7" t="n">
        <x:v>194059.9</x:v>
      </x:c>
      <x:c r="O144" s="8" t="n">
        <x:v>0.5099</x:v>
      </x:c>
      <x:c r="P144" s="7" t="n">
        <x:v>223.18</x:v>
      </x:c>
    </x:row>
    <x:row r="145">
      <x:c r="A145" s="5" t="str">
        <x:v>P0147</x:v>
      </x:c>
      <x:c r="B145" s="5" t="str">
        <x:v>Cedar Financial 049</x:v>
      </x:c>
      <x:c r="C145" s="5" t="str">
        <x:v>Mid-Market</x:v>
      </x:c>
      <x:c r="D145" s="5" t="str">
        <x:v>Canada</x:v>
      </x:c>
      <x:c r="E145" s="5" t="str">
        <x:v>Optimization</x:v>
      </x:c>
      <x:c r="F145" s="5" t="str">
        <x:v>Time and Materials</x:v>
      </x:c>
      <x:c r="G145" s="6" t="n">
        <x:v>45261</x:v>
      </x:c>
      <x:c r="H145" s="6" t="n">
        <x:v>45383</x:v>
      </x:c>
      <x:c r="I145" s="5" t="str">
        <x:v>Completed</x:v>
      </x:c>
      <x:c r="J145" s="7" t="n">
        <x:v>156216.26</x:v>
      </x:c>
      <x:c r="K145" s="7" t="n">
        <x:v>66101.41</x:v>
      </x:c>
      <x:c r="L145" s="7" t="n">
        <x:v>8097.9</x:v>
      </x:c>
      <x:c r="M145" s="7" t="n">
        <x:v>2047.2</x:v>
      </x:c>
      <x:c r="N145" s="7" t="n">
        <x:v>79969.77</x:v>
      </x:c>
      <x:c r="O145" s="8" t="n">
        <x:v>0.5119</x:v>
      </x:c>
      <x:c r="P145" s="7" t="n">
        <x:v>214.26</x:v>
      </x:c>
    </x:row>
    <x:row r="146">
      <x:c r="A146" s="5" t="str">
        <x:v>P0040</x:v>
      </x:c>
      <x:c r="B146" s="5" t="str">
        <x:v>Keystone Retail 007</x:v>
      </x:c>
      <x:c r="C146" s="5" t="str">
        <x:v>Mid-Market</x:v>
      </x:c>
      <x:c r="D146" s="5" t="str">
        <x:v>US West</x:v>
      </x:c>
      <x:c r="E146" s="5" t="str">
        <x:v>Optimization</x:v>
      </x:c>
      <x:c r="F146" s="5" t="str">
        <x:v>Fixed Price</x:v>
      </x:c>
      <x:c r="G146" s="6" t="n">
        <x:v>45809</x:v>
      </x:c>
      <x:c r="H146" s="6" t="n">
        <x:v>45992</x:v>
      </x:c>
      <x:c r="I146" s="5" t="str">
        <x:v>Completed</x:v>
      </x:c>
      <x:c r="J146" s="7" t="n">
        <x:v>175258.04</x:v>
      </x:c>
      <x:c r="K146" s="7" t="n">
        <x:v>71486.33</x:v>
      </x:c>
      <x:c r="L146" s="7" t="n">
        <x:v>11434.55</x:v>
      </x:c>
      <x:c r="M146" s="7" t="n">
        <x:v>2513.35</x:v>
      </x:c>
      <x:c r="N146" s="7" t="n">
        <x:v>89823.83</x:v>
      </x:c>
      <x:c r="O146" s="8" t="n">
        <x:v>0.5125</x:v>
      </x:c>
      <x:c r="P146" s="7" t="n">
        <x:v>229.43</x:v>
      </x:c>
    </x:row>
    <x:row r="147">
      <x:c r="A147" s="5" t="str">
        <x:v>P0160</x:v>
      </x:c>
      <x:c r="B147" s="5" t="str">
        <x:v>Summit Education 182</x:v>
      </x:c>
      <x:c r="C147" s="5" t="str">
        <x:v>Mid-Market</x:v>
      </x:c>
      <x:c r="D147" s="5" t="str">
        <x:v>US West</x:v>
      </x:c>
      <x:c r="E147" s="5" t="str">
        <x:v>Optimization</x:v>
      </x:c>
      <x:c r="F147" s="5" t="str">
        <x:v>Time and Materials</x:v>
      </x:c>
      <x:c r="G147" s="6" t="n">
        <x:v>46023</x:v>
      </x:c>
      <x:c r="H147" s="6" t="n">
        <x:v>46082</x:v>
      </x:c>
      <x:c r="I147" s="5" t="str">
        <x:v>Completed</x:v>
      </x:c>
      <x:c r="J147" s="7" t="n">
        <x:v>312720.73</x:v>
      </x:c>
      <x:c r="K147" s="7" t="n">
        <x:v>127976.12</x:v>
      </x:c>
      <x:c r="L147" s="7" t="n">
        <x:v>19921.07</x:v>
      </x:c>
      <x:c r="M147" s="7" t="n">
        <x:v>4469.96</x:v>
      </x:c>
      <x:c r="N147" s="7" t="n">
        <x:v>160353.59</x:v>
      </x:c>
      <x:c r="O147" s="8" t="n">
        <x:v>0.5128</x:v>
      </x:c>
      <x:c r="P147" s="7" t="n">
        <x:v>234.14</x:v>
      </x:c>
    </x:row>
    <x:row r="148">
      <x:c r="A148" s="5" t="str">
        <x:v>P0125</x:v>
      </x:c>
      <x:c r="B148" s="5" t="str">
        <x:v>Evergreen Energy 190</x:v>
      </x:c>
      <x:c r="C148" s="5" t="str">
        <x:v>Enterprise</x:v>
      </x:c>
      <x:c r="D148" s="5" t="str">
        <x:v>US Central</x:v>
      </x:c>
      <x:c r="E148" s="5" t="str">
        <x:v>Implementation</x:v>
      </x:c>
      <x:c r="F148" s="5" t="str">
        <x:v>Time and Materials</x:v>
      </x:c>
      <x:c r="G148" s="6" t="n">
        <x:v>45870</x:v>
      </x:c>
      <x:c r="H148" s="6" t="n">
        <x:v>45962</x:v>
      </x:c>
      <x:c r="I148" s="5" t="str">
        <x:v>Completed</x:v>
      </x:c>
      <x:c r="J148" s="7" t="n">
        <x:v>952635.45</x:v>
      </x:c>
      <x:c r="K148" s="7" t="n">
        <x:v>399596.03</x:v>
      </x:c>
      <x:c r="L148" s="7" t="n">
        <x:v>48928.04</x:v>
      </x:c>
      <x:c r="M148" s="7" t="n">
        <x:v>12959.2</x:v>
      </x:c>
      <x:c r="N148" s="7" t="n">
        <x:v>491152.18</x:v>
      </x:c>
      <x:c r="O148" s="8" t="n">
        <x:v>0.5156</x:v>
      </x:c>
      <x:c r="P148" s="7" t="n">
        <x:v>222.78</x:v>
      </x:c>
    </x:row>
    <x:row r="149">
      <x:c r="A149" s="5" t="str">
        <x:v>P0217</x:v>
      </x:c>
      <x:c r="B149" s="5" t="str">
        <x:v>BluePeak Education 100</x:v>
      </x:c>
      <x:c r="C149" s="5" t="str">
        <x:v>SMB</x:v>
      </x:c>
      <x:c r="D149" s="5" t="str">
        <x:v>US West</x:v>
      </x:c>
      <x:c r="E149" s="5" t="str">
        <x:v>Managed Services</x:v>
      </x:c>
      <x:c r="F149" s="5" t="str">
        <x:v>Fixed Price</x:v>
      </x:c>
      <x:c r="G149" s="6" t="n">
        <x:v>45139</x:v>
      </x:c>
      <x:c r="H149" s="6" t="n">
        <x:v>45658</x:v>
      </x:c>
      <x:c r="I149" s="5" t="str">
        <x:v>Completed</x:v>
      </x:c>
      <x:c r="J149" s="7" t="n">
        <x:v>79083.75</x:v>
      </x:c>
      <x:c r="K149" s="7" t="n">
        <x:v>35528.87</x:v>
      </x:c>
      <x:c r="L149" s="7" t="n">
        <x:v>1663.84</x:v>
      </x:c>
      <x:c r="M149" s="7" t="n">
        <x:v>1021.15</x:v>
      </x:c>
      <x:c r="N149" s="7" t="n">
        <x:v>40869.9</x:v>
      </x:c>
      <x:c r="O149" s="8" t="n">
        <x:v>0.5168</x:v>
      </x:c>
      <x:c r="P149" s="7" t="n">
        <x:v>201.69</x:v>
      </x:c>
    </x:row>
    <x:row r="150">
      <x:c r="A150" s="5" t="str">
        <x:v>P0067</x:v>
      </x:c>
      <x:c r="B150" s="5" t="str">
        <x:v>Meridian Manufacturing 300</x:v>
      </x:c>
      <x:c r="C150" s="5" t="str">
        <x:v>Enterprise</x:v>
      </x:c>
      <x:c r="D150" s="5" t="str">
        <x:v>US Central</x:v>
      </x:c>
      <x:c r="E150" s="5" t="str">
        <x:v>Optimization</x:v>
      </x:c>
      <x:c r="F150" s="5" t="str">
        <x:v>Time and Materials</x:v>
      </x:c>
      <x:c r="G150" s="6" t="n">
        <x:v>45901</x:v>
      </x:c>
      <x:c r="H150" s="6" t="n">
        <x:v>46054</x:v>
      </x:c>
      <x:c r="I150" s="5" t="str">
        <x:v>Completed</x:v>
      </x:c>
      <x:c r="J150" s="7" t="n">
        <x:v>563982.9</x:v>
      </x:c>
      <x:c r="K150" s="7" t="n">
        <x:v>235232.14</x:v>
      </x:c>
      <x:c r="L150" s="7" t="n">
        <x:v>30237.89</x:v>
      </x:c>
      <x:c r="M150" s="7" t="n">
        <x:v>6641.14</x:v>
      </x:c>
      <x:c r="N150" s="7" t="n">
        <x:v>291871.74</x:v>
      </x:c>
      <x:c r="O150" s="8" t="n">
        <x:v>0.5175</x:v>
      </x:c>
      <x:c r="P150" s="7" t="n">
        <x:v>226.2</x:v>
      </x:c>
    </x:row>
    <x:row r="151">
      <x:c r="A151" s="5" t="str">
        <x:v>P0186</x:v>
      </x:c>
      <x:c r="B151" s="5" t="str">
        <x:v>Pioneer Financial 266</x:v>
      </x:c>
      <x:c r="C151" s="5" t="str">
        <x:v>Enterprise</x:v>
      </x:c>
      <x:c r="D151" s="5" t="str">
        <x:v>US East</x:v>
      </x:c>
      <x:c r="E151" s="5" t="str">
        <x:v>Training</x:v>
      </x:c>
      <x:c r="F151" s="5" t="str">
        <x:v>Fixed Price</x:v>
      </x:c>
      <x:c r="G151" s="6" t="n">
        <x:v>45078</x:v>
      </x:c>
      <x:c r="H151" s="6" t="n">
        <x:v>45108</x:v>
      </x:c>
      <x:c r="I151" s="5" t="str">
        <x:v>Completed</x:v>
      </x:c>
      <x:c r="J151" s="7" t="n">
        <x:v>114975.4</x:v>
      </x:c>
      <x:c r="K151" s="7" t="n">
        <x:v>47241.88</x:v>
      </x:c>
      <x:c r="L151" s="7" t="n">
        <x:v>5488.04</x:v>
      </x:c>
      <x:c r="M151" s="7" t="n">
        <x:v>2529.46</x:v>
      </x:c>
      <x:c r="N151" s="7" t="n">
        <x:v>59716.02</x:v>
      </x:c>
      <x:c r="O151" s="8" t="n">
        <x:v>0.5194</x:v>
      </x:c>
      <x:c r="P151" s="7" t="n">
        <x:v>219.88</x:v>
      </x:c>
    </x:row>
    <x:row r="152">
      <x:c r="A152" s="5" t="str">
        <x:v>P0043</x:v>
      </x:c>
      <x:c r="B152" s="5" t="str">
        <x:v>Crescent Mobility 083</x:v>
      </x:c>
      <x:c r="C152" s="5" t="str">
        <x:v>SMB</x:v>
      </x:c>
      <x:c r="D152" s="5" t="str">
        <x:v>US East</x:v>
      </x:c>
      <x:c r="E152" s="5" t="str">
        <x:v>Managed Services</x:v>
      </x:c>
      <x:c r="F152" s="5" t="str">
        <x:v>Fixed Price</x:v>
      </x:c>
      <x:c r="G152" s="6" t="n">
        <x:v>46113</x:v>
      </x:c>
      <x:c r="H152" s="6" t="n">
        <x:v>46266</x:v>
      </x:c>
      <x:c r="I152" s="5" t="str">
        <x:v>In Progress</x:v>
      </x:c>
      <x:c r="J152" s="7" t="n">
        <x:v>66109.93</x:v>
      </x:c>
      <x:c r="K152" s="7" t="n">
        <x:v>28447.54</x:v>
      </x:c>
      <x:c r="L152" s="7" t="n">
        <x:v>2142.71</x:v>
      </x:c>
      <x:c r="M152" s="7" t="n">
        <x:v>896.74</x:v>
      </x:c>
      <x:c r="N152" s="7" t="n">
        <x:v>34622.94</x:v>
      </x:c>
      <x:c r="O152" s="8" t="n">
        <x:v>0.5237</x:v>
      </x:c>
      <x:c r="P152" s="7" t="n">
        <x:v>223.87</x:v>
      </x:c>
    </x:row>
    <x:row r="153">
      <x:c r="A153" s="5" t="str">
        <x:v>P0158</x:v>
      </x:c>
      <x:c r="B153" s="5" t="str">
        <x:v>Stonegate Insurance 071</x:v>
      </x:c>
      <x:c r="C153" s="5" t="str">
        <x:v>Enterprise</x:v>
      </x:c>
      <x:c r="D153" s="5" t="str">
        <x:v>US West</x:v>
      </x:c>
      <x:c r="E153" s="5" t="str">
        <x:v>Managed Services</x:v>
      </x:c>
      <x:c r="F153" s="5" t="str">
        <x:v>Fixed Price</x:v>
      </x:c>
      <x:c r="G153" s="6" t="n">
        <x:v>46113</x:v>
      </x:c>
      <x:c r="H153" s="6" t="n">
        <x:v>46508</x:v>
      </x:c>
      <x:c r="I153" s="5" t="str">
        <x:v>In Progress</x:v>
      </x:c>
      <x:c r="J153" s="7" t="n">
        <x:v>64898.78</x:v>
      </x:c>
      <x:c r="K153" s="7" t="n">
        <x:v>27956.29</x:v>
      </x:c>
      <x:c r="L153" s="7" t="n">
        <x:v>2264.55</x:v>
      </x:c>
      <x:c r="M153" s="7" t="n">
        <x:v>623.83</x:v>
      </x:c>
      <x:c r="N153" s="7" t="n">
        <x:v>34054.1</x:v>
      </x:c>
      <x:c r="O153" s="8" t="n">
        <x:v>0.5247</x:v>
      </x:c>
      <x:c r="P153" s="7" t="n">
        <x:v>223.63</x:v>
      </x:c>
    </x:row>
    <x:row r="154">
      <x:c r="A154" s="5" t="str">
        <x:v>P0037</x:v>
      </x:c>
      <x:c r="B154" s="5" t="str">
        <x:v>Ironwood Mobility 244</x:v>
      </x:c>
      <x:c r="C154" s="5" t="str">
        <x:v>SMB</x:v>
      </x:c>
      <x:c r="D154" s="5" t="str">
        <x:v>US East</x:v>
      </x:c>
      <x:c r="E154" s="5" t="str">
        <x:v>Implementation</x:v>
      </x:c>
      <x:c r="F154" s="5" t="str">
        <x:v>Time and Materials</x:v>
      </x:c>
      <x:c r="G154" s="6" t="n">
        <x:v>45536</x:v>
      </x:c>
      <x:c r="H154" s="6" t="n">
        <x:v>45689</x:v>
      </x:c>
      <x:c r="I154" s="5" t="str">
        <x:v>Completed</x:v>
      </x:c>
      <x:c r="J154" s="7" t="n">
        <x:v>210521.97</x:v>
      </x:c>
      <x:c r="K154" s="7" t="n">
        <x:v>81394.37</x:v>
      </x:c>
      <x:c r="L154" s="7" t="n">
        <x:v>16336.35</x:v>
      </x:c>
      <x:c r="M154" s="7" t="n">
        <x:v>2313.86</x:v>
      </x:c>
      <x:c r="N154" s="7" t="n">
        <x:v>110477.39</x:v>
      </x:c>
      <x:c r="O154" s="8" t="n">
        <x:v>0.5248</x:v>
      </x:c>
      <x:c r="P154" s="7" t="n">
        <x:v>239.99</x:v>
      </x:c>
    </x:row>
    <x:row r="155">
      <x:c r="A155" s="5" t="str">
        <x:v>P0053</x:v>
      </x:c>
      <x:c r="B155" s="5" t="str">
        <x:v>Evergreen Education 274</x:v>
      </x:c>
      <x:c r="C155" s="5" t="str">
        <x:v>SMB</x:v>
      </x:c>
      <x:c r="D155" s="5" t="str">
        <x:v>US East</x:v>
      </x:c>
      <x:c r="E155" s="5" t="str">
        <x:v>Optimization</x:v>
      </x:c>
      <x:c r="F155" s="5" t="str">
        <x:v>Time and Materials</x:v>
      </x:c>
      <x:c r="G155" s="6" t="n">
        <x:v>45566</x:v>
      </x:c>
      <x:c r="H155" s="6" t="n">
        <x:v>45658</x:v>
      </x:c>
      <x:c r="I155" s="5" t="str">
        <x:v>Completed</x:v>
      </x:c>
      <x:c r="J155" s="7" t="n">
        <x:v>99201.01</x:v>
      </x:c>
      <x:c r="K155" s="7" t="n">
        <x:v>39456.59</x:v>
      </x:c>
      <x:c r="L155" s="7" t="n">
        <x:v>5867.71</x:v>
      </x:c>
      <x:c r="M155" s="7" t="n">
        <x:v>1149.62</x:v>
      </x:c>
      <x:c r="N155" s="7" t="n">
        <x:v>52727.11</x:v>
      </x:c>
      <x:c r="O155" s="8" t="n">
        <x:v>0.5315</x:v>
      </x:c>
      <x:c r="P155" s="7" t="n">
        <x:v>232.27</x:v>
      </x:c>
    </x:row>
    <x:row r="156">
      <x:c r="A156" s="5" t="str">
        <x:v>P0074</x:v>
      </x:c>
      <x:c r="B156" s="5" t="str">
        <x:v>Ironwood Media 003</x:v>
      </x:c>
      <x:c r="C156" s="5" t="str">
        <x:v>SMB</x:v>
      </x:c>
      <x:c r="D156" s="5" t="str">
        <x:v>US Central</x:v>
      </x:c>
      <x:c r="E156" s="5" t="str">
        <x:v>Training</x:v>
      </x:c>
      <x:c r="F156" s="5" t="str">
        <x:v>Fixed Price</x:v>
      </x:c>
      <x:c r="G156" s="6" t="n">
        <x:v>45536</x:v>
      </x:c>
      <x:c r="H156" s="6" t="n">
        <x:v>45536</x:v>
      </x:c>
      <x:c r="I156" s="5" t="str">
        <x:v>Completed</x:v>
      </x:c>
      <x:c r="J156" s="7" t="n">
        <x:v>23243.96</x:v>
      </x:c>
      <x:c r="K156" s="7" t="n">
        <x:v>9097.1</x:v>
      </x:c>
      <x:c r="L156" s="7" t="n">
        <x:v>1267.71</x:v>
      </x:c>
      <x:c r="M156" s="7" t="n">
        <x:v>511.37</x:v>
      </x:c>
      <x:c r="N156" s="7" t="n">
        <x:v>12367.79</x:v>
      </x:c>
      <x:c r="O156" s="8" t="n">
        <x:v>0.5321</x:v>
      </x:c>
      <x:c r="P156" s="7" t="n">
        <x:v>233.84</x:v>
      </x:c>
    </x:row>
    <x:row r="157">
      <x:c r="A157" s="5" t="str">
        <x:v>P0139</x:v>
      </x:c>
      <x:c r="B157" s="5" t="str">
        <x:v>Atlas Foods 122</x:v>
      </x:c>
      <x:c r="C157" s="5" t="str">
        <x:v>Mid-Market</x:v>
      </x:c>
      <x:c r="D157" s="5" t="str">
        <x:v>US West</x:v>
      </x:c>
      <x:c r="E157" s="5" t="str">
        <x:v>Managed Services</x:v>
      </x:c>
      <x:c r="F157" s="5" t="str">
        <x:v>Time and Materials</x:v>
      </x:c>
      <x:c r="G157" s="6" t="n">
        <x:v>45536</x:v>
      </x:c>
      <x:c r="H157" s="6" t="n">
        <x:v>45901</x:v>
      </x:c>
      <x:c r="I157" s="5" t="str">
        <x:v>Completed</x:v>
      </x:c>
      <x:c r="J157" s="7" t="n">
        <x:v>273153.65</x:v>
      </x:c>
      <x:c r="K157" s="7" t="n">
        <x:v>115316.14</x:v>
      </x:c>
      <x:c r="L157" s="7" t="n">
        <x:v>7409.84</x:v>
      </x:c>
      <x:c r="M157" s="7" t="n">
        <x:v>3502.94</x:v>
      </x:c>
      <x:c r="N157" s="7" t="n">
        <x:v>146924.76</x:v>
      </x:c>
      <x:c r="O157" s="8" t="n">
        <x:v>0.5379</x:v>
      </x:c>
      <x:c r="P157" s="7" t="n">
        <x:v>221.54</x:v>
      </x:c>
    </x:row>
    <x:row r="158">
      <x:c r="A158" s="5" t="str">
        <x:v>P0190</x:v>
      </x:c>
      <x:c r="B158" s="5" t="str">
        <x:v>Lakeview Energy 082</x:v>
      </x:c>
      <x:c r="C158" s="5" t="str">
        <x:v>SMB</x:v>
      </x:c>
      <x:c r="D158" s="5" t="str">
        <x:v>US West</x:v>
      </x:c>
      <x:c r="E158" s="5" t="str">
        <x:v>Optimization</x:v>
      </x:c>
      <x:c r="F158" s="5" t="str">
        <x:v>Time and Materials</x:v>
      </x:c>
      <x:c r="G158" s="6" t="n">
        <x:v>45323</x:v>
      </x:c>
      <x:c r="H158" s="6" t="n">
        <x:v>45505</x:v>
      </x:c>
      <x:c r="I158" s="5" t="str">
        <x:v>Completed</x:v>
      </x:c>
      <x:c r="J158" s="7" t="n">
        <x:v>92218.07</x:v>
      </x:c>
      <x:c r="K158" s="7" t="n">
        <x:v>36541.49</x:v>
      </x:c>
      <x:c r="L158" s="7" t="n">
        <x:v>5382.37</x:v>
      </x:c>
      <x:c r="M158" s="7" t="n">
        <x:v>664.25</x:v>
      </x:c>
      <x:c r="N158" s="7" t="n">
        <x:v>49629.97</x:v>
      </x:c>
      <x:c r="O158" s="8" t="n">
        <x:v>0.5382</x:v>
      </x:c>
      <x:c r="P158" s="7" t="n">
        <x:v>228.89</x:v>
      </x:c>
    </x:row>
    <x:row r="159">
      <x:c r="A159" s="5" t="str">
        <x:v>P0168</x:v>
      </x:c>
      <x:c r="B159" s="5" t="str">
        <x:v>Cedar Health 203</x:v>
      </x:c>
      <x:c r="C159" s="5" t="str">
        <x:v>Mid-Market</x:v>
      </x:c>
      <x:c r="D159" s="5" t="str">
        <x:v>US East</x:v>
      </x:c>
      <x:c r="E159" s="5" t="str">
        <x:v>Training</x:v>
      </x:c>
      <x:c r="F159" s="5" t="str">
        <x:v>Fixed Price</x:v>
      </x:c>
      <x:c r="G159" s="6" t="n">
        <x:v>45778</x:v>
      </x:c>
      <x:c r="H159" s="6" t="n">
        <x:v>45778</x:v>
      </x:c>
      <x:c r="I159" s="5" t="str">
        <x:v>Completed</x:v>
      </x:c>
      <x:c r="J159" s="7" t="n">
        <x:v>68585.88</x:v>
      </x:c>
      <x:c r="K159" s="7" t="n">
        <x:v>29252.63</x:v>
      </x:c>
      <x:c r="L159" s="7" t="n">
        <x:v>872.89</x:v>
      </x:c>
      <x:c r="M159" s="7" t="n">
        <x:v>1508.89</x:v>
      </x:c>
      <x:c r="N159" s="7" t="n">
        <x:v>36951.47</x:v>
      </x:c>
      <x:c r="O159" s="8" t="n">
        <x:v>0.5388</x:v>
      </x:c>
      <x:c r="P159" s="7" t="n">
        <x:v>220.75</x:v>
      </x:c>
    </x:row>
    <x:row r="160">
      <x:c r="A160" s="5" t="str">
        <x:v>P0148</x:v>
      </x:c>
      <x:c r="B160" s="5" t="str">
        <x:v>Summit Energy 223</x:v>
      </x:c>
      <x:c r="C160" s="5" t="str">
        <x:v>Enterprise</x:v>
      </x:c>
      <x:c r="D160" s="5" t="str">
        <x:v>Canada</x:v>
      </x:c>
      <x:c r="E160" s="5" t="str">
        <x:v>Implementation</x:v>
      </x:c>
      <x:c r="F160" s="5" t="str">
        <x:v>Time and Materials</x:v>
      </x:c>
      <x:c r="G160" s="6" t="n">
        <x:v>45597</x:v>
      </x:c>
      <x:c r="H160" s="6" t="n">
        <x:v>45689</x:v>
      </x:c>
      <x:c r="I160" s="5" t="str">
        <x:v>Completed</x:v>
      </x:c>
      <x:c r="J160" s="7" t="n">
        <x:v>1187080.24</x:v>
      </x:c>
      <x:c r="K160" s="7" t="n">
        <x:v>437006.43</x:v>
      </x:c>
      <x:c r="L160" s="7" t="n">
        <x:v>92433.84</x:v>
      </x:c>
      <x:c r="M160" s="7" t="n">
        <x:v>16684.71</x:v>
      </x:c>
      <x:c r="N160" s="7" t="n">
        <x:v>640955.26</x:v>
      </x:c>
      <x:c r="O160" s="8" t="n">
        <x:v>0.5399</x:v>
      </x:c>
      <x:c r="P160" s="7" t="n">
        <x:v>254.66</x:v>
      </x:c>
    </x:row>
    <x:row r="161">
      <x:c r="A161" s="5" t="str">
        <x:v>P0169</x:v>
      </x:c>
      <x:c r="B161" s="5" t="str">
        <x:v>Silverline Mobility 217</x:v>
      </x:c>
      <x:c r="C161" s="5" t="str">
        <x:v>Enterprise</x:v>
      </x:c>
      <x:c r="D161" s="5" t="str">
        <x:v>Canada</x:v>
      </x:c>
      <x:c r="E161" s="5" t="str">
        <x:v>Optimization</x:v>
      </x:c>
      <x:c r="F161" s="5" t="str">
        <x:v>Time and Materials</x:v>
      </x:c>
      <x:c r="G161" s="6" t="n">
        <x:v>44927</x:v>
      </x:c>
      <x:c r="H161" s="6" t="n">
        <x:v>45017</x:v>
      </x:c>
      <x:c r="I161" s="5" t="str">
        <x:v>Completed</x:v>
      </x:c>
      <x:c r="J161" s="7" t="n">
        <x:v>403663.93</x:v>
      </x:c>
      <x:c r="K161" s="7" t="n">
        <x:v>159454.98</x:v>
      </x:c>
      <x:c r="L161" s="7" t="n">
        <x:v>21190.19</x:v>
      </x:c>
      <x:c r="M161" s="7" t="n">
        <x:v>4110.34</x:v>
      </x:c>
      <x:c r="N161" s="7" t="n">
        <x:v>218908.41</x:v>
      </x:c>
      <x:c r="O161" s="8" t="n">
        <x:v>0.5423</x:v>
      </x:c>
      <x:c r="P161" s="7" t="n">
        <x:v>228.67</x:v>
      </x:c>
    </x:row>
    <x:row r="162">
      <x:c r="A162" s="5" t="str">
        <x:v>P0078</x:v>
      </x:c>
      <x:c r="B162" s="5" t="str">
        <x:v>Atlas Financial 066</x:v>
      </x:c>
      <x:c r="C162" s="5" t="str">
        <x:v>SMB</x:v>
      </x:c>
      <x:c r="D162" s="5" t="str">
        <x:v>Canada</x:v>
      </x:c>
      <x:c r="E162" s="5" t="str">
        <x:v>Managed Services</x:v>
      </x:c>
      <x:c r="F162" s="5" t="str">
        <x:v>Fixed Price</x:v>
      </x:c>
      <x:c r="G162" s="6" t="n">
        <x:v>46082</x:v>
      </x:c>
      <x:c r="H162" s="6" t="n">
        <x:v>46447</x:v>
      </x:c>
      <x:c r="I162" s="5" t="str">
        <x:v>In Progress</x:v>
      </x:c>
      <x:c r="J162" s="7" t="n">
        <x:v>64391.42</x:v>
      </x:c>
      <x:c r="K162" s="7" t="n">
        <x:v>26668.41</x:v>
      </x:c>
      <x:c r="L162" s="7" t="n">
        <x:v>2113.16</x:v>
      </x:c>
      <x:c r="M162" s="7" t="n">
        <x:v>659.68</x:v>
      </x:c>
      <x:c r="N162" s="7" t="n">
        <x:v>34950.18</x:v>
      </x:c>
      <x:c r="O162" s="8" t="n">
        <x:v>0.5428</x:v>
      </x:c>
      <x:c r="P162" s="7" t="n">
        <x:v>232.38</x:v>
      </x:c>
    </x:row>
    <x:row r="163">
      <x:c r="A163" s="5" t="str">
        <x:v>P0127</x:v>
      </x:c>
      <x:c r="B163" s="5" t="str">
        <x:v>BluePeak Financial 278</x:v>
      </x:c>
      <x:c r="C163" s="5" t="str">
        <x:v>Enterprise</x:v>
      </x:c>
      <x:c r="D163" s="5" t="str">
        <x:v>US Central</x:v>
      </x:c>
      <x:c r="E163" s="5" t="str">
        <x:v>Optimization</x:v>
      </x:c>
      <x:c r="F163" s="5" t="str">
        <x:v>Fixed Price</x:v>
      </x:c>
      <x:c r="G163" s="6" t="n">
        <x:v>45717</x:v>
      </x:c>
      <x:c r="H163" s="6" t="n">
        <x:v>45748</x:v>
      </x:c>
      <x:c r="I163" s="5" t="str">
        <x:v>Completed</x:v>
      </x:c>
      <x:c r="J163" s="7" t="n">
        <x:v>378656.9</x:v>
      </x:c>
      <x:c r="K163" s="7" t="n">
        <x:v>146402.43</x:v>
      </x:c>
      <x:c r="L163" s="7" t="n">
        <x:v>20502.96</x:v>
      </x:c>
      <x:c r="M163" s="7" t="n">
        <x:v>6142.43</x:v>
      </x:c>
      <x:c r="N163" s="7" t="n">
        <x:v>205609.07</x:v>
      </x:c>
      <x:c r="O163" s="8" t="n">
        <x:v>0.543</x:v>
      </x:c>
      <x:c r="P163" s="7" t="n">
        <x:v>245.09</x:v>
      </x:c>
    </x:row>
    <x:row r="164">
      <x:c r="A164" s="5" t="str">
        <x:v>P0137</x:v>
      </x:c>
      <x:c r="B164" s="5" t="str">
        <x:v>BrightPath Foods 020</x:v>
      </x:c>
      <x:c r="C164" s="5" t="str">
        <x:v>Mid-Market</x:v>
      </x:c>
      <x:c r="D164" s="5" t="str">
        <x:v>US West</x:v>
      </x:c>
      <x:c r="E164" s="5" t="str">
        <x:v>Optimization</x:v>
      </x:c>
      <x:c r="F164" s="5" t="str">
        <x:v>Time and Materials</x:v>
      </x:c>
      <x:c r="G164" s="6" t="n">
        <x:v>45931</x:v>
      </x:c>
      <x:c r="H164" s="6" t="n">
        <x:v>46054</x:v>
      </x:c>
      <x:c r="I164" s="5" t="str">
        <x:v>Completed</x:v>
      </x:c>
      <x:c r="J164" s="7" t="n">
        <x:v>130676.69</x:v>
      </x:c>
      <x:c r="K164" s="7" t="n">
        <x:v>49411.23</x:v>
      </x:c>
      <x:c r="L164" s="7" t="n">
        <x:v>8532.39</x:v>
      </x:c>
      <x:c r="M164" s="7" t="n">
        <x:v>1736.78</x:v>
      </x:c>
      <x:c r="N164" s="7" t="n">
        <x:v>70996.3</x:v>
      </x:c>
      <x:c r="O164" s="8" t="n">
        <x:v>0.5433</x:v>
      </x:c>
      <x:c r="P164" s="7" t="n">
        <x:v>249.96</x:v>
      </x:c>
    </x:row>
    <x:row r="165">
      <x:c r="A165" s="5" t="str">
        <x:v>P0056</x:v>
      </x:c>
      <x:c r="B165" s="5" t="str">
        <x:v>Redwood Insurance 045</x:v>
      </x:c>
      <x:c r="C165" s="5" t="str">
        <x:v>Mid-Market</x:v>
      </x:c>
      <x:c r="D165" s="5" t="str">
        <x:v>US West</x:v>
      </x:c>
      <x:c r="E165" s="5" t="str">
        <x:v>Optimization</x:v>
      </x:c>
      <x:c r="F165" s="5" t="str">
        <x:v>Time and Materials</x:v>
      </x:c>
      <x:c r="G165" s="6" t="n">
        <x:v>46143</x:v>
      </x:c>
      <x:c r="H165" s="6" t="n">
        <x:v>46266</x:v>
      </x:c>
      <x:c r="I165" s="5" t="str">
        <x:v>In Progress</x:v>
      </x:c>
      <x:c r="J165" s="7" t="n">
        <x:v>53748.42</x:v>
      </x:c>
      <x:c r="K165" s="7" t="n">
        <x:v>21903.44</x:v>
      </x:c>
      <x:c r="L165" s="7" t="n">
        <x:v>2451.09</x:v>
      </x:c>
      <x:c r="M165" s="7" t="n">
        <x:v>126.38</x:v>
      </x:c>
      <x:c r="N165" s="7" t="n">
        <x:v>29267.5</x:v>
      </x:c>
      <x:c r="O165" s="8" t="n">
        <x:v>0.5445</x:v>
      </x:c>
      <x:c r="P165" s="7" t="n">
        <x:v>235.22</x:v>
      </x:c>
    </x:row>
    <x:row r="166">
      <x:c r="A166" s="5" t="str">
        <x:v>P0079</x:v>
      </x:c>
      <x:c r="B166" s="5" t="str">
        <x:v>BrightPath Technology 095</x:v>
      </x:c>
      <x:c r="C166" s="5" t="str">
        <x:v>Mid-Market</x:v>
      </x:c>
      <x:c r="D166" s="5" t="str">
        <x:v>US East</x:v>
      </x:c>
      <x:c r="E166" s="5" t="str">
        <x:v>Training</x:v>
      </x:c>
      <x:c r="F166" s="5" t="str">
        <x:v>Fixed Price</x:v>
      </x:c>
      <x:c r="G166" s="6" t="n">
        <x:v>45870</x:v>
      </x:c>
      <x:c r="H166" s="6" t="n">
        <x:v>45870</x:v>
      </x:c>
      <x:c r="I166" s="5" t="str">
        <x:v>Completed</x:v>
      </x:c>
      <x:c r="J166" s="7" t="n">
        <x:v>28732.23</x:v>
      </x:c>
      <x:c r="K166" s="7" t="n">
        <x:v>11061.88</x:v>
      </x:c>
      <x:c r="L166" s="7" t="n">
        <x:v>1340.41</x:v>
      </x:c>
      <x:c r="M166" s="7" t="n">
        <x:v>632.11</x:v>
      </x:c>
      <x:c r="N166" s="7" t="n">
        <x:v>15697.82</x:v>
      </x:c>
      <x:c r="O166" s="8" t="n">
        <x:v>0.5463</x:v>
      </x:c>
      <x:c r="P166" s="7" t="n">
        <x:v>241.85</x:v>
      </x:c>
    </x:row>
    <x:row r="167">
      <x:c r="A167" s="5" t="str">
        <x:v>P0121</x:v>
      </x:c>
      <x:c r="B167" s="5" t="str">
        <x:v>Meridian Mobility 133</x:v>
      </x:c>
      <x:c r="C167" s="5" t="str">
        <x:v>Mid-Market</x:v>
      </x:c>
      <x:c r="D167" s="5" t="str">
        <x:v>US Central</x:v>
      </x:c>
      <x:c r="E167" s="5" t="str">
        <x:v>Managed Services</x:v>
      </x:c>
      <x:c r="F167" s="5" t="str">
        <x:v>Time and Materials</x:v>
      </x:c>
      <x:c r="G167" s="6" t="n">
        <x:v>45444</x:v>
      </x:c>
      <x:c r="H167" s="6" t="n">
        <x:v>45627</x:v>
      </x:c>
      <x:c r="I167" s="5" t="str">
        <x:v>Completed</x:v>
      </x:c>
      <x:c r="J167" s="7" t="n">
        <x:v>405237.95</x:v>
      </x:c>
      <x:c r="K167" s="7" t="n">
        <x:v>164270.04</x:v>
      </x:c>
      <x:c r="L167" s="7" t="n">
        <x:v>13362.05</x:v>
      </x:c>
      <x:c r="M167" s="7" t="n">
        <x:v>5122.97</x:v>
      </x:c>
      <x:c r="N167" s="7" t="n">
        <x:v>222482.89</x:v>
      </x:c>
      <x:c r="O167" s="8" t="n">
        <x:v>0.549</x:v>
      </x:c>
      <x:c r="P167" s="7" t="n">
        <x:v>224.66</x:v>
      </x:c>
    </x:row>
    <x:row r="168">
      <x:c r="A168" s="5" t="str">
        <x:v>P0071</x:v>
      </x:c>
      <x:c r="B168" s="5" t="str">
        <x:v>Cedar Health 203</x:v>
      </x:c>
      <x:c r="C168" s="5" t="str">
        <x:v>Mid-Market</x:v>
      </x:c>
      <x:c r="D168" s="5" t="str">
        <x:v>US East</x:v>
      </x:c>
      <x:c r="E168" s="5" t="str">
        <x:v>Optimization</x:v>
      </x:c>
      <x:c r="F168" s="5" t="str">
        <x:v>Time and Materials</x:v>
      </x:c>
      <x:c r="G168" s="6" t="n">
        <x:v>45047</x:v>
      </x:c>
      <x:c r="H168" s="6" t="n">
        <x:v>45078</x:v>
      </x:c>
      <x:c r="I168" s="5" t="str">
        <x:v>Completed</x:v>
      </x:c>
      <x:c r="J168" s="7" t="n">
        <x:v>139597.64</x:v>
      </x:c>
      <x:c r="K168" s="7" t="n">
        <x:v>54959.22</x:v>
      </x:c>
      <x:c r="L168" s="7" t="n">
        <x:v>7580.49</x:v>
      </x:c>
      <x:c r="M168" s="7" t="n">
        <x:v>279.19</x:v>
      </x:c>
      <x:c r="N168" s="7" t="n">
        <x:v>76778.73</x:v>
      </x:c>
      <x:c r="O168" s="8" t="n">
        <x:v>0.55</x:v>
      </x:c>
      <x:c r="P168" s="7" t="n">
        <x:v>229.64</x:v>
      </x:c>
    </x:row>
    <x:row r="169">
      <x:c r="A169" s="5" t="str">
        <x:v>P0019</x:v>
      </x:c>
      <x:c r="B169" s="5" t="str">
        <x:v>Highland Insurance 037</x:v>
      </x:c>
      <x:c r="C169" s="5" t="str">
        <x:v>Enterprise</x:v>
      </x:c>
      <x:c r="D169" s="5" t="str">
        <x:v>US East</x:v>
      </x:c>
      <x:c r="E169" s="5" t="str">
        <x:v>Managed Services</x:v>
      </x:c>
      <x:c r="F169" s="5" t="str">
        <x:v>Fixed Price</x:v>
      </x:c>
      <x:c r="G169" s="6" t="n">
        <x:v>44866</x:v>
      </x:c>
      <x:c r="H169" s="6" t="n">
        <x:v>45108</x:v>
      </x:c>
      <x:c r="I169" s="5" t="str">
        <x:v>Completed</x:v>
      </x:c>
      <x:c r="J169" s="7" t="n">
        <x:v>299134.77</x:v>
      </x:c>
      <x:c r="K169" s="7" t="n">
        <x:v>123290.24</x:v>
      </x:c>
      <x:c r="L169" s="7" t="n">
        <x:v>7458.15</x:v>
      </x:c>
      <x:c r="M169" s="7" t="n">
        <x:v>3586.91</x:v>
      </x:c>
      <x:c r="N169" s="7" t="n">
        <x:v>164799.47</x:v>
      </x:c>
      <x:c r="O169" s="8" t="n">
        <x:v>0.5509</x:v>
      </x:c>
      <x:c r="P169" s="7" t="n">
        <x:v>219.23</x:v>
      </x:c>
    </x:row>
    <x:row r="170">
      <x:c r="A170" s="5" t="str">
        <x:v>P0096</x:v>
      </x:c>
      <x:c r="B170" s="5" t="str">
        <x:v>Frontier Retail 265</x:v>
      </x:c>
      <x:c r="C170" s="5" t="str">
        <x:v>Enterprise</x:v>
      </x:c>
      <x:c r="D170" s="5" t="str">
        <x:v>US East</x:v>
      </x:c>
      <x:c r="E170" s="5" t="str">
        <x:v>Optimization</x:v>
      </x:c>
      <x:c r="F170" s="5" t="str">
        <x:v>Time and Materials</x:v>
      </x:c>
      <x:c r="G170" s="6" t="n">
        <x:v>45566</x:v>
      </x:c>
      <x:c r="H170" s="6" t="n">
        <x:v>45717</x:v>
      </x:c>
      <x:c r="I170" s="5" t="str">
        <x:v>Completed</x:v>
      </x:c>
      <x:c r="J170" s="7" t="n">
        <x:v>483683.23</x:v>
      </x:c>
      <x:c r="K170" s="7" t="n">
        <x:v>179053.09</x:v>
      </x:c>
      <x:c r="L170" s="7" t="n">
        <x:v>33548.77</x:v>
      </x:c>
      <x:c r="M170" s="7" t="n">
        <x:v>4507.44</x:v>
      </x:c>
      <x:c r="N170" s="7" t="n">
        <x:v>266573.93</x:v>
      </x:c>
      <x:c r="O170" s="8" t="n">
        <x:v>0.5511</x:v>
      </x:c>
      <x:c r="P170" s="7" t="n">
        <x:v>252.13</x:v>
      </x:c>
    </x:row>
    <x:row r="171">
      <x:c r="A171" s="5" t="str">
        <x:v>P0194</x:v>
      </x:c>
      <x:c r="B171" s="5" t="str">
        <x:v>Westbridge Energy 034</x:v>
      </x:c>
      <x:c r="C171" s="5" t="str">
        <x:v>Mid-Market</x:v>
      </x:c>
      <x:c r="D171" s="5" t="str">
        <x:v>US East</x:v>
      </x:c>
      <x:c r="E171" s="5" t="str">
        <x:v>Optimization</x:v>
      </x:c>
      <x:c r="F171" s="5" t="str">
        <x:v>Time and Materials</x:v>
      </x:c>
      <x:c r="G171" s="6" t="n">
        <x:v>45962</x:v>
      </x:c>
      <x:c r="H171" s="6" t="n">
        <x:v>46082</x:v>
      </x:c>
      <x:c r="I171" s="5" t="str">
        <x:v>Completed</x:v>
      </x:c>
      <x:c r="J171" s="7" t="n">
        <x:v>396456.57</x:v>
      </x:c>
      <x:c r="K171" s="7" t="n">
        <x:v>147486.23</x:v>
      </x:c>
      <x:c r="L171" s="7" t="n">
        <x:v>24202.29</x:v>
      </x:c>
      <x:c r="M171" s="7" t="n">
        <x:v>5997.33</x:v>
      </x:c>
      <x:c r="N171" s="7" t="n">
        <x:v>218770.72</x:v>
      </x:c>
      <x:c r="O171" s="8" t="n">
        <x:v>0.5518</x:v>
      </x:c>
      <x:c r="P171" s="7" t="n">
        <x:v>255.65</x:v>
      </x:c>
    </x:row>
    <x:row r="172">
      <x:c r="A172" s="5" t="str">
        <x:v>P0129</x:v>
      </x:c>
      <x:c r="B172" s="5" t="str">
        <x:v>Meridian Retail 205</x:v>
      </x:c>
      <x:c r="C172" s="5" t="str">
        <x:v>Mid-Market</x:v>
      </x:c>
      <x:c r="D172" s="5" t="str">
        <x:v>US East</x:v>
      </x:c>
      <x:c r="E172" s="5" t="str">
        <x:v>Optimization</x:v>
      </x:c>
      <x:c r="F172" s="5" t="str">
        <x:v>Fixed Price</x:v>
      </x:c>
      <x:c r="G172" s="6" t="n">
        <x:v>45839</x:v>
      </x:c>
      <x:c r="H172" s="6" t="n">
        <x:v>45992</x:v>
      </x:c>
      <x:c r="I172" s="5" t="str">
        <x:v>Completed</x:v>
      </x:c>
      <x:c r="J172" s="7" t="n">
        <x:v>237924.48</x:v>
      </x:c>
      <x:c r="K172" s="7" t="n">
        <x:v>87872.93</x:v>
      </x:c>
      <x:c r="L172" s="7" t="n">
        <x:v>15319.33</x:v>
      </x:c>
      <x:c r="M172" s="7" t="n">
        <x:v>2228.38</x:v>
      </x:c>
      <x:c r="N172" s="7" t="n">
        <x:v>132503.87</x:v>
      </x:c>
      <x:c r="O172" s="8" t="n">
        <x:v>0.5569</x:v>
      </x:c>
      <x:c r="P172" s="7" t="n">
        <x:v>253.27</x:v>
      </x:c>
    </x:row>
    <x:row r="173">
      <x:c r="A173" s="5" t="str">
        <x:v>P0007</x:v>
      </x:c>
      <x:c r="B173" s="5" t="str">
        <x:v>Frontier Health 297</x:v>
      </x:c>
      <x:c r="C173" s="5" t="str">
        <x:v>Mid-Market</x:v>
      </x:c>
      <x:c r="D173" s="5" t="str">
        <x:v>US East</x:v>
      </x:c>
      <x:c r="E173" s="5" t="str">
        <x:v>Managed Services</x:v>
      </x:c>
      <x:c r="F173" s="5" t="str">
        <x:v>Time and Materials</x:v>
      </x:c>
      <x:c r="G173" s="6" t="n">
        <x:v>44866</x:v>
      </x:c>
      <x:c r="H173" s="6" t="n">
        <x:v>45047</x:v>
      </x:c>
      <x:c r="I173" s="5" t="str">
        <x:v>Completed</x:v>
      </x:c>
      <x:c r="J173" s="7" t="n">
        <x:v>199681.04</x:v>
      </x:c>
      <x:c r="K173" s="7" t="n">
        <x:v>83580.26</x:v>
      </x:c>
      <x:c r="L173" s="7" t="n">
        <x:v>3318.05</x:v>
      </x:c>
      <x:c r="M173" s="7" t="n">
        <x:v>1403.08</x:v>
      </x:c>
      <x:c r="N173" s="7" t="n">
        <x:v>111379.64</x:v>
      </x:c>
      <x:c r="O173" s="8" t="n">
        <x:v>0.5578</x:v>
      </x:c>
      <x:c r="P173" s="7" t="n">
        <x:v>215.85</x:v>
      </x:c>
    </x:row>
    <x:row r="174">
      <x:c r="A174" s="5" t="str">
        <x:v>P0153</x:v>
      </x:c>
      <x:c r="B174" s="5" t="str">
        <x:v>Highland Health 112</x:v>
      </x:c>
      <x:c r="C174" s="5" t="str">
        <x:v>Mid-Market</x:v>
      </x:c>
      <x:c r="D174" s="5" t="str">
        <x:v>US East</x:v>
      </x:c>
      <x:c r="E174" s="5" t="str">
        <x:v>Optimization</x:v>
      </x:c>
      <x:c r="F174" s="5" t="str">
        <x:v>Time and Materials</x:v>
      </x:c>
      <x:c r="G174" s="6" t="n">
        <x:v>45809</x:v>
      </x:c>
      <x:c r="H174" s="6" t="n">
        <x:v>45962</x:v>
      </x:c>
      <x:c r="I174" s="5" t="str">
        <x:v>Completed</x:v>
      </x:c>
      <x:c r="J174" s="7" t="n">
        <x:v>280377.57</x:v>
      </x:c>
      <x:c r="K174" s="7" t="n">
        <x:v>106871.33</x:v>
      </x:c>
      <x:c r="L174" s="7" t="n">
        <x:v>13529.18</x:v>
      </x:c>
      <x:c r="M174" s="7" t="n">
        <x:v>3394.73</x:v>
      </x:c>
      <x:c r="N174" s="7" t="n">
        <x:v>156582.34</x:v>
      </x:c>
      <x:c r="O174" s="8" t="n">
        <x:v>0.5585</x:v>
      </x:c>
      <x:c r="P174" s="7" t="n">
        <x:v>245.82</x:v>
      </x:c>
    </x:row>
    <x:row r="175">
      <x:c r="A175" s="5" t="str">
        <x:v>P0038</x:v>
      </x:c>
      <x:c r="B175" s="5" t="str">
        <x:v>Silverline Mobility 228</x:v>
      </x:c>
      <x:c r="C175" s="5" t="str">
        <x:v>Mid-Market</x:v>
      </x:c>
      <x:c r="D175" s="5" t="str">
        <x:v>US West</x:v>
      </x:c>
      <x:c r="E175" s="5" t="str">
        <x:v>Managed Services</x:v>
      </x:c>
      <x:c r="F175" s="5" t="str">
        <x:v>Time and Materials</x:v>
      </x:c>
      <x:c r="G175" s="6" t="n">
        <x:v>46113</x:v>
      </x:c>
      <x:c r="H175" s="6" t="n">
        <x:v>46539</x:v>
      </x:c>
      <x:c r="I175" s="5" t="str">
        <x:v>In Progress</x:v>
      </x:c>
      <x:c r="J175" s="7" t="n">
        <x:v>64352.43</x:v>
      </x:c>
      <x:c r="K175" s="7" t="n">
        <x:v>24907.98</x:v>
      </x:c>
      <x:c r="L175" s="7" t="n">
        <x:v>2570.63</x:v>
      </x:c>
      <x:c r="M175" s="7" t="n">
        <x:v>599.49</x:v>
      </x:c>
      <x:c r="N175" s="7" t="n">
        <x:v>36274.35</x:v>
      </x:c>
      <x:c r="O175" s="8" t="n">
        <x:v>0.5637</x:v>
      </x:c>
      <x:c r="P175" s="7" t="n">
        <x:v>248.85</x:v>
      </x:c>
    </x:row>
    <x:row r="176">
      <x:c r="A176" s="5" t="str">
        <x:v>P0033</x:v>
      </x:c>
      <x:c r="B176" s="5" t="str">
        <x:v>Oakridge Media 185</x:v>
      </x:c>
      <x:c r="C176" s="5" t="str">
        <x:v>SMB</x:v>
      </x:c>
      <x:c r="D176" s="5" t="str">
        <x:v>US West</x:v>
      </x:c>
      <x:c r="E176" s="5" t="str">
        <x:v>Managed Services</x:v>
      </x:c>
      <x:c r="F176" s="5" t="str">
        <x:v>Time and Materials</x:v>
      </x:c>
      <x:c r="G176" s="6" t="n">
        <x:v>45717</x:v>
      </x:c>
      <x:c r="H176" s="6" t="n">
        <x:v>46174</x:v>
      </x:c>
      <x:c r="I176" s="5" t="str">
        <x:v>Completed</x:v>
      </x:c>
      <x:c r="J176" s="7" t="n">
        <x:v>103656.32</x:v>
      </x:c>
      <x:c r="K176" s="7" t="n">
        <x:v>41640.88</x:v>
      </x:c>
      <x:c r="L176" s="7" t="n">
        <x:v>2240.12</x:v>
      </x:c>
      <x:c r="M176" s="7" t="n">
        <x:v>1320.68</x:v>
      </x:c>
      <x:c r="N176" s="7" t="n">
        <x:v>58454.67</x:v>
      </x:c>
      <x:c r="O176" s="8" t="n">
        <x:v>0.5639</x:v>
      </x:c>
      <x:c r="P176" s="7" t="n">
        <x:v>235.9</x:v>
      </x:c>
    </x:row>
    <x:row r="177">
      <x:c r="A177" s="5" t="str">
        <x:v>P0165</x:v>
      </x:c>
      <x:c r="B177" s="5" t="str">
        <x:v>BluePeak Logistics 238</x:v>
      </x:c>
      <x:c r="C177" s="5" t="str">
        <x:v>Mid-Market</x:v>
      </x:c>
      <x:c r="D177" s="5" t="str">
        <x:v>US East</x:v>
      </x:c>
      <x:c r="E177" s="5" t="str">
        <x:v>Optimization</x:v>
      </x:c>
      <x:c r="F177" s="5" t="str">
        <x:v>Time and Materials</x:v>
      </x:c>
      <x:c r="G177" s="6" t="n">
        <x:v>45566</x:v>
      </x:c>
      <x:c r="H177" s="6" t="n">
        <x:v>45689</x:v>
      </x:c>
      <x:c r="I177" s="5" t="str">
        <x:v>Completed</x:v>
      </x:c>
      <x:c r="J177" s="7" t="n">
        <x:v>339765.41</x:v>
      </x:c>
      <x:c r="K177" s="7" t="n">
        <x:v>119383.19</x:v>
      </x:c>
      <x:c r="L177" s="7" t="n">
        <x:v>24443.96</x:v>
      </x:c>
      <x:c r="M177" s="7" t="n">
        <x:v>4295.31</x:v>
      </x:c>
      <x:c r="N177" s="7" t="n">
        <x:v>191642.96</x:v>
      </x:c>
      <x:c r="O177" s="8" t="n">
        <x:v>0.564</x:v>
      </x:c>
      <x:c r="P177" s="7" t="n">
        <x:v>265.07</x:v>
      </x:c>
    </x:row>
    <x:row r="178">
      <x:c r="A178" s="5" t="str">
        <x:v>P0042</x:v>
      </x:c>
      <x:c r="B178" s="5" t="str">
        <x:v>BluePeak Mobility 246</x:v>
      </x:c>
      <x:c r="C178" s="5" t="str">
        <x:v>SMB</x:v>
      </x:c>
      <x:c r="D178" s="5" t="str">
        <x:v>US East</x:v>
      </x:c>
      <x:c r="E178" s="5" t="str">
        <x:v>Managed Services</x:v>
      </x:c>
      <x:c r="F178" s="5" t="str">
        <x:v>Time and Materials</x:v>
      </x:c>
      <x:c r="G178" s="6" t="n">
        <x:v>45870</x:v>
      </x:c>
      <x:c r="H178" s="6" t="n">
        <x:v>46235</x:v>
      </x:c>
      <x:c r="I178" s="5" t="str">
        <x:v>In Progress</x:v>
      </x:c>
      <x:c r="J178" s="7" t="n">
        <x:v>138295.51</x:v>
      </x:c>
      <x:c r="K178" s="7" t="n">
        <x:v>55488.22</x:v>
      </x:c>
      <x:c r="L178" s="7" t="n">
        <x:v>3154.13</x:v>
      </x:c>
      <x:c r="M178" s="7" t="n">
        <x:v>1611.76</x:v>
      </x:c>
      <x:c r="N178" s="7" t="n">
        <x:v>78041.35</x:v>
      </x:c>
      <x:c r="O178" s="8" t="n">
        <x:v>0.5643</x:v>
      </x:c>
      <x:c r="P178" s="7" t="n">
        <x:v>236.81</x:v>
      </x:c>
    </x:row>
    <x:row r="179">
      <x:c r="A179" s="5" t="str">
        <x:v>P0093</x:v>
      </x:c>
      <x:c r="B179" s="5" t="str">
        <x:v>Harbor Education 204</x:v>
      </x:c>
      <x:c r="C179" s="5" t="str">
        <x:v>Enterprise</x:v>
      </x:c>
      <x:c r="D179" s="5" t="str">
        <x:v>US West</x:v>
      </x:c>
      <x:c r="E179" s="5" t="str">
        <x:v>Optimization</x:v>
      </x:c>
      <x:c r="F179" s="5" t="str">
        <x:v>Time and Materials</x:v>
      </x:c>
      <x:c r="G179" s="6" t="n">
        <x:v>45017</x:v>
      </x:c>
      <x:c r="H179" s="6" t="n">
        <x:v>45078</x:v>
      </x:c>
      <x:c r="I179" s="5" t="str">
        <x:v>Completed</x:v>
      </x:c>
      <x:c r="J179" s="7" t="n">
        <x:v>415031.54</x:v>
      </x:c>
      <x:c r="K179" s="7" t="n">
        <x:v>153159.65</x:v>
      </x:c>
      <x:c r="L179" s="7" t="n">
        <x:v>21917.54</x:v>
      </x:c>
      <x:c r="M179" s="7" t="n">
        <x:v>5593.77</x:v>
      </x:c>
      <x:c r="N179" s="7" t="n">
        <x:v>234360.58</x:v>
      </x:c>
      <x:c r="O179" s="8" t="n">
        <x:v>0.5647</x:v>
      </x:c>
      <x:c r="P179" s="7" t="n">
        <x:v>244.65</x:v>
      </x:c>
    </x:row>
    <x:row r="180">
      <x:c r="A180" s="5" t="str">
        <x:v>P0103</x:v>
      </x:c>
      <x:c r="B180" s="5" t="str">
        <x:v>Silverline Retail 222</x:v>
      </x:c>
      <x:c r="C180" s="5" t="str">
        <x:v>Mid-Market</x:v>
      </x:c>
      <x:c r="D180" s="5" t="str">
        <x:v>US East</x:v>
      </x:c>
      <x:c r="E180" s="5" t="str">
        <x:v>Optimization</x:v>
      </x:c>
      <x:c r="F180" s="5" t="str">
        <x:v>Fixed Price</x:v>
      </x:c>
      <x:c r="G180" s="6" t="n">
        <x:v>45658</x:v>
      </x:c>
      <x:c r="H180" s="6" t="n">
        <x:v>45717</x:v>
      </x:c>
      <x:c r="I180" s="5" t="str">
        <x:v>Completed</x:v>
      </x:c>
      <x:c r="J180" s="7" t="n">
        <x:v>343786</x:v>
      </x:c>
      <x:c r="K180" s="7" t="n">
        <x:v>122698.8</x:v>
      </x:c>
      <x:c r="L180" s="7" t="n">
        <x:v>23619.46</x:v>
      </x:c>
      <x:c r="M180" s="7" t="n">
        <x:v>3305.31</x:v>
      </x:c>
      <x:c r="N180" s="7" t="n">
        <x:v>194162.43</x:v>
      </x:c>
      <x:c r="O180" s="8" t="n">
        <x:v>0.5648</x:v>
      </x:c>
      <x:c r="P180" s="7" t="n">
        <x:v>267.95</x:v>
      </x:c>
    </x:row>
    <x:row r="181">
      <x:c r="A181" s="5" t="str">
        <x:v>P0151</x:v>
      </x:c>
      <x:c r="B181" s="5" t="str">
        <x:v>Highland Insurance 037</x:v>
      </x:c>
      <x:c r="C181" s="5" t="str">
        <x:v>Enterprise</x:v>
      </x:c>
      <x:c r="D181" s="5" t="str">
        <x:v>US East</x:v>
      </x:c>
      <x:c r="E181" s="5" t="str">
        <x:v>Managed Services</x:v>
      </x:c>
      <x:c r="F181" s="5" t="str">
        <x:v>Fixed Price</x:v>
      </x:c>
      <x:c r="G181" s="6" t="n">
        <x:v>44927</x:v>
      </x:c>
      <x:c r="H181" s="6" t="n">
        <x:v>45292</x:v>
      </x:c>
      <x:c r="I181" s="5" t="str">
        <x:v>Completed</x:v>
      </x:c>
      <x:c r="J181" s="7" t="n">
        <x:v>659193.54</x:v>
      </x:c>
      <x:c r="K181" s="7" t="n">
        <x:v>259477.06</x:v>
      </x:c>
      <x:c r="L181" s="7" t="n">
        <x:v>18340.93</x:v>
      </x:c>
      <x:c r="M181" s="7" t="n">
        <x:v>8145.13</x:v>
      </x:c>
      <x:c r="N181" s="7" t="n">
        <x:v>373230.41</x:v>
      </x:c>
      <x:c r="O181" s="8" t="n">
        <x:v>0.5662</x:v>
      </x:c>
      <x:c r="P181" s="7" t="n">
        <x:v>227.97</x:v>
      </x:c>
    </x:row>
    <x:row r="182">
      <x:c r="A182" s="5" t="str">
        <x:v>P0202</x:v>
      </x:c>
      <x:c r="B182" s="5" t="str">
        <x:v>BluePeak Retail 084</x:v>
      </x:c>
      <x:c r="C182" s="5" t="str">
        <x:v>SMB</x:v>
      </x:c>
      <x:c r="D182" s="5" t="str">
        <x:v>US Central</x:v>
      </x:c>
      <x:c r="E182" s="5" t="str">
        <x:v>Training</x:v>
      </x:c>
      <x:c r="F182" s="5" t="str">
        <x:v>Fixed Price</x:v>
      </x:c>
      <x:c r="G182" s="6" t="n">
        <x:v>45017</x:v>
      </x:c>
      <x:c r="H182" s="6" t="n">
        <x:v>45047</x:v>
      </x:c>
      <x:c r="I182" s="5" t="str">
        <x:v>Completed</x:v>
      </x:c>
      <x:c r="J182" s="7" t="n">
        <x:v>24289.66</x:v>
      </x:c>
      <x:c r="K182" s="7" t="n">
        <x:v>9658.15</x:v>
      </x:c>
      <x:c r="L182" s="7" t="n">
        <x:v>309.83</x:v>
      </x:c>
      <x:c r="M182" s="7" t="n">
        <x:v>534.38</x:v>
      </x:c>
      <x:c r="N182" s="7" t="n">
        <x:v>13787.29</x:v>
      </x:c>
      <x:c r="O182" s="8" t="n">
        <x:v>0.5676</x:v>
      </x:c>
      <x:c r="P182" s="7" t="n">
        <x:v>227.01</x:v>
      </x:c>
    </x:row>
    <x:row r="183">
      <x:c r="A183" s="5" t="str">
        <x:v>P0080</x:v>
      </x:c>
      <x:c r="B183" s="5" t="str">
        <x:v>Pioneer Foods 151</x:v>
      </x:c>
      <x:c r="C183" s="5" t="str">
        <x:v>Enterprise</x:v>
      </x:c>
      <x:c r="D183" s="5" t="str">
        <x:v>US Central</x:v>
      </x:c>
      <x:c r="E183" s="5" t="str">
        <x:v>Managed Services</x:v>
      </x:c>
      <x:c r="F183" s="5" t="str">
        <x:v>Fixed Price</x:v>
      </x:c>
      <x:c r="G183" s="6" t="n">
        <x:v>46054</x:v>
      </x:c>
      <x:c r="H183" s="6" t="n">
        <x:v>46508</x:v>
      </x:c>
      <x:c r="I183" s="5" t="str">
        <x:v>In Progress</x:v>
      </x:c>
      <x:c r="J183" s="7" t="n">
        <x:v>183111.64</x:v>
      </x:c>
      <x:c r="K183" s="7" t="n">
        <x:v>68683.47</x:v>
      </x:c>
      <x:c r="L183" s="7" t="n">
        <x:v>6596.2</x:v>
      </x:c>
      <x:c r="M183" s="7" t="n">
        <x:v>2643.76</x:v>
      </x:c>
      <x:c r="N183" s="7" t="n">
        <x:v>105188.19</x:v>
      </x:c>
      <x:c r="O183" s="8" t="n">
        <x:v>0.5744</x:v>
      </x:c>
      <x:c r="P183" s="7" t="n">
        <x:v>256.46</x:v>
      </x:c>
    </x:row>
    <x:row r="184">
      <x:c r="A184" s="5" t="str">
        <x:v>P0084</x:v>
      </x:c>
      <x:c r="B184" s="5" t="str">
        <x:v>Nova Insurance 250</x:v>
      </x:c>
      <x:c r="C184" s="5" t="str">
        <x:v>SMB</x:v>
      </x:c>
      <x:c r="D184" s="5" t="str">
        <x:v>Canada</x:v>
      </x:c>
      <x:c r="E184" s="5" t="str">
        <x:v>Managed Services</x:v>
      </x:c>
      <x:c r="F184" s="5" t="str">
        <x:v>Time and Materials</x:v>
      </x:c>
      <x:c r="G184" s="6" t="n">
        <x:v>46082</x:v>
      </x:c>
      <x:c r="H184" s="6" t="n">
        <x:v>46539</x:v>
      </x:c>
      <x:c r="I184" s="5" t="str">
        <x:v>In Progress</x:v>
      </x:c>
      <x:c r="J184" s="7" t="n">
        <x:v>41187.1</x:v>
      </x:c>
      <x:c r="K184" s="7" t="n">
        <x:v>15799.2</x:v>
      </x:c>
      <x:c r="L184" s="7" t="n">
        <x:v>1198.9</x:v>
      </x:c>
      <x:c r="M184" s="7" t="n">
        <x:v>509.6</x:v>
      </x:c>
      <x:c r="N184" s="7" t="n">
        <x:v>23679.41</x:v>
      </x:c>
      <x:c r="O184" s="8" t="n">
        <x:v>0.5749</x:v>
      </x:c>
      <x:c r="P184" s="7" t="n">
        <x:v>250.99</x:v>
      </x:c>
    </x:row>
    <x:row r="185">
      <x:c r="A185" s="5" t="str">
        <x:v>P0111</x:v>
      </x:c>
      <x:c r="B185" s="5" t="str">
        <x:v>Lakeview Financial 212</x:v>
      </x:c>
      <x:c r="C185" s="5" t="str">
        <x:v>SMB</x:v>
      </x:c>
      <x:c r="D185" s="5" t="str">
        <x:v>US Central</x:v>
      </x:c>
      <x:c r="E185" s="5" t="str">
        <x:v>Training</x:v>
      </x:c>
      <x:c r="F185" s="5" t="str">
        <x:v>Fixed Price</x:v>
      </x:c>
      <x:c r="G185" s="6" t="n">
        <x:v>45566</x:v>
      </x:c>
      <x:c r="H185" s="6" t="n">
        <x:v>45597</x:v>
      </x:c>
      <x:c r="I185" s="5" t="str">
        <x:v>Completed</x:v>
      </x:c>
      <x:c r="J185" s="7" t="n">
        <x:v>23658.88</x:v>
      </x:c>
      <x:c r="K185" s="7" t="n">
        <x:v>9178.73</x:v>
      </x:c>
      <x:c r="L185" s="7" t="n">
        <x:v>351.66</x:v>
      </x:c>
      <x:c r="M185" s="7" t="n">
        <x:v>520.5</x:v>
      </x:c>
      <x:c r="N185" s="7" t="n">
        <x:v>13607.99</x:v>
      </x:c>
      <x:c r="O185" s="8" t="n">
        <x:v>0.5752</x:v>
      </x:c>
      <x:c r="P185" s="7" t="n">
        <x:v>235.18</x:v>
      </x:c>
    </x:row>
    <x:row r="186">
      <x:c r="A186" s="5" t="str">
        <x:v>P0219</x:v>
      </x:c>
      <x:c r="B186" s="5" t="str">
        <x:v>Highland Insurance 037</x:v>
      </x:c>
      <x:c r="C186" s="5" t="str">
        <x:v>Enterprise</x:v>
      </x:c>
      <x:c r="D186" s="5" t="str">
        <x:v>US East</x:v>
      </x:c>
      <x:c r="E186" s="5" t="str">
        <x:v>Managed Services</x:v>
      </x:c>
      <x:c r="F186" s="5" t="str">
        <x:v>Time and Materials</x:v>
      </x:c>
      <x:c r="G186" s="6" t="n">
        <x:v>46023</x:v>
      </x:c>
      <x:c r="H186" s="6" t="n">
        <x:v>46447</x:v>
      </x:c>
      <x:c r="I186" s="5" t="str">
        <x:v>In Progress</x:v>
      </x:c>
      <x:c r="J186" s="7" t="n">
        <x:v>278021.42</x:v>
      </x:c>
      <x:c r="K186" s="7" t="n">
        <x:v>105824.38</x:v>
      </x:c>
      <x:c r="L186" s="7" t="n">
        <x:v>7812.83</x:v>
      </x:c>
      <x:c r="M186" s="7" t="n">
        <x:v>4198.99</x:v>
      </x:c>
      <x:c r="N186" s="7" t="n">
        <x:v>160185.23</x:v>
      </x:c>
      <x:c r="O186" s="8" t="n">
        <x:v>0.5762</x:v>
      </x:c>
      <x:c r="P186" s="7" t="n">
        <x:v>252.45</x:v>
      </x:c>
    </x:row>
    <x:row r="187">
      <x:c r="A187" s="5" t="str">
        <x:v>P0044</x:v>
      </x:c>
      <x:c r="B187" s="5" t="str">
        <x:v>Westbridge Manufacturing 215</x:v>
      </x:c>
      <x:c r="C187" s="5" t="str">
        <x:v>Enterprise</x:v>
      </x:c>
      <x:c r="D187" s="5" t="str">
        <x:v>US Central</x:v>
      </x:c>
      <x:c r="E187" s="5" t="str">
        <x:v>Optimization</x:v>
      </x:c>
      <x:c r="F187" s="5" t="str">
        <x:v>Time and Materials</x:v>
      </x:c>
      <x:c r="G187" s="6" t="n">
        <x:v>45627</x:v>
      </x:c>
      <x:c r="H187" s="6" t="n">
        <x:v>45689</x:v>
      </x:c>
      <x:c r="I187" s="5" t="str">
        <x:v>Completed</x:v>
      </x:c>
      <x:c r="J187" s="7" t="n">
        <x:v>752121.4</x:v>
      </x:c>
      <x:c r="K187" s="7" t="n">
        <x:v>266482.9</x:v>
      </x:c>
      <x:c r="L187" s="7" t="n">
        <x:v>40515.37</x:v>
      </x:c>
      <x:c r="M187" s="7" t="n">
        <x:v>11579.42</x:v>
      </x:c>
      <x:c r="N187" s="7" t="n">
        <x:v>433543.69</x:v>
      </x:c>
      <x:c r="O187" s="8" t="n">
        <x:v>0.5764</x:v>
      </x:c>
      <x:c r="P187" s="7" t="n">
        <x:v>267.46</x:v>
      </x:c>
    </x:row>
    <x:row r="188">
      <x:c r="A188" s="5" t="str">
        <x:v>P0104</x:v>
      </x:c>
      <x:c r="B188" s="5" t="str">
        <x:v>Clearwater Insurance 113</x:v>
      </x:c>
      <x:c r="C188" s="5" t="str">
        <x:v>SMB</x:v>
      </x:c>
      <x:c r="D188" s="5" t="str">
        <x:v>US East</x:v>
      </x:c>
      <x:c r="E188" s="5" t="str">
        <x:v>Managed Services</x:v>
      </x:c>
      <x:c r="F188" s="5" t="str">
        <x:v>Time and Materials</x:v>
      </x:c>
      <x:c r="G188" s="6" t="n">
        <x:v>44958</x:v>
      </x:c>
      <x:c r="H188" s="6" t="n">
        <x:v>45200</x:v>
      </x:c>
      <x:c r="I188" s="5" t="str">
        <x:v>Completed</x:v>
      </x:c>
      <x:c r="J188" s="7" t="n">
        <x:v>52745.39</x:v>
      </x:c>
      <x:c r="K188" s="7" t="n">
        <x:v>20366.09</x:v>
      </x:c>
      <x:c r="L188" s="7" t="n">
        <x:v>1292.71</x:v>
      </x:c>
      <x:c r="M188" s="7" t="n">
        <x:v>621.13</x:v>
      </x:c>
      <x:c r="N188" s="7" t="n">
        <x:v>30465.5</x:v>
      </x:c>
      <x:c r="O188" s="8" t="n">
        <x:v>0.5776</x:v>
      </x:c>
      <x:c r="P188" s="7" t="n">
        <x:v>232.46</x:v>
      </x:c>
    </x:row>
    <x:row r="189">
      <x:c r="A189" s="5" t="str">
        <x:v>P0189</x:v>
      </x:c>
      <x:c r="B189" s="5" t="str">
        <x:v>Vantage Technology 207</x:v>
      </x:c>
      <x:c r="C189" s="5" t="str">
        <x:v>Mid-Market</x:v>
      </x:c>
      <x:c r="D189" s="5" t="str">
        <x:v>US West</x:v>
      </x:c>
      <x:c r="E189" s="5" t="str">
        <x:v>Training</x:v>
      </x:c>
      <x:c r="F189" s="5" t="str">
        <x:v>Fixed Price</x:v>
      </x:c>
      <x:c r="G189" s="6" t="n">
        <x:v>45870</x:v>
      </x:c>
      <x:c r="H189" s="6" t="n">
        <x:v>45870</x:v>
      </x:c>
      <x:c r="I189" s="5" t="str">
        <x:v>Completed</x:v>
      </x:c>
      <x:c r="J189" s="7" t="n">
        <x:v>84343.58</x:v>
      </x:c>
      <x:c r="K189" s="7" t="n">
        <x:v>30976.23</x:v>
      </x:c>
      <x:c r="L189" s="7" t="n">
        <x:v>2573.19</x:v>
      </x:c>
      <x:c r="M189" s="7" t="n">
        <x:v>1855.56</x:v>
      </x:c>
      <x:c r="N189" s="7" t="n">
        <x:v>48938.6</x:v>
      </x:c>
      <x:c r="O189" s="8" t="n">
        <x:v>0.5802</x:v>
      </x:c>
      <x:c r="P189" s="7" t="n">
        <x:v>253.44</x:v>
      </x:c>
    </x:row>
    <x:row r="190">
      <x:c r="A190" s="5" t="str">
        <x:v>P0060</x:v>
      </x:c>
      <x:c r="B190" s="5" t="str">
        <x:v>Pioneer Media 241</x:v>
      </x:c>
      <x:c r="C190" s="5" t="str">
        <x:v>Mid-Market</x:v>
      </x:c>
      <x:c r="D190" s="5" t="str">
        <x:v>US West</x:v>
      </x:c>
      <x:c r="E190" s="5" t="str">
        <x:v>Managed Services</x:v>
      </x:c>
      <x:c r="F190" s="5" t="str">
        <x:v>Time and Materials</x:v>
      </x:c>
      <x:c r="G190" s="6" t="n">
        <x:v>45566</x:v>
      </x:c>
      <x:c r="H190" s="6" t="n">
        <x:v>45931</x:v>
      </x:c>
      <x:c r="I190" s="5" t="str">
        <x:v>Completed</x:v>
      </x:c>
      <x:c r="J190" s="7" t="n">
        <x:v>400284.81</x:v>
      </x:c>
      <x:c r="K190" s="7" t="n">
        <x:v>152642.52</x:v>
      </x:c>
      <x:c r="L190" s="7" t="n">
        <x:v>10553.08</x:v>
      </x:c>
      <x:c r="M190" s="7" t="n">
        <x:v>4727.77</x:v>
      </x:c>
      <x:c r="N190" s="7" t="n">
        <x:v>232361.44</x:v>
      </x:c>
      <x:c r="O190" s="8" t="n">
        <x:v>0.5805</x:v>
      </x:c>
      <x:c r="P190" s="7" t="n">
        <x:v>245.74</x:v>
      </x:c>
    </x:row>
    <x:row r="191">
      <x:c r="A191" s="5" t="str">
        <x:v>P0216</x:v>
      </x:c>
      <x:c r="B191" s="5" t="str">
        <x:v>Summit Financial 181</x:v>
      </x:c>
      <x:c r="C191" s="5" t="str">
        <x:v>Mid-Market</x:v>
      </x:c>
      <x:c r="D191" s="5" t="str">
        <x:v>US West</x:v>
      </x:c>
      <x:c r="E191" s="5" t="str">
        <x:v>Optimization</x:v>
      </x:c>
      <x:c r="F191" s="5" t="str">
        <x:v>Time and Materials</x:v>
      </x:c>
      <x:c r="G191" s="6" t="n">
        <x:v>45962</x:v>
      </x:c>
      <x:c r="H191" s="6" t="n">
        <x:v>46082</x:v>
      </x:c>
      <x:c r="I191" s="5" t="str">
        <x:v>Completed</x:v>
      </x:c>
      <x:c r="J191" s="7" t="n">
        <x:v>211394.46</x:v>
      </x:c>
      <x:c r="K191" s="7" t="n">
        <x:v>73667.52</x:v>
      </x:c>
      <x:c r="L191" s="7" t="n">
        <x:v>12254.66</x:v>
      </x:c>
      <x:c r="M191" s="7" t="n">
        <x:v>2315.29</x:v>
      </x:c>
      <x:c r="N191" s="7" t="n">
        <x:v>123156.98</x:v>
      </x:c>
      <x:c r="O191" s="8" t="n">
        <x:v>0.5826</x:v>
      </x:c>
      <x:c r="P191" s="7" t="n">
        <x:v>272.66</x:v>
      </x:c>
    </x:row>
    <x:row r="192">
      <x:c r="A192" s="5" t="str">
        <x:v>P0087</x:v>
      </x:c>
      <x:c r="B192" s="5" t="str">
        <x:v>Stonegate Logistics 005</x:v>
      </x:c>
      <x:c r="C192" s="5" t="str">
        <x:v>Mid-Market</x:v>
      </x:c>
      <x:c r="D192" s="5" t="str">
        <x:v>Canada</x:v>
      </x:c>
      <x:c r="E192" s="5" t="str">
        <x:v>Managed Services</x:v>
      </x:c>
      <x:c r="F192" s="5" t="str">
        <x:v>Time and Materials</x:v>
      </x:c>
      <x:c r="G192" s="6" t="n">
        <x:v>45566</x:v>
      </x:c>
      <x:c r="H192" s="6" t="n">
        <x:v>46082</x:v>
      </x:c>
      <x:c r="I192" s="5" t="str">
        <x:v>Completed</x:v>
      </x:c>
      <x:c r="J192" s="7" t="n">
        <x:v>427185.95</x:v>
      </x:c>
      <x:c r="K192" s="7" t="n">
        <x:v>162708.91</x:v>
      </x:c>
      <x:c r="L192" s="7" t="n">
        <x:v>8640.36</x:v>
      </x:c>
      <x:c r="M192" s="7" t="n">
        <x:v>5816.8</x:v>
      </x:c>
      <x:c r="N192" s="7" t="n">
        <x:v>250019.85</x:v>
      </x:c>
      <x:c r="O192" s="8" t="n">
        <x:v>0.5853</x:v>
      </x:c>
      <x:c r="P192" s="7" t="n">
        <x:v>246.97</x:v>
      </x:c>
    </x:row>
    <x:row r="193">
      <x:c r="A193" s="5" t="str">
        <x:v>P0126</x:v>
      </x:c>
      <x:c r="B193" s="5" t="str">
        <x:v>BluePeak Logistics 238</x:v>
      </x:c>
      <x:c r="C193" s="5" t="str">
        <x:v>Mid-Market</x:v>
      </x:c>
      <x:c r="D193" s="5" t="str">
        <x:v>US East</x:v>
      </x:c>
      <x:c r="E193" s="5" t="str">
        <x:v>Managed Services</x:v>
      </x:c>
      <x:c r="F193" s="5" t="str">
        <x:v>Time and Materials</x:v>
      </x:c>
      <x:c r="G193" s="6" t="n">
        <x:v>45748</x:v>
      </x:c>
      <x:c r="H193" s="6" t="n">
        <x:v>45962</x:v>
      </x:c>
      <x:c r="I193" s="5" t="str">
        <x:v>Completed</x:v>
      </x:c>
      <x:c r="J193" s="7" t="n">
        <x:v>535480.59</x:v>
      </x:c>
      <x:c r="K193" s="7" t="n">
        <x:v>199726.06</x:v>
      </x:c>
      <x:c r="L193" s="7" t="n">
        <x:v>16799.58</x:v>
      </x:c>
      <x:c r="M193" s="7" t="n">
        <x:v>5529.53</x:v>
      </x:c>
      <x:c r="N193" s="7" t="n">
        <x:v>313425.43</x:v>
      </x:c>
      <x:c r="O193" s="8" t="n">
        <x:v>0.5853</x:v>
      </x:c>
      <x:c r="P193" s="7" t="n">
        <x:v>251.79</x:v>
      </x:c>
    </x:row>
    <x:row r="194">
      <x:c r="A194" s="5" t="str">
        <x:v>P0170</x:v>
      </x:c>
      <x:c r="B194" s="5" t="str">
        <x:v>Highland Manufacturing 015</x:v>
      </x:c>
      <x:c r="C194" s="5" t="str">
        <x:v>SMB</x:v>
      </x:c>
      <x:c r="D194" s="5" t="str">
        <x:v>US East</x:v>
      </x:c>
      <x:c r="E194" s="5" t="str">
        <x:v>Training</x:v>
      </x:c>
      <x:c r="F194" s="5" t="str">
        <x:v>Fixed Price</x:v>
      </x:c>
      <x:c r="G194" s="6" t="n">
        <x:v>45536</x:v>
      </x:c>
      <x:c r="H194" s="6" t="n">
        <x:v>45566</x:v>
      </x:c>
      <x:c r="I194" s="5" t="str">
        <x:v>Completed</x:v>
      </x:c>
      <x:c r="J194" s="7" t="n">
        <x:v>10675.52</x:v>
      </x:c>
      <x:c r="K194" s="7" t="n">
        <x:v>3855.96</x:v>
      </x:c>
      <x:c r="L194" s="7" t="n">
        <x:v>252.6</x:v>
      </x:c>
      <x:c r="M194" s="7" t="n">
        <x:v>234.86</x:v>
      </x:c>
      <x:c r="N194" s="7" t="n">
        <x:v>6332.08</x:v>
      </x:c>
      <x:c r="O194" s="8" t="n">
        <x:v>0.5931</x:v>
      </x:c>
      <x:c r="P194" s="7" t="n">
        <x:v>252.97</x:v>
      </x:c>
    </x:row>
    <x:row r="195">
      <x:c r="A195" s="5" t="str">
        <x:v>P0212</x:v>
      </x:c>
      <x:c r="B195" s="5" t="str">
        <x:v>Atlas Media 193</x:v>
      </x:c>
      <x:c r="C195" s="5" t="str">
        <x:v>Mid-Market</x:v>
      </x:c>
      <x:c r="D195" s="5" t="str">
        <x:v>US East</x:v>
      </x:c>
      <x:c r="E195" s="5" t="str">
        <x:v>Optimization</x:v>
      </x:c>
      <x:c r="F195" s="5" t="str">
        <x:v>Time and Materials</x:v>
      </x:c>
      <x:c r="G195" s="6" t="n">
        <x:v>45962</x:v>
      </x:c>
      <x:c r="H195" s="6" t="n">
        <x:v>46054</x:v>
      </x:c>
      <x:c r="I195" s="5" t="str">
        <x:v>Completed</x:v>
      </x:c>
      <x:c r="J195" s="7" t="n">
        <x:v>154533.41</x:v>
      </x:c>
      <x:c r="K195" s="7" t="n">
        <x:v>48374.52</x:v>
      </x:c>
      <x:c r="L195" s="7" t="n">
        <x:v>12299.23</x:v>
      </x:c>
      <x:c r="M195" s="7" t="n">
        <x:v>1312.02</x:v>
      </x:c>
      <x:c r="N195" s="7" t="n">
        <x:v>92547.64</x:v>
      </x:c>
      <x:c r="O195" s="8" t="n">
        <x:v>0.5989</x:v>
      </x:c>
      <x:c r="P195" s="7" t="n">
        <x:v>302.53</x:v>
      </x:c>
    </x:row>
    <x:row r="196">
      <x:c r="A196" s="5" t="str">
        <x:v>P0196</x:v>
      </x:c>
      <x:c r="B196" s="5" t="str">
        <x:v>Lakeview Energy 082</x:v>
      </x:c>
      <x:c r="C196" s="5" t="str">
        <x:v>SMB</x:v>
      </x:c>
      <x:c r="D196" s="5" t="str">
        <x:v>US West</x:v>
      </x:c>
      <x:c r="E196" s="5" t="str">
        <x:v>Managed Services</x:v>
      </x:c>
      <x:c r="F196" s="5" t="str">
        <x:v>Time and Materials</x:v>
      </x:c>
      <x:c r="G196" s="6" t="n">
        <x:v>44986</x:v>
      </x:c>
      <x:c r="H196" s="6" t="n">
        <x:v>45383</x:v>
      </x:c>
      <x:c r="I196" s="5" t="str">
        <x:v>Completed</x:v>
      </x:c>
      <x:c r="J196" s="7" t="n">
        <x:v>60250.99</x:v>
      </x:c>
      <x:c r="K196" s="7" t="n">
        <x:v>21702.63</x:v>
      </x:c>
      <x:c r="L196" s="7" t="n">
        <x:v>1573.74</x:v>
      </x:c>
      <x:c r="M196" s="7" t="n">
        <x:v>839.32</x:v>
      </x:c>
      <x:c r="N196" s="7" t="n">
        <x:v>36135.29</x:v>
      </x:c>
      <x:c r="O196" s="8" t="n">
        <x:v>0.5997</x:v>
      </x:c>
      <x:c r="P196" s="7" t="n">
        <x:v>249.8</x:v>
      </x:c>
    </x:row>
    <x:row r="197">
      <x:c r="A197" s="5" t="str">
        <x:v>P0133</x:v>
      </x:c>
      <x:c r="B197" s="5" t="str">
        <x:v>Evergreen Energy 190</x:v>
      </x:c>
      <x:c r="C197" s="5" t="str">
        <x:v>Enterprise</x:v>
      </x:c>
      <x:c r="D197" s="5" t="str">
        <x:v>US Central</x:v>
      </x:c>
      <x:c r="E197" s="5" t="str">
        <x:v>Training</x:v>
      </x:c>
      <x:c r="F197" s="5" t="str">
        <x:v>Fixed Price</x:v>
      </x:c>
      <x:c r="G197" s="6" t="n">
        <x:v>45444</x:v>
      </x:c>
      <x:c r="H197" s="6" t="n">
        <x:v>45444</x:v>
      </x:c>
      <x:c r="I197" s="5" t="str">
        <x:v>Completed</x:v>
      </x:c>
      <x:c r="J197" s="7" t="n">
        <x:v>134712.4</x:v>
      </x:c>
      <x:c r="K197" s="7" t="n">
        <x:v>48278.86</x:v>
      </x:c>
      <x:c r="L197" s="7" t="n">
        <x:v>2627.24</x:v>
      </x:c>
      <x:c r="M197" s="7" t="n">
        <x:v>2963.67</x:v>
      </x:c>
      <x:c r="N197" s="7" t="n">
        <x:v>80842.63</x:v>
      </x:c>
      <x:c r="O197" s="8" t="n">
        <x:v>0.6001</x:v>
      </x:c>
      <x:c r="P197" s="7" t="n">
        <x:v>252.93</x:v>
      </x:c>
    </x:row>
    <x:row r="198">
      <x:c r="A198" s="5" t="str">
        <x:v>P0062</x:v>
      </x:c>
      <x:c r="B198" s="5" t="str">
        <x:v>Meridian Logistics 152</x:v>
      </x:c>
      <x:c r="C198" s="5" t="str">
        <x:v>Mid-Market</x:v>
      </x:c>
      <x:c r="D198" s="5" t="str">
        <x:v>US West</x:v>
      </x:c>
      <x:c r="E198" s="5" t="str">
        <x:v>Training</x:v>
      </x:c>
      <x:c r="F198" s="5" t="str">
        <x:v>Fixed Price</x:v>
      </x:c>
      <x:c r="G198" s="6" t="n">
        <x:v>46023</x:v>
      </x:c>
      <x:c r="H198" s="6" t="n">
        <x:v>46054</x:v>
      </x:c>
      <x:c r="I198" s="5" t="str">
        <x:v>Completed</x:v>
      </x:c>
      <x:c r="J198" s="7" t="n">
        <x:v>58820.88</x:v>
      </x:c>
      <x:c r="K198" s="7" t="n">
        <x:v>19399.24</x:v>
      </x:c>
      <x:c r="L198" s="7" t="n">
        <x:v>2412.92</x:v>
      </x:c>
      <x:c r="M198" s="7" t="n">
        <x:v>1294.06</x:v>
      </x:c>
      <x:c r="N198" s="7" t="n">
        <x:v>35714.64</x:v>
      </x:c>
      <x:c r="O198" s="8" t="n">
        <x:v>0.6072</x:v>
      </x:c>
      <x:c r="P198" s="7" t="n">
        <x:v>290.04</x:v>
      </x:c>
    </x:row>
    <x:row r="199">
      <x:c r="A199" s="5" t="str">
        <x:v>P0050</x:v>
      </x:c>
      <x:c r="B199" s="5" t="str">
        <x:v>Redwood Mobility 114</x:v>
      </x:c>
      <x:c r="C199" s="5" t="str">
        <x:v>Enterprise</x:v>
      </x:c>
      <x:c r="D199" s="5" t="str">
        <x:v>Canada</x:v>
      </x:c>
      <x:c r="E199" s="5" t="str">
        <x:v>Managed Services</x:v>
      </x:c>
      <x:c r="F199" s="5" t="str">
        <x:v>Time and Materials</x:v>
      </x:c>
      <x:c r="G199" s="6" t="n">
        <x:v>45870</x:v>
      </x:c>
      <x:c r="H199" s="6" t="n">
        <x:v>46204</x:v>
      </x:c>
      <x:c r="I199" s="5" t="str">
        <x:v>In Progress</x:v>
      </x:c>
      <x:c r="J199" s="7" t="n">
        <x:v>671768.95</x:v>
      </x:c>
      <x:c r="K199" s="7" t="n">
        <x:v>239980.23</x:v>
      </x:c>
      <x:c r="L199" s="7" t="n">
        <x:v>15811.06</x:v>
      </x:c>
      <x:c r="M199" s="7" t="n">
        <x:v>6418.95</x:v>
      </x:c>
      <x:c r="N199" s="7" t="n">
        <x:v>409558.7</x:v>
      </x:c>
      <x:c r="O199" s="8" t="n">
        <x:v>0.6097</x:v>
      </x:c>
      <x:c r="P199" s="7" t="n">
        <x:v>266.02</x:v>
      </x:c>
    </x:row>
    <x:row r="200">
      <x:c r="A200" s="5" t="str">
        <x:v>P0142</x:v>
      </x:c>
      <x:c r="B200" s="5" t="str">
        <x:v>Highland Foods 117</x:v>
      </x:c>
      <x:c r="C200" s="5" t="str">
        <x:v>Mid-Market</x:v>
      </x:c>
      <x:c r="D200" s="5" t="str">
        <x:v>US West</x:v>
      </x:c>
      <x:c r="E200" s="5" t="str">
        <x:v>Managed Services</x:v>
      </x:c>
      <x:c r="F200" s="5" t="str">
        <x:v>Time and Materials</x:v>
      </x:c>
      <x:c r="G200" s="6" t="n">
        <x:v>45536</x:v>
      </x:c>
      <x:c r="H200" s="6" t="n">
        <x:v>45689</x:v>
      </x:c>
      <x:c r="I200" s="5" t="str">
        <x:v>Completed</x:v>
      </x:c>
      <x:c r="J200" s="7" t="n">
        <x:v>380766.21</x:v>
      </x:c>
      <x:c r="K200" s="7" t="n">
        <x:v>128872.71</x:v>
      </x:c>
      <x:c r="L200" s="7" t="n">
        <x:v>14882.74</x:v>
      </x:c>
      <x:c r="M200" s="7" t="n">
        <x:v>4401.05</x:v>
      </x:c>
      <x:c r="N200" s="7" t="n">
        <x:v>232609.71</x:v>
      </x:c>
      <x:c r="O200" s="8" t="n">
        <x:v>0.6109</x:v>
      </x:c>
      <x:c r="P200" s="7" t="n">
        <x:v>274.13</x:v>
      </x:c>
    </x:row>
    <x:row r="201">
      <x:c r="A201" s="5" t="str">
        <x:v>P0057</x:v>
      </x:c>
      <x:c r="B201" s="5" t="str">
        <x:v>Cedar Financial 049</x:v>
      </x:c>
      <x:c r="C201" s="5" t="str">
        <x:v>Mid-Market</x:v>
      </x:c>
      <x:c r="D201" s="5" t="str">
        <x:v>Canada</x:v>
      </x:c>
      <x:c r="E201" s="5" t="str">
        <x:v>Managed Services</x:v>
      </x:c>
      <x:c r="F201" s="5" t="str">
        <x:v>Fixed Price</x:v>
      </x:c>
      <x:c r="G201" s="6" t="n">
        <x:v>45839</x:v>
      </x:c>
      <x:c r="H201" s="6" t="n">
        <x:v>46327</x:v>
      </x:c>
      <x:c r="I201" s="5" t="str">
        <x:v>In Progress</x:v>
      </x:c>
      <x:c r="J201" s="7" t="n">
        <x:v>278516.87</x:v>
      </x:c>
      <x:c r="K201" s="7" t="n">
        <x:v>96299.9</x:v>
      </x:c>
      <x:c r="L201" s="7" t="n">
        <x:v>6195.94</x:v>
      </x:c>
      <x:c r="M201" s="7" t="n">
        <x:v>3704.02</x:v>
      </x:c>
      <x:c r="N201" s="7" t="n">
        <x:v>172316.99</x:v>
      </x:c>
      <x:c r="O201" s="8" t="n">
        <x:v>0.6187</x:v>
      </x:c>
      <x:c r="P201" s="7" t="n">
        <x:v>274.51</x:v>
      </x:c>
    </x:row>
    <x:row r="202">
      <x:c r="A202" s="5" t="str">
        <x:v>P0031</x:v>
      </x:c>
      <x:c r="B202" s="5" t="str">
        <x:v>Atlas Retail 107</x:v>
      </x:c>
      <x:c r="C202" s="5" t="str">
        <x:v>SMB</x:v>
      </x:c>
      <x:c r="D202" s="5" t="str">
        <x:v>US Central</x:v>
      </x:c>
      <x:c r="E202" s="5" t="str">
        <x:v>Managed Services</x:v>
      </x:c>
      <x:c r="F202" s="5" t="str">
        <x:v>Time and Materials</x:v>
      </x:c>
      <x:c r="G202" s="6" t="n">
        <x:v>45627</x:v>
      </x:c>
      <x:c r="H202" s="6" t="n">
        <x:v>46082</x:v>
      </x:c>
      <x:c r="I202" s="5" t="str">
        <x:v>Completed</x:v>
      </x:c>
      <x:c r="J202" s="7" t="n">
        <x:v>63797.2</x:v>
      </x:c>
      <x:c r="K202" s="7" t="n">
        <x:v>22061.91</x:v>
      </x:c>
      <x:c r="L202" s="7" t="n">
        <x:v>1386.18</x:v>
      </x:c>
      <x:c r="M202" s="7" t="n">
        <x:v>647.04</x:v>
      </x:c>
      <x:c r="N202" s="7" t="n">
        <x:v>39702.04</x:v>
      </x:c>
      <x:c r="O202" s="8" t="n">
        <x:v>0.6223</x:v>
      </x:c>
      <x:c r="P202" s="7" t="n">
        <x:v>273.1</x:v>
      </x:c>
    </x:row>
    <x:row r="203">
      <x:c r="A203" s="5" t="str">
        <x:v>P0052</x:v>
      </x:c>
      <x:c r="B203" s="5" t="str">
        <x:v>Cedar Manufacturing 053</x:v>
      </x:c>
      <x:c r="C203" s="5" t="str">
        <x:v>Mid-Market</x:v>
      </x:c>
      <x:c r="D203" s="5" t="str">
        <x:v>US West</x:v>
      </x:c>
      <x:c r="E203" s="5" t="str">
        <x:v>Optimization</x:v>
      </x:c>
      <x:c r="F203" s="5" t="str">
        <x:v>Time and Materials</x:v>
      </x:c>
      <x:c r="G203" s="6" t="n">
        <x:v>45017</x:v>
      </x:c>
      <x:c r="H203" s="6" t="n">
        <x:v>45047</x:v>
      </x:c>
      <x:c r="I203" s="5" t="str">
        <x:v>Completed</x:v>
      </x:c>
      <x:c r="J203" s="7" t="n">
        <x:v>231078.92</x:v>
      </x:c>
      <x:c r="K203" s="7" t="n">
        <x:v>79881.6</x:v>
      </x:c>
      <x:c r="L203" s="7" t="n">
        <x:v>5176.62</x:v>
      </x:c>
      <x:c r="M203" s="7" t="n">
        <x:v>1634.6</x:v>
      </x:c>
      <x:c r="N203" s="7" t="n">
        <x:v>144386.12</x:v>
      </x:c>
      <x:c r="O203" s="8" t="n">
        <x:v>0.6248</x:v>
      </x:c>
      <x:c r="P203" s="7" t="n">
        <x:v>261.11</x:v>
      </x:c>
    </x:row>
    <x:row r="204">
      <x:c r="A204" s="5" t="str">
        <x:v>P0075</x:v>
      </x:c>
      <x:c r="B204" s="5" t="str">
        <x:v>Clearwater Foods 284</x:v>
      </x:c>
      <x:c r="C204" s="5" t="str">
        <x:v>Mid-Market</x:v>
      </x:c>
      <x:c r="D204" s="5" t="str">
        <x:v>US West</x:v>
      </x:c>
      <x:c r="E204" s="5" t="str">
        <x:v>Training</x:v>
      </x:c>
      <x:c r="F204" s="5" t="str">
        <x:v>Fixed Price</x:v>
      </x:c>
      <x:c r="G204" s="6" t="n">
        <x:v>45505</x:v>
      </x:c>
      <x:c r="H204" s="6" t="n">
        <x:v>45536</x:v>
      </x:c>
      <x:c r="I204" s="5" t="str">
        <x:v>Completed</x:v>
      </x:c>
      <x:c r="J204" s="7" t="n">
        <x:v>64314.72</x:v>
      </x:c>
      <x:c r="K204" s="7" t="n">
        <x:v>21921.75</x:v>
      </x:c>
      <x:c r="L204" s="7" t="n">
        <x:v>537.65</x:v>
      </x:c>
      <x:c r="M204" s="7" t="n">
        <x:v>1414.92</x:v>
      </x:c>
      <x:c r="N204" s="7" t="n">
        <x:v>40440.4</x:v>
      </x:c>
      <x:c r="O204" s="8" t="n">
        <x:v>0.6288</x:v>
      </x:c>
      <x:c r="P204" s="7" t="n">
        <x:v>267.31</x:v>
      </x:c>
    </x:row>
    <x:row r="205">
      <x:c r="A205" s="5" t="str">
        <x:v>P0088</x:v>
      </x:c>
      <x:c r="B205" s="5" t="str">
        <x:v>Summit Retail 270</x:v>
      </x:c>
      <x:c r="C205" s="5" t="str">
        <x:v>Enterprise</x:v>
      </x:c>
      <x:c r="D205" s="5" t="str">
        <x:v>US West</x:v>
      </x:c>
      <x:c r="E205" s="5" t="str">
        <x:v>Managed Services</x:v>
      </x:c>
      <x:c r="F205" s="5" t="str">
        <x:v>Time and Materials</x:v>
      </x:c>
      <x:c r="G205" s="6" t="n">
        <x:v>45901</x:v>
      </x:c>
      <x:c r="H205" s="6" t="n">
        <x:v>46235</x:v>
      </x:c>
      <x:c r="I205" s="5" t="str">
        <x:v>In Progress</x:v>
      </x:c>
      <x:c r="J205" s="7" t="n">
        <x:v>448630.55</x:v>
      </x:c>
      <x:c r="K205" s="7" t="n">
        <x:v>148819.94</x:v>
      </x:c>
      <x:c r="L205" s="7" t="n">
        <x:v>12127</x:v>
      </x:c>
      <x:c r="M205" s="7" t="n">
        <x:v>5528.11</x:v>
      </x:c>
      <x:c r="N205" s="7" t="n">
        <x:v>282155.5</x:v>
      </x:c>
      <x:c r="O205" s="8" t="n">
        <x:v>0.6289</x:v>
      </x:c>
      <x:c r="P205" s="7" t="n">
        <x:v>286.94</x:v>
      </x:c>
    </x:row>
    <x:row r="206">
      <x:c r="A206" s="5" t="str">
        <x:v>P0192</x:v>
      </x:c>
      <x:c r="B206" s="5" t="str">
        <x:v>Stonegate Foods 073</x:v>
      </x:c>
      <x:c r="C206" s="5" t="str">
        <x:v>Enterprise</x:v>
      </x:c>
      <x:c r="D206" s="5" t="str">
        <x:v>US West</x:v>
      </x:c>
      <x:c r="E206" s="5" t="str">
        <x:v>Training</x:v>
      </x:c>
      <x:c r="F206" s="5" t="str">
        <x:v>Fixed Price</x:v>
      </x:c>
      <x:c r="G206" s="6" t="n">
        <x:v>45323</x:v>
      </x:c>
      <x:c r="H206" s="6" t="n">
        <x:v>45352</x:v>
      </x:c>
      <x:c r="I206" s="5" t="str">
        <x:v>Completed</x:v>
      </x:c>
      <x:c r="J206" s="7" t="n">
        <x:v>113510.88</x:v>
      </x:c>
      <x:c r="K206" s="7" t="n">
        <x:v>37583.73</x:v>
      </x:c>
      <x:c r="L206" s="7" t="n">
        <x:v>1858.53</x:v>
      </x:c>
      <x:c r="M206" s="7" t="n">
        <x:v>2497.24</x:v>
      </x:c>
      <x:c r="N206" s="7" t="n">
        <x:v>71571.37</x:v>
      </x:c>
      <x:c r="O206" s="8" t="n">
        <x:v>0.6305</x:v>
      </x:c>
      <x:c r="P206" s="7" t="n">
        <x:v>275.31</x:v>
      </x:c>
    </x:row>
    <x:row r="207">
      <x:c r="A207" s="5" t="str">
        <x:v>P0134</x:v>
      </x:c>
      <x:c r="B207" s="5" t="str">
        <x:v>Summit Logistics 035</x:v>
      </x:c>
      <x:c r="C207" s="5" t="str">
        <x:v>Enterprise</x:v>
      </x:c>
      <x:c r="D207" s="5" t="str">
        <x:v>US West</x:v>
      </x:c>
      <x:c r="E207" s="5" t="str">
        <x:v>Managed Services</x:v>
      </x:c>
      <x:c r="F207" s="5" t="str">
        <x:v>Time and Materials</x:v>
      </x:c>
      <x:c r="G207" s="6" t="n">
        <x:v>45809</x:v>
      </x:c>
      <x:c r="H207" s="6" t="n">
        <x:v>46174</x:v>
      </x:c>
      <x:c r="I207" s="5" t="str">
        <x:v>Completed</x:v>
      </x:c>
      <x:c r="J207" s="7" t="n">
        <x:v>365683.16</x:v>
      </x:c>
      <x:c r="K207" s="7" t="n">
        <x:v>118959.8</x:v>
      </x:c>
      <x:c r="L207" s="7" t="n">
        <x:v>10106.33</x:v>
      </x:c>
      <x:c r="M207" s="7" t="n">
        <x:v>3811.88</x:v>
      </x:c>
      <x:c r="N207" s="7" t="n">
        <x:v>232805.15</x:v>
      </x:c>
      <x:c r="O207" s="8" t="n">
        <x:v>0.6366</x:v>
      </x:c>
      <x:c r="P207" s="7" t="n">
        <x:v>291.64</x:v>
      </x:c>
    </x:row>
    <x:row r="208">
      <x:c r="A208" s="5" t="str">
        <x:v>P0204</x:v>
      </x:c>
      <x:c r="B208" s="5" t="str">
        <x:v>Silverline Mobility 217</x:v>
      </x:c>
      <x:c r="C208" s="5" t="str">
        <x:v>Enterprise</x:v>
      </x:c>
      <x:c r="D208" s="5" t="str">
        <x:v>Canada</x:v>
      </x:c>
      <x:c r="E208" s="5" t="str">
        <x:v>Training</x:v>
      </x:c>
      <x:c r="F208" s="5" t="str">
        <x:v>Fixed Price</x:v>
      </x:c>
      <x:c r="G208" s="6" t="n">
        <x:v>45689</x:v>
      </x:c>
      <x:c r="H208" s="6" t="n">
        <x:v>45717</x:v>
      </x:c>
      <x:c r="I208" s="5" t="str">
        <x:v>Completed</x:v>
      </x:c>
      <x:c r="J208" s="7" t="n">
        <x:v>122234.82</x:v>
      </x:c>
      <x:c r="K208" s="7" t="n">
        <x:v>36873.9</x:v>
      </x:c>
      <x:c r="L208" s="7" t="n">
        <x:v>4603.09</x:v>
      </x:c>
      <x:c r="M208" s="7" t="n">
        <x:v>2689.16</x:v>
      </x:c>
      <x:c r="N208" s="7" t="n">
        <x:v>78068.66</x:v>
      </x:c>
      <x:c r="O208" s="8" t="n">
        <x:v>0.6387</x:v>
      </x:c>
      <x:c r="P208" s="7" t="n">
        <x:v>316.34</x:v>
      </x:c>
    </x:row>
    <x:row r="209">
      <x:c r="A209" s="5" t="str">
        <x:v>P0195</x:v>
      </x:c>
      <x:c r="B209" s="5" t="str">
        <x:v>Lakeview Health 179</x:v>
      </x:c>
      <x:c r="C209" s="5" t="str">
        <x:v>Enterprise</x:v>
      </x:c>
      <x:c r="D209" s="5" t="str">
        <x:v>Canada</x:v>
      </x:c>
      <x:c r="E209" s="5" t="str">
        <x:v>Managed Services</x:v>
      </x:c>
      <x:c r="F209" s="5" t="str">
        <x:v>Time and Materials</x:v>
      </x:c>
      <x:c r="G209" s="6" t="n">
        <x:v>45597</x:v>
      </x:c>
      <x:c r="H209" s="6" t="n">
        <x:v>46113</x:v>
      </x:c>
      <x:c r="I209" s="5" t="str">
        <x:v>Completed</x:v>
      </x:c>
      <x:c r="J209" s="7" t="n">
        <x:v>571877.48</x:v>
      </x:c>
      <x:c r="K209" s="7" t="n">
        <x:v>186669.29</x:v>
      </x:c>
      <x:c r="L209" s="7" t="n">
        <x:v>12232.85</x:v>
      </x:c>
      <x:c r="M209" s="7" t="n">
        <x:v>6543.68</x:v>
      </x:c>
      <x:c r="N209" s="7" t="n">
        <x:v>366431.7</x:v>
      </x:c>
      <x:c r="O209" s="8" t="n">
        <x:v>0.6408</x:v>
      </x:c>
      <x:c r="P209" s="7" t="n">
        <x:v>289.29</x:v>
      </x:c>
    </x:row>
    <x:row r="210">
      <x:c r="A210" s="5" t="str">
        <x:v>P0166</x:v>
      </x:c>
      <x:c r="B210" s="5" t="str">
        <x:v>Keystone Logistics 145</x:v>
      </x:c>
      <x:c r="C210" s="5" t="str">
        <x:v>Mid-Market</x:v>
      </x:c>
      <x:c r="D210" s="5" t="str">
        <x:v>US Central</x:v>
      </x:c>
      <x:c r="E210" s="5" t="str">
        <x:v>Training</x:v>
      </x:c>
      <x:c r="F210" s="5" t="str">
        <x:v>Fixed Price</x:v>
      </x:c>
      <x:c r="G210" s="6" t="n">
        <x:v>45017</x:v>
      </x:c>
      <x:c r="H210" s="6" t="n">
        <x:v>45017</x:v>
      </x:c>
      <x:c r="I210" s="5" t="str">
        <x:v>Completed</x:v>
      </x:c>
      <x:c r="J210" s="7" t="n">
        <x:v>37926.37</x:v>
      </x:c>
      <x:c r="K210" s="7" t="n">
        <x:v>11387.97</x:v>
      </x:c>
      <x:c r="L210" s="7" t="n">
        <x:v>1282.12</x:v>
      </x:c>
      <x:c r="M210" s="7" t="n">
        <x:v>834.38</x:v>
      </x:c>
      <x:c r="N210" s="7" t="n">
        <x:v>24421.9</x:v>
      </x:c>
      <x:c r="O210" s="8" t="n">
        <x:v>0.6439</x:v>
      </x:c>
      <x:c r="P210" s="7" t="n">
        <x:v>299.81</x:v>
      </x:c>
    </x:row>
    <x:row r="211">
      <x:c r="A211" s="5" t="str">
        <x:v>P0193</x:v>
      </x:c>
      <x:c r="B211" s="5" t="str">
        <x:v>Northstar Education 158</x:v>
      </x:c>
      <x:c r="C211" s="5" t="str">
        <x:v>Mid-Market</x:v>
      </x:c>
      <x:c r="D211" s="5" t="str">
        <x:v>US West</x:v>
      </x:c>
      <x:c r="E211" s="5" t="str">
        <x:v>Managed Services</x:v>
      </x:c>
      <x:c r="F211" s="5" t="str">
        <x:v>Time and Materials</x:v>
      </x:c>
      <x:c r="G211" s="6" t="n">
        <x:v>45839</x:v>
      </x:c>
      <x:c r="H211" s="6" t="n">
        <x:v>46143</x:v>
      </x:c>
      <x:c r="I211" s="5" t="str">
        <x:v>Completed</x:v>
      </x:c>
      <x:c r="J211" s="7" t="n">
        <x:v>154546.98</x:v>
      </x:c>
      <x:c r="K211" s="7" t="n">
        <x:v>44054.81</x:v>
      </x:c>
      <x:c r="L211" s="7" t="n">
        <x:v>3461.26</x:v>
      </x:c>
      <x:c r="M211" s="7" t="n">
        <x:v>1756.19</x:v>
      </x:c>
      <x:c r="N211" s="7" t="n">
        <x:v>105274.69</x:v>
      </x:c>
      <x:c r="O211" s="8" t="n">
        <x:v>0.6812</x:v>
      </x:c>
      <x:c r="P211" s="7" t="n">
        <x:v>332.43</x:v>
      </x:c>
    </x:row>
    <x:row r="212">
      <x:c r="A212" s="5" t="str">
        <x:v>P0114</x:v>
      </x:c>
      <x:c r="B212" s="5" t="str">
        <x:v>BluePeak Energy 087</x:v>
      </x:c>
      <x:c r="C212" s="5" t="str">
        <x:v>Mid-Market</x:v>
      </x:c>
      <x:c r="D212" s="5" t="str">
        <x:v>US Central</x:v>
      </x:c>
      <x:c r="E212" s="5" t="str">
        <x:v>Training</x:v>
      </x:c>
      <x:c r="F212" s="5" t="str">
        <x:v>Fixed Price</x:v>
      </x:c>
      <x:c r="G212" s="6" t="n">
        <x:v>45689</x:v>
      </x:c>
      <x:c r="H212" s="6" t="n">
        <x:v>45689</x:v>
      </x:c>
      <x:c r="I212" s="5" t="str">
        <x:v>Completed</x:v>
      </x:c>
      <x:c r="J212" s="7" t="n">
        <x:v>28732.23</x:v>
      </x:c>
      <x:c r="K212" s="7" t="n">
        <x:v>7539.27</x:v>
      </x:c>
      <x:c r="L212" s="7" t="n">
        <x:v>806</x:v>
      </x:c>
      <x:c r="M212" s="7" t="n">
        <x:v>632.11</x:v>
      </x:c>
      <x:c r="N212" s="7" t="n">
        <x:v>19754.84</x:v>
      </x:c>
      <x:c r="O212" s="8" t="n">
        <x:v>0.6875</x:v>
      </x:c>
      <x:c r="P212" s="7" t="n">
        <x:v>366.95</x:v>
      </x:c>
    </x:row>
  </x:sheetData>
  <x:pageMargins left="0.7" right="0.7" top="0.75" bottom="0.75" header="0.3" footer="0.3"/>
  <x:tableParts count="1">
    <x:tablePart xmlns:r="http://schemas.openxmlformats.org/officeDocument/2006/relationships" r:id="R977db4a19a334d48"/>
  </x:tableParts>
</x:worksheet>
</file>

<file path=xl/worksheets/sheet15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3" hidden="0" customWidth="1"/>
    <x:col min="3" max="3" width="24" hidden="0" customWidth="1"/>
    <x:col min="4" max="4" width="13" hidden="0" customWidth="1"/>
    <x:col min="5" max="5" width="24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6" hidden="0" customWidth="1"/>
    <x:col min="11" max="11" width="16" hidden="0" customWidth="1"/>
    <x:col min="12" max="12" width="16" hidden="0" customWidth="1"/>
    <x:col min="13" max="13" width="13" hidden="0" customWidth="1"/>
    <x:col min="14" max="14" width="13" hidden="0" customWidth="1"/>
    <x:col min="15" max="15" width="13" hidden="0" customWidth="1"/>
    <x:col min="16" max="16" width="13" hidden="0" customWidth="1"/>
  </x:cols>
  <x:sheetData>
    <x:row r="1">
      <x:c r="A1" s="4" t="str">
        <x:v>invoice_id</x:v>
      </x:c>
      <x:c r="B1" s="4" t="str">
        <x:v>customer_id</x:v>
      </x:c>
      <x:c r="C1" s="4" t="str">
        <x:v>customer_name</x:v>
      </x:c>
      <x:c r="D1" s="4" t="str">
        <x:v>segment</x:v>
      </x:c>
      <x:c r="E1" s="4" t="str">
        <x:v>region_name</x:v>
      </x:c>
      <x:c r="F1" s="4" t="str">
        <x:v>project_id</x:v>
      </x:c>
      <x:c r="G1" s="4" t="str">
        <x:v>invoice_type</x:v>
      </x:c>
      <x:c r="H1" s="4" t="str">
        <x:v>issue_date</x:v>
      </x:c>
      <x:c r="I1" s="4" t="str">
        <x:v>due_date</x:v>
      </x:c>
      <x:c r="J1" s="4" t="str">
        <x:v>invoice_amount_usd</x:v>
      </x:c>
      <x:c r="K1" s="4" t="str">
        <x:v>amount_paid_usd</x:v>
      </x:c>
      <x:c r="L1" s="4" t="str">
        <x:v>outstanding_usd</x:v>
      </x:c>
      <x:c r="M1" s="4" t="str">
        <x:v>invoice_status</x:v>
      </x:c>
      <x:c r="N1" s="4" t="str">
        <x:v>days_past_due</x:v>
      </x:c>
      <x:c r="O1" s="4" t="str">
        <x:v>aging_bucket</x:v>
      </x:c>
      <x:c r="P1" s="4" t="str">
        <x:v>as_of_date</x:v>
      </x:c>
    </x:row>
    <x:row r="2">
      <x:c r="A2" s="5" t="str">
        <x:v>INV0000534</x:v>
      </x:c>
      <x:c r="B2" s="5" t="str">
        <x:v>C0134</x:v>
      </x:c>
      <x:c r="C2" s="5" t="str">
        <x:v>BrightPath Mobility 134</x:v>
      </x:c>
      <x:c r="D2" s="5" t="str">
        <x:v>SMB</x:v>
      </x:c>
      <x:c r="E2" s="5" t="str">
        <x:v>US Central</x:v>
      </x:c>
      <x:c r="F2" s="5"/>
      <x:c r="G2" s="5" t="str">
        <x:v>Subscription</x:v>
      </x:c>
      <x:c r="H2" s="6" t="n">
        <x:v>45536</x:v>
      </x:c>
      <x:c r="I2" s="6" t="n">
        <x:v>45551</x:v>
      </x:c>
      <x:c r="J2" s="7" t="n">
        <x:v>19374.69</x:v>
      </x:c>
      <x:c r="K2" s="7" t="n">
        <x:v>0</x:v>
      </x:c>
      <x:c r="L2" s="7" t="n">
        <x:v>19374.69</x:v>
      </x:c>
      <x:c r="M2" s="5" t="str">
        <x:v>Past Due</x:v>
      </x:c>
      <x:c r="N2" s="9" t="n">
        <x:v>652</x:v>
      </x:c>
      <x:c r="O2" s="5" t="str">
        <x:v>90+ days</x:v>
      </x:c>
      <x:c r="P2" s="6" t="n">
        <x:v>46203</x:v>
      </x:c>
    </x:row>
    <x:row r="3">
      <x:c r="A3" s="5" t="str">
        <x:v>INV0000823</x:v>
      </x:c>
      <x:c r="B3" s="5" t="str">
        <x:v>C0199</x:v>
      </x:c>
      <x:c r="C3" s="5" t="str">
        <x:v>Clearwater Health 199</x:v>
      </x:c>
      <x:c r="D3" s="5" t="str">
        <x:v>SMB</x:v>
      </x:c>
      <x:c r="E3" s="5" t="str">
        <x:v>Canada</x:v>
      </x:c>
      <x:c r="F3" s="5"/>
      <x:c r="G3" s="5" t="str">
        <x:v>Subscription</x:v>
      </x:c>
      <x:c r="H3" s="6" t="n">
        <x:v>45597</x:v>
      </x:c>
      <x:c r="I3" s="6" t="n">
        <x:v>45627</x:v>
      </x:c>
      <x:c r="J3" s="7" t="n">
        <x:v>16324.83</x:v>
      </x:c>
      <x:c r="K3" s="7" t="n">
        <x:v>0</x:v>
      </x:c>
      <x:c r="L3" s="7" t="n">
        <x:v>16324.83</x:v>
      </x:c>
      <x:c r="M3" s="5" t="str">
        <x:v>Past Due</x:v>
      </x:c>
      <x:c r="N3" s="9" t="n">
        <x:v>576</x:v>
      </x:c>
      <x:c r="O3" s="5" t="str">
        <x:v>90+ days</x:v>
      </x:c>
      <x:c r="P3" s="6" t="n">
        <x:v>46203</x:v>
      </x:c>
    </x:row>
    <x:row r="4">
      <x:c r="A4" s="5" t="str">
        <x:v>INV0001562</x:v>
      </x:c>
      <x:c r="B4" s="5" t="str">
        <x:v>C0297</x:v>
      </x:c>
      <x:c r="C4" s="5" t="str">
        <x:v>Frontier Health 297</x:v>
      </x:c>
      <x:c r="D4" s="5" t="str">
        <x:v>Mid-Market</x:v>
      </x:c>
      <x:c r="E4" s="5" t="str">
        <x:v>US East</x:v>
      </x:c>
      <x:c r="F4" s="5" t="str">
        <x:v>P0086</x:v>
      </x:c>
      <x:c r="G4" s="5" t="str">
        <x:v>Professional Services</x:v>
      </x:c>
      <x:c r="H4" s="6" t="n">
        <x:v>45662</x:v>
      </x:c>
      <x:c r="I4" s="6" t="n">
        <x:v>45707</x:v>
      </x:c>
      <x:c r="J4" s="7" t="n">
        <x:v>27933.52</x:v>
      </x:c>
      <x:c r="K4" s="7" t="n">
        <x:v>0</x:v>
      </x:c>
      <x:c r="L4" s="7" t="n">
        <x:v>27933.52</x:v>
      </x:c>
      <x:c r="M4" s="5" t="str">
        <x:v>Past Due</x:v>
      </x:c>
      <x:c r="N4" s="9" t="n">
        <x:v>496</x:v>
      </x:c>
      <x:c r="O4" s="5" t="str">
        <x:v>90+ days</x:v>
      </x:c>
      <x:c r="P4" s="6" t="n">
        <x:v>46203</x:v>
      </x:c>
    </x:row>
    <x:row r="5">
      <x:c r="A5" s="5" t="str">
        <x:v>INV0000781</x:v>
      </x:c>
      <x:c r="B5" s="5" t="str">
        <x:v>C0187</x:v>
      </x:c>
      <x:c r="C5" s="5" t="str">
        <x:v>Frontier Education 187</x:v>
      </x:c>
      <x:c r="D5" s="5" t="str">
        <x:v>SMB</x:v>
      </x:c>
      <x:c r="E5" s="5" t="str">
        <x:v>US West</x:v>
      </x:c>
      <x:c r="F5" s="5"/>
      <x:c r="G5" s="5" t="str">
        <x:v>Subscription</x:v>
      </x:c>
      <x:c r="H5" s="6" t="n">
        <x:v>45778</x:v>
      </x:c>
      <x:c r="I5" s="6" t="n">
        <x:v>45808</x:v>
      </x:c>
      <x:c r="J5" s="7" t="n">
        <x:v>9670.74</x:v>
      </x:c>
      <x:c r="K5" s="7" t="n">
        <x:v>0</x:v>
      </x:c>
      <x:c r="L5" s="7" t="n">
        <x:v>9670.74</x:v>
      </x:c>
      <x:c r="M5" s="5" t="str">
        <x:v>Past Due</x:v>
      </x:c>
      <x:c r="N5" s="9" t="n">
        <x:v>395</x:v>
      </x:c>
      <x:c r="O5" s="5" t="str">
        <x:v>90+ days</x:v>
      </x:c>
      <x:c r="P5" s="6" t="n">
        <x:v>46203</x:v>
      </x:c>
    </x:row>
    <x:row r="6">
      <x:c r="A6" s="5" t="str">
        <x:v>INV0001196</x:v>
      </x:c>
      <x:c r="B6" s="5" t="str">
        <x:v>C0285</x:v>
      </x:c>
      <x:c r="C6" s="5" t="str">
        <x:v>Crescent Technology 285</x:v>
      </x:c>
      <x:c r="D6" s="5" t="str">
        <x:v>Mid-Market</x:v>
      </x:c>
      <x:c r="E6" s="5" t="str">
        <x:v>US Central</x:v>
      </x:c>
      <x:c r="F6" s="5"/>
      <x:c r="G6" s="5" t="str">
        <x:v>Subscription</x:v>
      </x:c>
      <x:c r="H6" s="6" t="n">
        <x:v>45748</x:v>
      </x:c>
      <x:c r="I6" s="6" t="n">
        <x:v>45808</x:v>
      </x:c>
      <x:c r="J6" s="7" t="n">
        <x:v>19790.94</x:v>
      </x:c>
      <x:c r="K6" s="7" t="n">
        <x:v>0</x:v>
      </x:c>
      <x:c r="L6" s="7" t="n">
        <x:v>19790.94</x:v>
      </x:c>
      <x:c r="M6" s="5" t="str">
        <x:v>Past Due</x:v>
      </x:c>
      <x:c r="N6" s="9" t="n">
        <x:v>395</x:v>
      </x:c>
      <x:c r="O6" s="5" t="str">
        <x:v>90+ days</x:v>
      </x:c>
      <x:c r="P6" s="6" t="n">
        <x:v>46203</x:v>
      </x:c>
    </x:row>
    <x:row r="7">
      <x:c r="A7" s="5" t="str">
        <x:v>INV0001197</x:v>
      </x:c>
      <x:c r="B7" s="5" t="str">
        <x:v>C0285</x:v>
      </x:c>
      <x:c r="C7" s="5" t="str">
        <x:v>Crescent Technology 285</x:v>
      </x:c>
      <x:c r="D7" s="5" t="str">
        <x:v>Mid-Market</x:v>
      </x:c>
      <x:c r="E7" s="5" t="str">
        <x:v>US Central</x:v>
      </x:c>
      <x:c r="F7" s="5"/>
      <x:c r="G7" s="5" t="str">
        <x:v>Subscription</x:v>
      </x:c>
      <x:c r="H7" s="6" t="n">
        <x:v>45839</x:v>
      </x:c>
      <x:c r="I7" s="6" t="n">
        <x:v>45899</x:v>
      </x:c>
      <x:c r="J7" s="7" t="n">
        <x:v>19790.94</x:v>
      </x:c>
      <x:c r="K7" s="7" t="n">
        <x:v>0</x:v>
      </x:c>
      <x:c r="L7" s="7" t="n">
        <x:v>19790.94</x:v>
      </x:c>
      <x:c r="M7" s="5" t="str">
        <x:v>Past Due</x:v>
      </x:c>
      <x:c r="N7" s="9" t="n">
        <x:v>304</x:v>
      </x:c>
      <x:c r="O7" s="5" t="str">
        <x:v>90+ days</x:v>
      </x:c>
      <x:c r="P7" s="6" t="n">
        <x:v>46203</x:v>
      </x:c>
    </x:row>
    <x:row r="8">
      <x:c r="A8" s="5" t="str">
        <x:v>INV0000755</x:v>
      </x:c>
      <x:c r="B8" s="5" t="str">
        <x:v>C0182</x:v>
      </x:c>
      <x:c r="C8" s="5" t="str">
        <x:v>Summit Education 182</x:v>
      </x:c>
      <x:c r="D8" s="5" t="str">
        <x:v>Mid-Market</x:v>
      </x:c>
      <x:c r="E8" s="5" t="str">
        <x:v>US West</x:v>
      </x:c>
      <x:c r="F8" s="5"/>
      <x:c r="G8" s="5" t="str">
        <x:v>Subscription</x:v>
      </x:c>
      <x:c r="H8" s="6" t="n">
        <x:v>45870</x:v>
      </x:c>
      <x:c r="I8" s="6" t="n">
        <x:v>45915</x:v>
      </x:c>
      <x:c r="J8" s="7" t="n">
        <x:v>31865.28</x:v>
      </x:c>
      <x:c r="K8" s="7" t="n">
        <x:v>0</x:v>
      </x:c>
      <x:c r="L8" s="7" t="n">
        <x:v>31865.28</x:v>
      </x:c>
      <x:c r="M8" s="5" t="str">
        <x:v>Past Due</x:v>
      </x:c>
      <x:c r="N8" s="9" t="n">
        <x:v>288</x:v>
      </x:c>
      <x:c r="O8" s="5" t="str">
        <x:v>90+ days</x:v>
      </x:c>
      <x:c r="P8" s="6" t="n">
        <x:v>46203</x:v>
      </x:c>
    </x:row>
    <x:row r="9">
      <x:c r="A9" s="5" t="str">
        <x:v>INV0000018</x:v>
      </x:c>
      <x:c r="B9" s="5" t="str">
        <x:v>C0005</x:v>
      </x:c>
      <x:c r="C9" s="5" t="str">
        <x:v>Stonegate Logistics 005</x:v>
      </x:c>
      <x:c r="D9" s="5" t="str">
        <x:v>Mid-Market</x:v>
      </x:c>
      <x:c r="E9" s="5" t="str">
        <x:v>Canada</x:v>
      </x:c>
      <x:c r="F9" s="5"/>
      <x:c r="G9" s="5" t="str">
        <x:v>Subscription</x:v>
      </x:c>
      <x:c r="H9" s="6" t="n">
        <x:v>45962</x:v>
      </x:c>
      <x:c r="I9" s="6" t="n">
        <x:v>45992</x:v>
      </x:c>
      <x:c r="J9" s="7" t="n">
        <x:v>42584.49</x:v>
      </x:c>
      <x:c r="K9" s="7" t="n">
        <x:v>0</x:v>
      </x:c>
      <x:c r="L9" s="7" t="n">
        <x:v>42584.49</x:v>
      </x:c>
      <x:c r="M9" s="5" t="str">
        <x:v>Past Due</x:v>
      </x:c>
      <x:c r="N9" s="9" t="n">
        <x:v>211</x:v>
      </x:c>
      <x:c r="O9" s="5" t="str">
        <x:v>90+ days</x:v>
      </x:c>
      <x:c r="P9" s="6" t="n">
        <x:v>46203</x:v>
      </x:c>
    </x:row>
    <x:row r="10">
      <x:c r="A10" s="5" t="str">
        <x:v>INV0001827</x:v>
      </x:c>
      <x:c r="B10" s="5" t="str">
        <x:v>C0084</x:v>
      </x:c>
      <x:c r="C10" s="5" t="str">
        <x:v>BluePeak Retail 084</x:v>
      </x:c>
      <x:c r="D10" s="5" t="str">
        <x:v>SMB</x:v>
      </x:c>
      <x:c r="E10" s="5" t="str">
        <x:v>US Central</x:v>
      </x:c>
      <x:c r="F10" s="5" t="str">
        <x:v>P0144</x:v>
      </x:c>
      <x:c r="G10" s="5" t="str">
        <x:v>Professional Services</x:v>
      </x:c>
      <x:c r="H10" s="6" t="n">
        <x:v>46058</x:v>
      </x:c>
      <x:c r="I10" s="6" t="n">
        <x:v>46088</x:v>
      </x:c>
      <x:c r="J10" s="7" t="n">
        <x:v>22721.66</x:v>
      </x:c>
      <x:c r="K10" s="7" t="n">
        <x:v>0</x:v>
      </x:c>
      <x:c r="L10" s="7" t="n">
        <x:v>22721.66</x:v>
      </x:c>
      <x:c r="M10" s="5" t="str">
        <x:v>Past Due</x:v>
      </x:c>
      <x:c r="N10" s="9" t="n">
        <x:v>115</x:v>
      </x:c>
      <x:c r="O10" s="5" t="str">
        <x:v>90+ days</x:v>
      </x:c>
      <x:c r="P10" s="6" t="n">
        <x:v>46203</x:v>
      </x:c>
    </x:row>
    <x:row r="11">
      <x:c r="A11" s="5" t="str">
        <x:v>INV0000078</x:v>
      </x:c>
      <x:c r="B11" s="5" t="str">
        <x:v>C0020</x:v>
      </x:c>
      <x:c r="C11" s="5" t="str">
        <x:v>BrightPath Foods 020</x:v>
      </x:c>
      <x:c r="D11" s="5" t="str">
        <x:v>Mid-Market</x:v>
      </x:c>
      <x:c r="E11" s="5" t="str">
        <x:v>US West</x:v>
      </x:c>
      <x:c r="F11" s="5"/>
      <x:c r="G11" s="5" t="str">
        <x:v>Subscription</x:v>
      </x:c>
      <x:c r="H11" s="6" t="n">
        <x:v>46054</x:v>
      </x:c>
      <x:c r="I11" s="6" t="n">
        <x:v>46099</x:v>
      </x:c>
      <x:c r="J11" s="7" t="n">
        <x:v>37030.53</x:v>
      </x:c>
      <x:c r="K11" s="7" t="n">
        <x:v>0</x:v>
      </x:c>
      <x:c r="L11" s="7" t="n">
        <x:v>37030.53</x:v>
      </x:c>
      <x:c r="M11" s="5" t="str">
        <x:v>Past Due</x:v>
      </x:c>
      <x:c r="N11" s="9" t="n">
        <x:v>104</x:v>
      </x:c>
      <x:c r="O11" s="5" t="str">
        <x:v>90+ days</x:v>
      </x:c>
      <x:c r="P11" s="6" t="n">
        <x:v>46203</x:v>
      </x:c>
    </x:row>
    <x:row r="12">
      <x:c r="A12" s="5" t="str">
        <x:v>INV0000566</x:v>
      </x:c>
      <x:c r="B12" s="5" t="str">
        <x:v>C0142</x:v>
      </x:c>
      <x:c r="C12" s="5" t="str">
        <x:v>Redwood Retail 142</x:v>
      </x:c>
      <x:c r="D12" s="5" t="str">
        <x:v>SMB</x:v>
      </x:c>
      <x:c r="E12" s="5" t="str">
        <x:v>US West</x:v>
      </x:c>
      <x:c r="F12" s="5"/>
      <x:c r="G12" s="5" t="str">
        <x:v>Subscription</x:v>
      </x:c>
      <x:c r="H12" s="6" t="n">
        <x:v>46113</x:v>
      </x:c>
      <x:c r="I12" s="6" t="n">
        <x:v>46143</x:v>
      </x:c>
      <x:c r="J12" s="7" t="n">
        <x:v>95577.48</x:v>
      </x:c>
      <x:c r="K12" s="7" t="n">
        <x:v>0</x:v>
      </x:c>
      <x:c r="L12" s="7" t="n">
        <x:v>95577.48</x:v>
      </x:c>
      <x:c r="M12" s="5" t="str">
        <x:v>Past Due</x:v>
      </x:c>
      <x:c r="N12" s="9" t="n">
        <x:v>60</x:v>
      </x:c>
      <x:c r="O12" s="5" t="str">
        <x:v>31-60 days</x:v>
      </x:c>
      <x:c r="P12" s="6" t="n">
        <x:v>46203</x:v>
      </x:c>
    </x:row>
    <x:row r="13">
      <x:c r="A13" s="5" t="str">
        <x:v>INV0000829</x:v>
      </x:c>
      <x:c r="B13" s="5" t="str">
        <x:v>C0199</x:v>
      </x:c>
      <x:c r="C13" s="5" t="str">
        <x:v>Clearwater Health 199</x:v>
      </x:c>
      <x:c r="D13" s="5" t="str">
        <x:v>SMB</x:v>
      </x:c>
      <x:c r="E13" s="5" t="str">
        <x:v>Canada</x:v>
      </x:c>
      <x:c r="F13" s="5"/>
      <x:c r="G13" s="5" t="str">
        <x:v>Subscription</x:v>
      </x:c>
      <x:c r="H13" s="6" t="n">
        <x:v>46143</x:v>
      </x:c>
      <x:c r="I13" s="6" t="n">
        <x:v>46173</x:v>
      </x:c>
      <x:c r="J13" s="7" t="n">
        <x:v>17669.55</x:v>
      </x:c>
      <x:c r="K13" s="7" t="n">
        <x:v>0</x:v>
      </x:c>
      <x:c r="L13" s="7" t="n">
        <x:v>17669.55</x:v>
      </x:c>
      <x:c r="M13" s="5" t="str">
        <x:v>Past Due</x:v>
      </x:c>
      <x:c r="N13" s="9" t="n">
        <x:v>30</x:v>
      </x:c>
      <x:c r="O13" s="5" t="str">
        <x:v>1-30 days</x:v>
      </x:c>
      <x:c r="P13" s="6" t="n">
        <x:v>46203</x:v>
      </x:c>
    </x:row>
    <x:row r="14">
      <x:c r="A14" s="5" t="str">
        <x:v>INV0001200</x:v>
      </x:c>
      <x:c r="B14" s="5" t="str">
        <x:v>C0285</x:v>
      </x:c>
      <x:c r="C14" s="5" t="str">
        <x:v>Crescent Technology 285</x:v>
      </x:c>
      <x:c r="D14" s="5" t="str">
        <x:v>Mid-Market</x:v>
      </x:c>
      <x:c r="E14" s="5" t="str">
        <x:v>US Central</x:v>
      </x:c>
      <x:c r="F14" s="5"/>
      <x:c r="G14" s="5" t="str">
        <x:v>Subscription</x:v>
      </x:c>
      <x:c r="H14" s="6" t="n">
        <x:v>46113</x:v>
      </x:c>
      <x:c r="I14" s="6" t="n">
        <x:v>46173</x:v>
      </x:c>
      <x:c r="J14" s="7" t="n">
        <x:v>21981.27</x:v>
      </x:c>
      <x:c r="K14" s="7" t="n">
        <x:v>0</x:v>
      </x:c>
      <x:c r="L14" s="7" t="n">
        <x:v>21981.27</x:v>
      </x:c>
      <x:c r="M14" s="5" t="str">
        <x:v>Past Due</x:v>
      </x:c>
      <x:c r="N14" s="9" t="n">
        <x:v>30</x:v>
      </x:c>
      <x:c r="O14" s="5" t="str">
        <x:v>1-30 days</x:v>
      </x:c>
      <x:c r="P14" s="6" t="n">
        <x:v>46203</x:v>
      </x:c>
    </x:row>
    <x:row r="15">
      <x:c r="A15" s="5" t="str">
        <x:v>INV0002009</x:v>
      </x:c>
      <x:c r="B15" s="5" t="str">
        <x:v>C0213</x:v>
      </x:c>
      <x:c r="C15" s="5" t="str">
        <x:v>Oakridge Mobility 213</x:v>
      </x:c>
      <x:c r="D15" s="5" t="str">
        <x:v>Mid-Market</x:v>
      </x:c>
      <x:c r="E15" s="5" t="str">
        <x:v>US West</x:v>
      </x:c>
      <x:c r="F15" s="5" t="str">
        <x:v>P0185</x:v>
      </x:c>
      <x:c r="G15" s="5" t="str">
        <x:v>Professional Services</x:v>
      </x:c>
      <x:c r="H15" s="6" t="n">
        <x:v>46147</x:v>
      </x:c>
      <x:c r="I15" s="6" t="n">
        <x:v>46177</x:v>
      </x:c>
      <x:c r="J15" s="7" t="n">
        <x:v>55787.09</x:v>
      </x:c>
      <x:c r="K15" s="7" t="n">
        <x:v>0</x:v>
      </x:c>
      <x:c r="L15" s="7" t="n">
        <x:v>55787.09</x:v>
      </x:c>
      <x:c r="M15" s="5" t="str">
        <x:v>Past Due</x:v>
      </x:c>
      <x:c r="N15" s="9" t="n">
        <x:v>26</x:v>
      </x:c>
      <x:c r="O15" s="5" t="str">
        <x:v>1-30 days</x:v>
      </x:c>
      <x:c r="P15" s="6" t="n">
        <x:v>46203</x:v>
      </x:c>
    </x:row>
    <x:row r="16">
      <x:c r="A16" s="5" t="str">
        <x:v>INV0000367</x:v>
      </x:c>
      <x:c r="B16" s="5" t="str">
        <x:v>C0090</x:v>
      </x:c>
      <x:c r="C16" s="5" t="str">
        <x:v>BrightPath Foods 090</x:v>
      </x:c>
      <x:c r="D16" s="5" t="str">
        <x:v>Mid-Market</x:v>
      </x:c>
      <x:c r="E16" s="5" t="str">
        <x:v>US East</x:v>
      </x:c>
      <x:c r="F16" s="5"/>
      <x:c r="G16" s="5" t="str">
        <x:v>Subscription</x:v>
      </x:c>
      <x:c r="H16" s="6" t="n">
        <x:v>46143</x:v>
      </x:c>
      <x:c r="I16" s="6" t="n">
        <x:v>46188</x:v>
      </x:c>
      <x:c r="J16" s="7" t="n">
        <x:v>201032.52</x:v>
      </x:c>
      <x:c r="K16" s="7" t="n">
        <x:v>0</x:v>
      </x:c>
      <x:c r="L16" s="7" t="n">
        <x:v>201032.52</x:v>
      </x:c>
      <x:c r="M16" s="5" t="str">
        <x:v>Past Due</x:v>
      </x:c>
      <x:c r="N16" s="9" t="n">
        <x:v>15</x:v>
      </x:c>
      <x:c r="O16" s="5" t="str">
        <x:v>1-30 days</x:v>
      </x:c>
      <x:c r="P16" s="6" t="n">
        <x:v>46203</x:v>
      </x:c>
    </x:row>
    <x:row r="17">
      <x:c r="A17" s="5" t="str">
        <x:v>INV0000476</x:v>
      </x:c>
      <x:c r="B17" s="5" t="str">
        <x:v>C0121</x:v>
      </x:c>
      <x:c r="C17" s="5" t="str">
        <x:v>Crescent Foods 121</x:v>
      </x:c>
      <x:c r="D17" s="5" t="str">
        <x:v>Mid-Market</x:v>
      </x:c>
      <x:c r="E17" s="5" t="str">
        <x:v>US Central</x:v>
      </x:c>
      <x:c r="F17" s="5"/>
      <x:c r="G17" s="5" t="str">
        <x:v>Subscription</x:v>
      </x:c>
      <x:c r="H17" s="6" t="n">
        <x:v>46143</x:v>
      </x:c>
      <x:c r="I17" s="6" t="n">
        <x:v>46188</x:v>
      </x:c>
      <x:c r="J17" s="7" t="n">
        <x:v>23317.14</x:v>
      </x:c>
      <x:c r="K17" s="7" t="n">
        <x:v>0</x:v>
      </x:c>
      <x:c r="L17" s="7" t="n">
        <x:v>23317.14</x:v>
      </x:c>
      <x:c r="M17" s="5" t="str">
        <x:v>Past Due</x:v>
      </x:c>
      <x:c r="N17" s="9" t="n">
        <x:v>15</x:v>
      </x:c>
      <x:c r="O17" s="5" t="str">
        <x:v>1-30 days</x:v>
      </x:c>
      <x:c r="P17" s="6" t="n">
        <x:v>46203</x:v>
      </x:c>
    </x:row>
    <x:row r="18">
      <x:c r="A18" s="5" t="str">
        <x:v>INV0000870</x:v>
      </x:c>
      <x:c r="B18" s="5" t="str">
        <x:v>C0209</x:v>
      </x:c>
      <x:c r="C18" s="5" t="str">
        <x:v>Pioneer Manufacturing 209</x:v>
      </x:c>
      <x:c r="D18" s="5" t="str">
        <x:v>Mid-Market</x:v>
      </x:c>
      <x:c r="E18" s="5" t="str">
        <x:v>US West</x:v>
      </x:c>
      <x:c r="F18" s="5"/>
      <x:c r="G18" s="5" t="str">
        <x:v>Subscription</x:v>
      </x:c>
      <x:c r="H18" s="6" t="n">
        <x:v>46143</x:v>
      </x:c>
      <x:c r="I18" s="6" t="n">
        <x:v>46188</x:v>
      </x:c>
      <x:c r="J18" s="7" t="n">
        <x:v>49189.68</x:v>
      </x:c>
      <x:c r="K18" s="7" t="n">
        <x:v>0</x:v>
      </x:c>
      <x:c r="L18" s="7" t="n">
        <x:v>49189.68</x:v>
      </x:c>
      <x:c r="M18" s="5" t="str">
        <x:v>Past Due</x:v>
      </x:c>
      <x:c r="N18" s="9" t="n">
        <x:v>15</x:v>
      </x:c>
      <x:c r="O18" s="5" t="str">
        <x:v>1-30 days</x:v>
      </x:c>
      <x:c r="P18" s="6" t="n">
        <x:v>46203</x:v>
      </x:c>
    </x:row>
    <x:row r="19">
      <x:c r="A19" s="5" t="str">
        <x:v>INV0000541</x:v>
      </x:c>
      <x:c r="B19" s="5" t="str">
        <x:v>C0134</x:v>
      </x:c>
      <x:c r="C19" s="5" t="str">
        <x:v>BrightPath Mobility 134</x:v>
      </x:c>
      <x:c r="D19" s="5" t="str">
        <x:v>SMB</x:v>
      </x:c>
      <x:c r="E19" s="5" t="str">
        <x:v>US Central</x:v>
      </x:c>
      <x:c r="F19" s="5"/>
      <x:c r="G19" s="5" t="str">
        <x:v>Subscription</x:v>
      </x:c>
      <x:c r="H19" s="6" t="n">
        <x:v>46174</x:v>
      </x:c>
      <x:c r="I19" s="6" t="n">
        <x:v>46189</x:v>
      </x:c>
      <x:c r="J19" s="7" t="n">
        <x:v>20554.62</x:v>
      </x:c>
      <x:c r="K19" s="7" t="n">
        <x:v>0</x:v>
      </x:c>
      <x:c r="L19" s="7" t="n">
        <x:v>20554.62</x:v>
      </x:c>
      <x:c r="M19" s="5" t="str">
        <x:v>Past Due</x:v>
      </x:c>
      <x:c r="N19" s="9" t="n">
        <x:v>14</x:v>
      </x:c>
      <x:c r="O19" s="5" t="str">
        <x:v>1-30 days</x:v>
      </x:c>
      <x:c r="P19" s="6" t="n">
        <x:v>46203</x:v>
      </x:c>
    </x:row>
    <x:row r="20">
      <x:c r="A20" s="5" t="str">
        <x:v>INV0001418</x:v>
      </x:c>
      <x:c r="B20" s="5" t="str">
        <x:v>C0049</x:v>
      </x:c>
      <x:c r="C20" s="5" t="str">
        <x:v>Cedar Financial 049</x:v>
      </x:c>
      <x:c r="D20" s="5" t="str">
        <x:v>Mid-Market</x:v>
      </x:c>
      <x:c r="E20" s="5" t="str">
        <x:v>Canada</x:v>
      </x:c>
      <x:c r="F20" s="5" t="str">
        <x:v>P0057</x:v>
      </x:c>
      <x:c r="G20" s="5" t="str">
        <x:v>Professional Services</x:v>
      </x:c>
      <x:c r="H20" s="6" t="n">
        <x:v>46147</x:v>
      </x:c>
      <x:c r="I20" s="6" t="n">
        <x:v>46192</x:v>
      </x:c>
      <x:c r="J20" s="7" t="n">
        <x:v>24054.06</x:v>
      </x:c>
      <x:c r="K20" s="7" t="n">
        <x:v>0</x:v>
      </x:c>
      <x:c r="L20" s="7" t="n">
        <x:v>24054.06</x:v>
      </x:c>
      <x:c r="M20" s="5" t="str">
        <x:v>Past Due</x:v>
      </x:c>
      <x:c r="N20" s="9" t="n">
        <x:v>11</x:v>
      </x:c>
      <x:c r="O20" s="5" t="str">
        <x:v>1-30 days</x:v>
      </x:c>
      <x:c r="P20" s="6" t="n">
        <x:v>46203</x:v>
      </x:c>
    </x:row>
    <x:row r="21">
      <x:c r="A21" s="5" t="str">
        <x:v>INV0001700</x:v>
      </x:c>
      <x:c r="B21" s="5" t="str">
        <x:v>C0040</x:v>
      </x:c>
      <x:c r="C21" s="5" t="str">
        <x:v>Nova Foods 040</x:v>
      </x:c>
      <x:c r="D21" s="5" t="str">
        <x:v>Mid-Market</x:v>
      </x:c>
      <x:c r="E21" s="5" t="str">
        <x:v>US West</x:v>
      </x:c>
      <x:c r="F21" s="5" t="str">
        <x:v>P0115</x:v>
      </x:c>
      <x:c r="G21" s="5" t="str">
        <x:v>Professional Services</x:v>
      </x:c>
      <x:c r="H21" s="6" t="n">
        <x:v>46147</x:v>
      </x:c>
      <x:c r="I21" s="6" t="n">
        <x:v>46192</x:v>
      </x:c>
      <x:c r="J21" s="7" t="n">
        <x:v>48685.56</x:v>
      </x:c>
      <x:c r="K21" s="7" t="n">
        <x:v>0</x:v>
      </x:c>
      <x:c r="L21" s="7" t="n">
        <x:v>48685.56</x:v>
      </x:c>
      <x:c r="M21" s="5" t="str">
        <x:v>Past Due</x:v>
      </x:c>
      <x:c r="N21" s="9" t="n">
        <x:v>11</x:v>
      </x:c>
      <x:c r="O21" s="5" t="str">
        <x:v>1-30 days</x:v>
      </x:c>
      <x:c r="P21" s="6" t="n">
        <x:v>46203</x:v>
      </x:c>
    </x:row>
    <x:row r="22">
      <x:c r="A22" s="5" t="str">
        <x:v>INV0002198</x:v>
      </x:c>
      <x:c r="B22" s="5" t="str">
        <x:v>C0169</x:v>
      </x:c>
      <x:c r="C22" s="5" t="str">
        <x:v>Silverline Education 169</x:v>
      </x:c>
      <x:c r="D22" s="5" t="str">
        <x:v>Enterprise</x:v>
      </x:c>
      <x:c r="E22" s="5" t="str">
        <x:v>US East</x:v>
      </x:c>
      <x:c r="F22" s="5" t="str">
        <x:v>P0220</x:v>
      </x:c>
      <x:c r="G22" s="5" t="str">
        <x:v>Professional Services</x:v>
      </x:c>
      <x:c r="H22" s="6" t="n">
        <x:v>46147</x:v>
      </x:c>
      <x:c r="I22" s="6" t="n">
        <x:v>46192</x:v>
      </x:c>
      <x:c r="J22" s="7" t="n">
        <x:v>87456.24</x:v>
      </x:c>
      <x:c r="K22" s="7" t="n">
        <x:v>0</x:v>
      </x:c>
      <x:c r="L22" s="7" t="n">
        <x:v>87456.24</x:v>
      </x:c>
      <x:c r="M22" s="5" t="str">
        <x:v>Past Due</x:v>
      </x:c>
      <x:c r="N22" s="9" t="n">
        <x:v>11</x:v>
      </x:c>
      <x:c r="O22" s="5" t="str">
        <x:v>1-30 days</x:v>
      </x:c>
      <x:c r="P22" s="6" t="n">
        <x:v>46203</x:v>
      </x:c>
    </x:row>
    <x:row r="23">
      <x:c r="A23" s="5" t="str">
        <x:v>INV0001530</x:v>
      </x:c>
      <x:c r="B23" s="5" t="str">
        <x:v>C0066</x:v>
      </x:c>
      <x:c r="C23" s="5" t="str">
        <x:v>Atlas Financial 066</x:v>
      </x:c>
      <x:c r="D23" s="5" t="str">
        <x:v>SMB</x:v>
      </x:c>
      <x:c r="E23" s="5" t="str">
        <x:v>Canada</x:v>
      </x:c>
      <x:c r="F23" s="5" t="str">
        <x:v>P0078</x:v>
      </x:c>
      <x:c r="G23" s="5" t="str">
        <x:v>Professional Services</x:v>
      </x:c>
      <x:c r="H23" s="6" t="n">
        <x:v>46178</x:v>
      </x:c>
      <x:c r="I23" s="6" t="n">
        <x:v>46193</x:v>
      </x:c>
      <x:c r="J23" s="7" t="n">
        <x:v>17333.89</x:v>
      </x:c>
      <x:c r="K23" s="7" t="n">
        <x:v>0</x:v>
      </x:c>
      <x:c r="L23" s="7" t="n">
        <x:v>17333.89</x:v>
      </x:c>
      <x:c r="M23" s="5" t="str">
        <x:v>Past Due</x:v>
      </x:c>
      <x:c r="N23" s="9" t="n">
        <x:v>10</x:v>
      </x:c>
      <x:c r="O23" s="5" t="str">
        <x:v>1-30 days</x:v>
      </x:c>
      <x:c r="P23" s="6" t="n">
        <x:v>46203</x:v>
      </x:c>
    </x:row>
    <x:row r="24">
      <x:c r="A24" s="5" t="str">
        <x:v>INV0000149</x:v>
      </x:c>
      <x:c r="B24" s="5" t="str">
        <x:v>C0038</x:v>
      </x:c>
      <x:c r="C24" s="5" t="str">
        <x:v>Ironwood Logistics 038</x:v>
      </x:c>
      <x:c r="D24" s="5" t="str">
        <x:v>Mid-Market</x:v>
      </x:c>
      <x:c r="E24" s="5" t="str">
        <x:v>US East</x:v>
      </x:c>
      <x:c r="F24" s="5"/>
      <x:c r="G24" s="5" t="str">
        <x:v>Subscription</x:v>
      </x:c>
      <x:c r="H24" s="6" t="n">
        <x:v>46143</x:v>
      </x:c>
      <x:c r="I24" s="6" t="n">
        <x:v>46203</x:v>
      </x:c>
      <x:c r="J24" s="7" t="n">
        <x:v>31527.81</x:v>
      </x:c>
      <x:c r="K24" s="7" t="n">
        <x:v>0</x:v>
      </x:c>
      <x:c r="L24" s="7" t="n">
        <x:v>31527.81</x:v>
      </x:c>
      <x:c r="M24" s="5" t="str">
        <x:v>Open</x:v>
      </x:c>
      <x:c r="N24" s="9" t="n">
        <x:v>0</x:v>
      </x:c>
      <x:c r="O24" s="5" t="str">
        <x:v>Current</x:v>
      </x:c>
      <x:c r="P24" s="6" t="n">
        <x:v>46203</x:v>
      </x:c>
    </x:row>
    <x:row r="25">
      <x:c r="A25" s="5" t="str">
        <x:v>INV0000359</x:v>
      </x:c>
      <x:c r="B25" s="5" t="str">
        <x:v>C0088</x:v>
      </x:c>
      <x:c r="C25" s="5" t="str">
        <x:v>Redwood Manufacturing 088</x:v>
      </x:c>
      <x:c r="D25" s="5" t="str">
        <x:v>Enterprise</x:v>
      </x:c>
      <x:c r="E25" s="5" t="str">
        <x:v>US Central</x:v>
      </x:c>
      <x:c r="F25" s="5"/>
      <x:c r="G25" s="5" t="str">
        <x:v>Subscription</x:v>
      </x:c>
      <x:c r="H25" s="6" t="n">
        <x:v>46143</x:v>
      </x:c>
      <x:c r="I25" s="6" t="n">
        <x:v>46203</x:v>
      </x:c>
      <x:c r="J25" s="7" t="n">
        <x:v>420384.48</x:v>
      </x:c>
      <x:c r="K25" s="7" t="n">
        <x:v>0</x:v>
      </x:c>
      <x:c r="L25" s="7" t="n">
        <x:v>420384.48</x:v>
      </x:c>
      <x:c r="M25" s="5" t="str">
        <x:v>Open</x:v>
      </x:c>
      <x:c r="N25" s="9" t="n">
        <x:v>0</x:v>
      </x:c>
      <x:c r="O25" s="5" t="str">
        <x:v>Current</x:v>
      </x:c>
      <x:c r="P25" s="6" t="n">
        <x:v>46203</x:v>
      </x:c>
    </x:row>
    <x:row r="26">
      <x:c r="A26" s="5" t="str">
        <x:v>INV0001090</x:v>
      </x:c>
      <x:c r="B26" s="5" t="str">
        <x:v>C0258</x:v>
      </x:c>
      <x:c r="C26" s="5" t="str">
        <x:v>Frontier Media 258</x:v>
      </x:c>
      <x:c r="D26" s="5" t="str">
        <x:v>Mid-Market</x:v>
      </x:c>
      <x:c r="E26" s="5" t="str">
        <x:v>US East</x:v>
      </x:c>
      <x:c r="F26" s="5"/>
      <x:c r="G26" s="5" t="str">
        <x:v>Subscription</x:v>
      </x:c>
      <x:c r="H26" s="6" t="n">
        <x:v>46143</x:v>
      </x:c>
      <x:c r="I26" s="6" t="n">
        <x:v>46203</x:v>
      </x:c>
      <x:c r="J26" s="7" t="n">
        <x:v>22146.39</x:v>
      </x:c>
      <x:c r="K26" s="7" t="n">
        <x:v>0</x:v>
      </x:c>
      <x:c r="L26" s="7" t="n">
        <x:v>22146.39</x:v>
      </x:c>
      <x:c r="M26" s="5" t="str">
        <x:v>Open</x:v>
      </x:c>
      <x:c r="N26" s="9" t="n">
        <x:v>0</x:v>
      </x:c>
      <x:c r="O26" s="5" t="str">
        <x:v>Current</x:v>
      </x:c>
      <x:c r="P26" s="6" t="n">
        <x:v>46203</x:v>
      </x:c>
    </x:row>
    <x:row r="27">
      <x:c r="A27" s="5" t="str">
        <x:v>INV0000086</x:v>
      </x:c>
      <x:c r="B27" s="5" t="str">
        <x:v>C0021</x:v>
      </x:c>
      <x:c r="C27" s="5" t="str">
        <x:v>Atlas Financial 021</x:v>
      </x:c>
      <x:c r="D27" s="5" t="str">
        <x:v>Mid-Market</x:v>
      </x:c>
      <x:c r="E27" s="5" t="str">
        <x:v>Canada</x:v>
      </x:c>
      <x:c r="F27" s="5"/>
      <x:c r="G27" s="5" t="str">
        <x:v>Subscription</x:v>
      </x:c>
      <x:c r="H27" s="6" t="n">
        <x:v>46174</x:v>
      </x:c>
      <x:c r="I27" s="6" t="n">
        <x:v>46204</x:v>
      </x:c>
      <x:c r="J27" s="7" t="n">
        <x:v>78306.57</x:v>
      </x:c>
      <x:c r="K27" s="7" t="n">
        <x:v>0</x:v>
      </x:c>
      <x:c r="L27" s="7" t="n">
        <x:v>78306.57</x:v>
      </x:c>
      <x:c r="M27" s="5" t="str">
        <x:v>Open</x:v>
      </x:c>
      <x:c r="N27" s="9" t="n">
        <x:v>-1</x:v>
      </x:c>
      <x:c r="O27" s="5" t="str">
        <x:v>Current</x:v>
      </x:c>
      <x:c r="P27" s="6" t="n">
        <x:v>46203</x:v>
      </x:c>
    </x:row>
    <x:row r="28">
      <x:c r="A28" s="5" t="str">
        <x:v>INV0000193</x:v>
      </x:c>
      <x:c r="B28" s="5" t="str">
        <x:v>C0048</x:v>
      </x:c>
      <x:c r="C28" s="5" t="str">
        <x:v>BluePeak Insurance 048</x:v>
      </x:c>
      <x:c r="D28" s="5" t="str">
        <x:v>Mid-Market</x:v>
      </x:c>
      <x:c r="E28" s="5" t="str">
        <x:v>US West</x:v>
      </x:c>
      <x:c r="F28" s="5"/>
      <x:c r="G28" s="5" t="str">
        <x:v>Subscription</x:v>
      </x:c>
      <x:c r="H28" s="6" t="n">
        <x:v>46174</x:v>
      </x:c>
      <x:c r="I28" s="6" t="n">
        <x:v>46204</x:v>
      </x:c>
      <x:c r="J28" s="7" t="n">
        <x:v>43888.29</x:v>
      </x:c>
      <x:c r="K28" s="7" t="n">
        <x:v>0</x:v>
      </x:c>
      <x:c r="L28" s="7" t="n">
        <x:v>43888.29</x:v>
      </x:c>
      <x:c r="M28" s="5" t="str">
        <x:v>Open</x:v>
      </x:c>
      <x:c r="N28" s="9" t="n">
        <x:v>-1</x:v>
      </x:c>
      <x:c r="O28" s="5" t="str">
        <x:v>Current</x:v>
      </x:c>
      <x:c r="P28" s="6" t="n">
        <x:v>46203</x:v>
      </x:c>
    </x:row>
    <x:row r="29">
      <x:c r="A29" s="5" t="str">
        <x:v>INV0000219</x:v>
      </x:c>
      <x:c r="B29" s="5" t="str">
        <x:v>C0053</x:v>
      </x:c>
      <x:c r="C29" s="5" t="str">
        <x:v>Cedar Manufacturing 053</x:v>
      </x:c>
      <x:c r="D29" s="5" t="str">
        <x:v>Mid-Market</x:v>
      </x:c>
      <x:c r="E29" s="5" t="str">
        <x:v>US West</x:v>
      </x:c>
      <x:c r="F29" s="5"/>
      <x:c r="G29" s="5" t="str">
        <x:v>Subscription</x:v>
      </x:c>
      <x:c r="H29" s="6" t="n">
        <x:v>46174</x:v>
      </x:c>
      <x:c r="I29" s="6" t="n">
        <x:v>46204</x:v>
      </x:c>
      <x:c r="J29" s="7" t="n">
        <x:v>66224.28</x:v>
      </x:c>
      <x:c r="K29" s="7" t="n">
        <x:v>0</x:v>
      </x:c>
      <x:c r="L29" s="7" t="n">
        <x:v>66224.28</x:v>
      </x:c>
      <x:c r="M29" s="5" t="str">
        <x:v>Open</x:v>
      </x:c>
      <x:c r="N29" s="9" t="n">
        <x:v>-1</x:v>
      </x:c>
      <x:c r="O29" s="5" t="str">
        <x:v>Current</x:v>
      </x:c>
      <x:c r="P29" s="6" t="n">
        <x:v>46203</x:v>
      </x:c>
    </x:row>
    <x:row r="30">
      <x:c r="A30" s="5" t="str">
        <x:v>INV0000371</x:v>
      </x:c>
      <x:c r="B30" s="5" t="str">
        <x:v>C0093</x:v>
      </x:c>
      <x:c r="C30" s="5" t="str">
        <x:v>Ironwood Financial 093</x:v>
      </x:c>
      <x:c r="D30" s="5" t="str">
        <x:v>Enterprise</x:v>
      </x:c>
      <x:c r="E30" s="5" t="str">
        <x:v>Canada</x:v>
      </x:c>
      <x:c r="F30" s="5"/>
      <x:c r="G30" s="5" t="str">
        <x:v>Subscription</x:v>
      </x:c>
      <x:c r="H30" s="6" t="n">
        <x:v>46174</x:v>
      </x:c>
      <x:c r="I30" s="6" t="n">
        <x:v>46204</x:v>
      </x:c>
      <x:c r="J30" s="7" t="n">
        <x:v>443695.68</x:v>
      </x:c>
      <x:c r="K30" s="7" t="n">
        <x:v>0</x:v>
      </x:c>
      <x:c r="L30" s="7" t="n">
        <x:v>443695.68</x:v>
      </x:c>
      <x:c r="M30" s="5" t="str">
        <x:v>Open</x:v>
      </x:c>
      <x:c r="N30" s="9" t="n">
        <x:v>-1</x:v>
      </x:c>
      <x:c r="O30" s="5" t="str">
        <x:v>Current</x:v>
      </x:c>
      <x:c r="P30" s="6" t="n">
        <x:v>46203</x:v>
      </x:c>
    </x:row>
    <x:row r="31">
      <x:c r="A31" s="5" t="str">
        <x:v>INV0000390</x:v>
      </x:c>
      <x:c r="B31" s="5" t="str">
        <x:v>C0097</x:v>
      </x:c>
      <x:c r="C31" s="5" t="str">
        <x:v>Westbridge Insurance 097</x:v>
      </x:c>
      <x:c r="D31" s="5" t="str">
        <x:v>Mid-Market</x:v>
      </x:c>
      <x:c r="E31" s="5" t="str">
        <x:v>US East</x:v>
      </x:c>
      <x:c r="F31" s="5"/>
      <x:c r="G31" s="5" t="str">
        <x:v>Subscription</x:v>
      </x:c>
      <x:c r="H31" s="6" t="n">
        <x:v>46174</x:v>
      </x:c>
      <x:c r="I31" s="6" t="n">
        <x:v>46204</x:v>
      </x:c>
      <x:c r="J31" s="7" t="n">
        <x:v>59489.94</x:v>
      </x:c>
      <x:c r="K31" s="7" t="n">
        <x:v>0</x:v>
      </x:c>
      <x:c r="L31" s="7" t="n">
        <x:v>59489.94</x:v>
      </x:c>
      <x:c r="M31" s="5" t="str">
        <x:v>Open</x:v>
      </x:c>
      <x:c r="N31" s="9" t="n">
        <x:v>-1</x:v>
      </x:c>
      <x:c r="O31" s="5" t="str">
        <x:v>Current</x:v>
      </x:c>
      <x:c r="P31" s="6" t="n">
        <x:v>46203</x:v>
      </x:c>
    </x:row>
    <x:row r="32">
      <x:c r="A32" s="5" t="str">
        <x:v>INV0000454</x:v>
      </x:c>
      <x:c r="B32" s="5" t="str">
        <x:v>C0113</x:v>
      </x:c>
      <x:c r="C32" s="5" t="str">
        <x:v>Clearwater Insurance 113</x:v>
      </x:c>
      <x:c r="D32" s="5" t="str">
        <x:v>SMB</x:v>
      </x:c>
      <x:c r="E32" s="5" t="str">
        <x:v>US East</x:v>
      </x:c>
      <x:c r="F32" s="5"/>
      <x:c r="G32" s="5" t="str">
        <x:v>Subscription</x:v>
      </x:c>
      <x:c r="H32" s="6" t="n">
        <x:v>46174</x:v>
      </x:c>
      <x:c r="I32" s="6" t="n">
        <x:v>46204</x:v>
      </x:c>
      <x:c r="J32" s="7" t="n">
        <x:v>5823.57</x:v>
      </x:c>
      <x:c r="K32" s="7" t="n">
        <x:v>0</x:v>
      </x:c>
      <x:c r="L32" s="7" t="n">
        <x:v>5823.57</x:v>
      </x:c>
      <x:c r="M32" s="5" t="str">
        <x:v>Open</x:v>
      </x:c>
      <x:c r="N32" s="9" t="n">
        <x:v>-1</x:v>
      </x:c>
      <x:c r="O32" s="5" t="str">
        <x:v>Current</x:v>
      </x:c>
      <x:c r="P32" s="6" t="n">
        <x:v>46203</x:v>
      </x:c>
    </x:row>
    <x:row r="33">
      <x:c r="A33" s="5" t="str">
        <x:v>INV0000491</x:v>
      </x:c>
      <x:c r="B33" s="5" t="str">
        <x:v>C0125</x:v>
      </x:c>
      <x:c r="C33" s="5" t="str">
        <x:v>Summit Mobility 125</x:v>
      </x:c>
      <x:c r="D33" s="5" t="str">
        <x:v>SMB</x:v>
      </x:c>
      <x:c r="E33" s="5" t="str">
        <x:v>US West</x:v>
      </x:c>
      <x:c r="F33" s="5"/>
      <x:c r="G33" s="5" t="str">
        <x:v>Subscription</x:v>
      </x:c>
      <x:c r="H33" s="6" t="n">
        <x:v>46174</x:v>
      </x:c>
      <x:c r="I33" s="6" t="n">
        <x:v>46204</x:v>
      </x:c>
      <x:c r="J33" s="7" t="n">
        <x:v>5634.93</x:v>
      </x:c>
      <x:c r="K33" s="7" t="n">
        <x:v>0</x:v>
      </x:c>
      <x:c r="L33" s="7" t="n">
        <x:v>5634.93</x:v>
      </x:c>
      <x:c r="M33" s="5" t="str">
        <x:v>Open</x:v>
      </x:c>
      <x:c r="N33" s="9" t="n">
        <x:v>-1</x:v>
      </x:c>
      <x:c r="O33" s="5" t="str">
        <x:v>Current</x:v>
      </x:c>
      <x:c r="P33" s="6" t="n">
        <x:v>46203</x:v>
      </x:c>
    </x:row>
    <x:row r="34">
      <x:c r="A34" s="5" t="str">
        <x:v>INV0000514</x:v>
      </x:c>
      <x:c r="B34" s="5" t="str">
        <x:v>C0129</x:v>
      </x:c>
      <x:c r="C34" s="5" t="str">
        <x:v>BrightPath Insurance 129</x:v>
      </x:c>
      <x:c r="D34" s="5" t="str">
        <x:v>SMB</x:v>
      </x:c>
      <x:c r="E34" s="5" t="str">
        <x:v>US West</x:v>
      </x:c>
      <x:c r="F34" s="5"/>
      <x:c r="G34" s="5" t="str">
        <x:v>Subscription</x:v>
      </x:c>
      <x:c r="H34" s="6" t="n">
        <x:v>46174</x:v>
      </x:c>
      <x:c r="I34" s="6" t="n">
        <x:v>46204</x:v>
      </x:c>
      <x:c r="J34" s="7" t="n">
        <x:v>7658.94</x:v>
      </x:c>
      <x:c r="K34" s="7" t="n">
        <x:v>0</x:v>
      </x:c>
      <x:c r="L34" s="7" t="n">
        <x:v>7658.94</x:v>
      </x:c>
      <x:c r="M34" s="5" t="str">
        <x:v>Open</x:v>
      </x:c>
      <x:c r="N34" s="9" t="n">
        <x:v>-1</x:v>
      </x:c>
      <x:c r="O34" s="5" t="str">
        <x:v>Current</x:v>
      </x:c>
      <x:c r="P34" s="6" t="n">
        <x:v>46203</x:v>
      </x:c>
    </x:row>
    <x:row r="35">
      <x:c r="A35" s="5" t="str">
        <x:v>INV0000532</x:v>
      </x:c>
      <x:c r="B35" s="5" t="str">
        <x:v>C0133</x:v>
      </x:c>
      <x:c r="C35" s="5" t="str">
        <x:v>Meridian Mobility 133</x:v>
      </x:c>
      <x:c r="D35" s="5" t="str">
        <x:v>Mid-Market</x:v>
      </x:c>
      <x:c r="E35" s="5" t="str">
        <x:v>US Central</x:v>
      </x:c>
      <x:c r="F35" s="5"/>
      <x:c r="G35" s="5" t="str">
        <x:v>Subscription</x:v>
      </x:c>
      <x:c r="H35" s="6" t="n">
        <x:v>46174</x:v>
      </x:c>
      <x:c r="I35" s="6" t="n">
        <x:v>46204</x:v>
      </x:c>
      <x:c r="J35" s="7" t="n">
        <x:v>76943.49</x:v>
      </x:c>
      <x:c r="K35" s="7" t="n">
        <x:v>0</x:v>
      </x:c>
      <x:c r="L35" s="7" t="n">
        <x:v>76943.49</x:v>
      </x:c>
      <x:c r="M35" s="5" t="str">
        <x:v>Open</x:v>
      </x:c>
      <x:c r="N35" s="9" t="n">
        <x:v>-1</x:v>
      </x:c>
      <x:c r="O35" s="5" t="str">
        <x:v>Current</x:v>
      </x:c>
      <x:c r="P35" s="6" t="n">
        <x:v>46203</x:v>
      </x:c>
    </x:row>
    <x:row r="36">
      <x:c r="A36" s="5" t="str">
        <x:v>INV0000684</x:v>
      </x:c>
      <x:c r="B36" s="5" t="str">
        <x:v>C0168</x:v>
      </x:c>
      <x:c r="C36" s="5" t="str">
        <x:v>Crescent Mobility 168</x:v>
      </x:c>
      <x:c r="D36" s="5" t="str">
        <x:v>Mid-Market</x:v>
      </x:c>
      <x:c r="E36" s="5" t="str">
        <x:v>US Central</x:v>
      </x:c>
      <x:c r="F36" s="5"/>
      <x:c r="G36" s="5" t="str">
        <x:v>Subscription</x:v>
      </x:c>
      <x:c r="H36" s="6" t="n">
        <x:v>46174</x:v>
      </x:c>
      <x:c r="I36" s="6" t="n">
        <x:v>46204</x:v>
      </x:c>
      <x:c r="J36" s="7" t="n">
        <x:v>55637.91</x:v>
      </x:c>
      <x:c r="K36" s="7" t="n">
        <x:v>0</x:v>
      </x:c>
      <x:c r="L36" s="7" t="n">
        <x:v>55637.91</x:v>
      </x:c>
      <x:c r="M36" s="5" t="str">
        <x:v>Open</x:v>
      </x:c>
      <x:c r="N36" s="9" t="n">
        <x:v>-1</x:v>
      </x:c>
      <x:c r="O36" s="5" t="str">
        <x:v>Current</x:v>
      </x:c>
      <x:c r="P36" s="6" t="n">
        <x:v>46203</x:v>
      </x:c>
    </x:row>
    <x:row r="37">
      <x:c r="A37" s="5" t="str">
        <x:v>INV0000709</x:v>
      </x:c>
      <x:c r="B37" s="5" t="str">
        <x:v>C0172</x:v>
      </x:c>
      <x:c r="C37" s="5" t="str">
        <x:v>Stonegate Manufacturing 172</x:v>
      </x:c>
      <x:c r="D37" s="5" t="str">
        <x:v>Mid-Market</x:v>
      </x:c>
      <x:c r="E37" s="5" t="str">
        <x:v>Canada</x:v>
      </x:c>
      <x:c r="F37" s="5"/>
      <x:c r="G37" s="5" t="str">
        <x:v>Subscription</x:v>
      </x:c>
      <x:c r="H37" s="6" t="n">
        <x:v>46174</x:v>
      </x:c>
      <x:c r="I37" s="6" t="n">
        <x:v>46204</x:v>
      </x:c>
      <x:c r="J37" s="7" t="n">
        <x:v>55626.51</x:v>
      </x:c>
      <x:c r="K37" s="7" t="n">
        <x:v>0</x:v>
      </x:c>
      <x:c r="L37" s="7" t="n">
        <x:v>55626.51</x:v>
      </x:c>
      <x:c r="M37" s="5" t="str">
        <x:v>Open</x:v>
      </x:c>
      <x:c r="N37" s="9" t="n">
        <x:v>-1</x:v>
      </x:c>
      <x:c r="O37" s="5" t="str">
        <x:v>Current</x:v>
      </x:c>
      <x:c r="P37" s="6" t="n">
        <x:v>46203</x:v>
      </x:c>
    </x:row>
    <x:row r="38">
      <x:c r="A38" s="5" t="str">
        <x:v>INV0000779</x:v>
      </x:c>
      <x:c r="B38" s="5" t="str">
        <x:v>C0185</x:v>
      </x:c>
      <x:c r="C38" s="5" t="str">
        <x:v>Oakridge Media 185</x:v>
      </x:c>
      <x:c r="D38" s="5" t="str">
        <x:v>SMB</x:v>
      </x:c>
      <x:c r="E38" s="5" t="str">
        <x:v>US West</x:v>
      </x:c>
      <x:c r="F38" s="5"/>
      <x:c r="G38" s="5" t="str">
        <x:v>Subscription</x:v>
      </x:c>
      <x:c r="H38" s="6" t="n">
        <x:v>46174</x:v>
      </x:c>
      <x:c r="I38" s="6" t="n">
        <x:v>46204</x:v>
      </x:c>
      <x:c r="J38" s="7" t="n">
        <x:v>13430.1</x:v>
      </x:c>
      <x:c r="K38" s="7" t="n">
        <x:v>0</x:v>
      </x:c>
      <x:c r="L38" s="7" t="n">
        <x:v>13430.1</x:v>
      </x:c>
      <x:c r="M38" s="5" t="str">
        <x:v>Open</x:v>
      </x:c>
      <x:c r="N38" s="9" t="n">
        <x:v>-1</x:v>
      </x:c>
      <x:c r="O38" s="5" t="str">
        <x:v>Current</x:v>
      </x:c>
      <x:c r="P38" s="6" t="n">
        <x:v>46203</x:v>
      </x:c>
    </x:row>
    <x:row r="39">
      <x:c r="A39" s="5" t="str">
        <x:v>INV0000888</x:v>
      </x:c>
      <x:c r="B39" s="5" t="str">
        <x:v>C0213</x:v>
      </x:c>
      <x:c r="C39" s="5" t="str">
        <x:v>Oakridge Mobility 213</x:v>
      </x:c>
      <x:c r="D39" s="5" t="str">
        <x:v>Mid-Market</x:v>
      </x:c>
      <x:c r="E39" s="5" t="str">
        <x:v>US West</x:v>
      </x:c>
      <x:c r="F39" s="5"/>
      <x:c r="G39" s="5" t="str">
        <x:v>Subscription</x:v>
      </x:c>
      <x:c r="H39" s="6" t="n">
        <x:v>46174</x:v>
      </x:c>
      <x:c r="I39" s="6" t="n">
        <x:v>46204</x:v>
      </x:c>
      <x:c r="J39" s="7" t="n">
        <x:v>27840.42</x:v>
      </x:c>
      <x:c r="K39" s="7" t="n">
        <x:v>0</x:v>
      </x:c>
      <x:c r="L39" s="7" t="n">
        <x:v>27840.42</x:v>
      </x:c>
      <x:c r="M39" s="5" t="str">
        <x:v>Open</x:v>
      </x:c>
      <x:c r="N39" s="9" t="n">
        <x:v>-1</x:v>
      </x:c>
      <x:c r="O39" s="5" t="str">
        <x:v>Current</x:v>
      </x:c>
      <x:c r="P39" s="6" t="n">
        <x:v>46203</x:v>
      </x:c>
    </x:row>
    <x:row r="40">
      <x:c r="A40" s="5" t="str">
        <x:v>INV0000925</x:v>
      </x:c>
      <x:c r="B40" s="5" t="str">
        <x:v>C0222</x:v>
      </x:c>
      <x:c r="C40" s="5" t="str">
        <x:v>Silverline Retail 222</x:v>
      </x:c>
      <x:c r="D40" s="5" t="str">
        <x:v>Mid-Market</x:v>
      </x:c>
      <x:c r="E40" s="5" t="str">
        <x:v>US East</x:v>
      </x:c>
      <x:c r="F40" s="5"/>
      <x:c r="G40" s="5" t="str">
        <x:v>Subscription</x:v>
      </x:c>
      <x:c r="H40" s="6" t="n">
        <x:v>46174</x:v>
      </x:c>
      <x:c r="I40" s="6" t="n">
        <x:v>46204</x:v>
      </x:c>
      <x:c r="J40" s="7" t="n">
        <x:v>53425.95</x:v>
      </x:c>
      <x:c r="K40" s="7" t="n">
        <x:v>0</x:v>
      </x:c>
      <x:c r="L40" s="7" t="n">
        <x:v>53425.95</x:v>
      </x:c>
      <x:c r="M40" s="5" t="str">
        <x:v>Open</x:v>
      </x:c>
      <x:c r="N40" s="9" t="n">
        <x:v>-1</x:v>
      </x:c>
      <x:c r="O40" s="5" t="str">
        <x:v>Current</x:v>
      </x:c>
      <x:c r="P40" s="6" t="n">
        <x:v>46203</x:v>
      </x:c>
    </x:row>
    <x:row r="41">
      <x:c r="A41" s="5" t="str">
        <x:v>INV0000948</x:v>
      </x:c>
      <x:c r="B41" s="5" t="str">
        <x:v>C0226</x:v>
      </x:c>
      <x:c r="C41" s="5" t="str">
        <x:v>Frontier Financial 226</x:v>
      </x:c>
      <x:c r="D41" s="5" t="str">
        <x:v>SMB</x:v>
      </x:c>
      <x:c r="E41" s="5" t="str">
        <x:v>US West</x:v>
      </x:c>
      <x:c r="F41" s="5"/>
      <x:c r="G41" s="5" t="str">
        <x:v>Subscription</x:v>
      </x:c>
      <x:c r="H41" s="6" t="n">
        <x:v>46174</x:v>
      </x:c>
      <x:c r="I41" s="6" t="n">
        <x:v>46204</x:v>
      </x:c>
      <x:c r="J41" s="7" t="n">
        <x:v>9186.42</x:v>
      </x:c>
      <x:c r="K41" s="7" t="n">
        <x:v>0</x:v>
      </x:c>
      <x:c r="L41" s="7" t="n">
        <x:v>9186.42</x:v>
      </x:c>
      <x:c r="M41" s="5" t="str">
        <x:v>Open</x:v>
      </x:c>
      <x:c r="N41" s="9" t="n">
        <x:v>-1</x:v>
      </x:c>
      <x:c r="O41" s="5" t="str">
        <x:v>Current</x:v>
      </x:c>
      <x:c r="P41" s="6" t="n">
        <x:v>46203</x:v>
      </x:c>
    </x:row>
    <x:row r="42">
      <x:c r="A42" s="5" t="str">
        <x:v>INV0000999</x:v>
      </x:c>
      <x:c r="B42" s="5" t="str">
        <x:v>C0240</x:v>
      </x:c>
      <x:c r="C42" s="5" t="str">
        <x:v>Evergreen Health 240</x:v>
      </x:c>
      <x:c r="D42" s="5" t="str">
        <x:v>SMB</x:v>
      </x:c>
      <x:c r="E42" s="5" t="str">
        <x:v>Canada</x:v>
      </x:c>
      <x:c r="F42" s="5"/>
      <x:c r="G42" s="5" t="str">
        <x:v>Subscription</x:v>
      </x:c>
      <x:c r="H42" s="6" t="n">
        <x:v>46174</x:v>
      </x:c>
      <x:c r="I42" s="6" t="n">
        <x:v>46204</x:v>
      </x:c>
      <x:c r="J42" s="7" t="n">
        <x:v>15732.18</x:v>
      </x:c>
      <x:c r="K42" s="7" t="n">
        <x:v>0</x:v>
      </x:c>
      <x:c r="L42" s="7" t="n">
        <x:v>15732.18</x:v>
      </x:c>
      <x:c r="M42" s="5" t="str">
        <x:v>Open</x:v>
      </x:c>
      <x:c r="N42" s="9" t="n">
        <x:v>-1</x:v>
      </x:c>
      <x:c r="O42" s="5" t="str">
        <x:v>Current</x:v>
      </x:c>
      <x:c r="P42" s="6" t="n">
        <x:v>46203</x:v>
      </x:c>
    </x:row>
    <x:row r="43">
      <x:c r="A43" s="5" t="str">
        <x:v>INV0001060</x:v>
      </x:c>
      <x:c r="B43" s="5" t="str">
        <x:v>C0251</x:v>
      </x:c>
      <x:c r="C43" s="5" t="str">
        <x:v>Ironwood Health 251</x:v>
      </x:c>
      <x:c r="D43" s="5" t="str">
        <x:v>SMB</x:v>
      </x:c>
      <x:c r="E43" s="5" t="str">
        <x:v>US Central</x:v>
      </x:c>
      <x:c r="F43" s="5"/>
      <x:c r="G43" s="5" t="str">
        <x:v>Subscription</x:v>
      </x:c>
      <x:c r="H43" s="6" t="n">
        <x:v>46174</x:v>
      </x:c>
      <x:c r="I43" s="6" t="n">
        <x:v>46204</x:v>
      </x:c>
      <x:c r="J43" s="7" t="n">
        <x:v>11030.07</x:v>
      </x:c>
      <x:c r="K43" s="7" t="n">
        <x:v>2757.52</x:v>
      </x:c>
      <x:c r="L43" s="7" t="n">
        <x:v>8272.55</x:v>
      </x:c>
      <x:c r="M43" s="5" t="str">
        <x:v>Partially Paid</x:v>
      </x:c>
      <x:c r="N43" s="9" t="n">
        <x:v>-1</x:v>
      </x:c>
      <x:c r="O43" s="5" t="str">
        <x:v>Current</x:v>
      </x:c>
      <x:c r="P43" s="6" t="n">
        <x:v>46203</x:v>
      </x:c>
    </x:row>
    <x:row r="44">
      <x:c r="A44" s="5" t="str">
        <x:v>INV0001078</x:v>
      </x:c>
      <x:c r="B44" s="5" t="str">
        <x:v>C0256</x:v>
      </x:c>
      <x:c r="C44" s="5" t="str">
        <x:v>Westbridge Media 256</x:v>
      </x:c>
      <x:c r="D44" s="5" t="str">
        <x:v>Mid-Market</x:v>
      </x:c>
      <x:c r="E44" s="5" t="str">
        <x:v>US West</x:v>
      </x:c>
      <x:c r="F44" s="5"/>
      <x:c r="G44" s="5" t="str">
        <x:v>Subscription</x:v>
      </x:c>
      <x:c r="H44" s="6" t="n">
        <x:v>46174</x:v>
      </x:c>
      <x:c r="I44" s="6" t="n">
        <x:v>46204</x:v>
      </x:c>
      <x:c r="J44" s="7" t="n">
        <x:v>24416.31</x:v>
      </x:c>
      <x:c r="K44" s="7" t="n">
        <x:v>0</x:v>
      </x:c>
      <x:c r="L44" s="7" t="n">
        <x:v>24416.31</x:v>
      </x:c>
      <x:c r="M44" s="5" t="str">
        <x:v>Open</x:v>
      </x:c>
      <x:c r="N44" s="9" t="n">
        <x:v>-1</x:v>
      </x:c>
      <x:c r="O44" s="5" t="str">
        <x:v>Current</x:v>
      </x:c>
      <x:c r="P44" s="6" t="n">
        <x:v>46203</x:v>
      </x:c>
    </x:row>
    <x:row r="45">
      <x:c r="A45" s="5" t="str">
        <x:v>INV0001256</x:v>
      </x:c>
      <x:c r="B45" s="5" t="str">
        <x:v>C0298</x:v>
      </x:c>
      <x:c r="C45" s="5" t="str">
        <x:v>Highland Media 298</x:v>
      </x:c>
      <x:c r="D45" s="5" t="str">
        <x:v>Mid-Market</x:v>
      </x:c>
      <x:c r="E45" s="5" t="str">
        <x:v>Canada</x:v>
      </x:c>
      <x:c r="F45" s="5"/>
      <x:c r="G45" s="5" t="str">
        <x:v>Subscription</x:v>
      </x:c>
      <x:c r="H45" s="6" t="n">
        <x:v>46174</x:v>
      </x:c>
      <x:c r="I45" s="6" t="n">
        <x:v>46204</x:v>
      </x:c>
      <x:c r="J45" s="7" t="n">
        <x:v>34310.4</x:v>
      </x:c>
      <x:c r="K45" s="7" t="n">
        <x:v>0</x:v>
      </x:c>
      <x:c r="L45" s="7" t="n">
        <x:v>34310.4</x:v>
      </x:c>
      <x:c r="M45" s="5" t="str">
        <x:v>Open</x:v>
      </x:c>
      <x:c r="N45" s="9" t="n">
        <x:v>-1</x:v>
      </x:c>
      <x:c r="O45" s="5" t="str">
        <x:v>Current</x:v>
      </x:c>
      <x:c r="P45" s="6" t="n">
        <x:v>46203</x:v>
      </x:c>
    </x:row>
    <x:row r="46">
      <x:c r="A46" s="5" t="str">
        <x:v>INV0001264</x:v>
      </x:c>
      <x:c r="B46" s="5" t="str">
        <x:v>C0299</x:v>
      </x:c>
      <x:c r="C46" s="5" t="str">
        <x:v>Frontier Insurance 299</x:v>
      </x:c>
      <x:c r="D46" s="5" t="str">
        <x:v>SMB</x:v>
      </x:c>
      <x:c r="E46" s="5" t="str">
        <x:v>Canada</x:v>
      </x:c>
      <x:c r="F46" s="5"/>
      <x:c r="G46" s="5" t="str">
        <x:v>Subscription</x:v>
      </x:c>
      <x:c r="H46" s="6" t="n">
        <x:v>46174</x:v>
      </x:c>
      <x:c r="I46" s="6" t="n">
        <x:v>46204</x:v>
      </x:c>
      <x:c r="J46" s="7" t="n">
        <x:v>9178.95</x:v>
      </x:c>
      <x:c r="K46" s="7" t="n">
        <x:v>0</x:v>
      </x:c>
      <x:c r="L46" s="7" t="n">
        <x:v>9178.95</x:v>
      </x:c>
      <x:c r="M46" s="5" t="str">
        <x:v>Open</x:v>
      </x:c>
      <x:c r="N46" s="9" t="n">
        <x:v>-1</x:v>
      </x:c>
      <x:c r="O46" s="5" t="str">
        <x:v>Current</x:v>
      </x:c>
      <x:c r="P46" s="6" t="n">
        <x:v>46203</x:v>
      </x:c>
    </x:row>
    <x:row r="47">
      <x:c r="A47" s="5" t="str">
        <x:v>INV0001386</x:v>
      </x:c>
      <x:c r="B47" s="5" t="str">
        <x:v>C0114</x:v>
      </x:c>
      <x:c r="C47" s="5" t="str">
        <x:v>Redwood Mobility 114</x:v>
      </x:c>
      <x:c r="D47" s="5" t="str">
        <x:v>Enterprise</x:v>
      </x:c>
      <x:c r="E47" s="5" t="str">
        <x:v>Canada</x:v>
      </x:c>
      <x:c r="F47" s="5" t="str">
        <x:v>P0050</x:v>
      </x:c>
      <x:c r="G47" s="5" t="str">
        <x:v>Professional Services</x:v>
      </x:c>
      <x:c r="H47" s="6" t="n">
        <x:v>46147</x:v>
      </x:c>
      <x:c r="I47" s="6" t="n">
        <x:v>46207</x:v>
      </x:c>
      <x:c r="J47" s="7" t="n">
        <x:v>64455.26</x:v>
      </x:c>
      <x:c r="K47" s="7" t="n">
        <x:v>0</x:v>
      </x:c>
      <x:c r="L47" s="7" t="n">
        <x:v>64455.26</x:v>
      </x:c>
      <x:c r="M47" s="5" t="str">
        <x:v>Open</x:v>
      </x:c>
      <x:c r="N47" s="9" t="n">
        <x:v>-4</x:v>
      </x:c>
      <x:c r="O47" s="5" t="str">
        <x:v>Current</x:v>
      </x:c>
      <x:c r="P47" s="6" t="n">
        <x:v>46203</x:v>
      </x:c>
    </x:row>
    <x:row r="48">
      <x:c r="A48" s="5" t="str">
        <x:v>INV0001590</x:v>
      </x:c>
      <x:c r="B48" s="5" t="str">
        <x:v>C0270</x:v>
      </x:c>
      <x:c r="C48" s="5" t="str">
        <x:v>Summit Retail 270</x:v>
      </x:c>
      <x:c r="D48" s="5" t="str">
        <x:v>Enterprise</x:v>
      </x:c>
      <x:c r="E48" s="5" t="str">
        <x:v>US West</x:v>
      </x:c>
      <x:c r="F48" s="5" t="str">
        <x:v>P0088</x:v>
      </x:c>
      <x:c r="G48" s="5" t="str">
        <x:v>Professional Services</x:v>
      </x:c>
      <x:c r="H48" s="6" t="n">
        <x:v>46147</x:v>
      </x:c>
      <x:c r="I48" s="6" t="n">
        <x:v>46207</x:v>
      </x:c>
      <x:c r="J48" s="7" t="n">
        <x:v>49290.18</x:v>
      </x:c>
      <x:c r="K48" s="7" t="n">
        <x:v>0</x:v>
      </x:c>
      <x:c r="L48" s="7" t="n">
        <x:v>49290.18</x:v>
      </x:c>
      <x:c r="M48" s="5" t="str">
        <x:v>Open</x:v>
      </x:c>
      <x:c r="N48" s="9" t="n">
        <x:v>-4</x:v>
      </x:c>
      <x:c r="O48" s="5" t="str">
        <x:v>Current</x:v>
      </x:c>
      <x:c r="P48" s="6" t="n">
        <x:v>46203</x:v>
      </x:c>
    </x:row>
    <x:row r="49">
      <x:c r="A49" s="5" t="str">
        <x:v>INV0001763</x:v>
      </x:c>
      <x:c r="B49" s="5" t="str">
        <x:v>C0035</x:v>
      </x:c>
      <x:c r="C49" s="5" t="str">
        <x:v>Summit Logistics 035</x:v>
      </x:c>
      <x:c r="D49" s="5" t="str">
        <x:v>Enterprise</x:v>
      </x:c>
      <x:c r="E49" s="5" t="str">
        <x:v>US West</x:v>
      </x:c>
      <x:c r="F49" s="5" t="str">
        <x:v>P0134</x:v>
      </x:c>
      <x:c r="G49" s="5" t="str">
        <x:v>Professional Services</x:v>
      </x:c>
      <x:c r="H49" s="6" t="n">
        <x:v>46147</x:v>
      </x:c>
      <x:c r="I49" s="6" t="n">
        <x:v>46207</x:v>
      </x:c>
      <x:c r="J49" s="7" t="n">
        <x:v>31687.92</x:v>
      </x:c>
      <x:c r="K49" s="7" t="n">
        <x:v>0</x:v>
      </x:c>
      <x:c r="L49" s="7" t="n">
        <x:v>31687.92</x:v>
      </x:c>
      <x:c r="M49" s="5" t="str">
        <x:v>Open</x:v>
      </x:c>
      <x:c r="N49" s="9" t="n">
        <x:v>-4</x:v>
      </x:c>
      <x:c r="O49" s="5" t="str">
        <x:v>Current</x:v>
      </x:c>
      <x:c r="P49" s="6" t="n">
        <x:v>46203</x:v>
      </x:c>
    </x:row>
    <x:row r="50">
      <x:c r="A50" s="5" t="str">
        <x:v>INV0002108</x:v>
      </x:c>
      <x:c r="B50" s="5" t="str">
        <x:v>C0094</x:v>
      </x:c>
      <x:c r="C50" s="5" t="str">
        <x:v>Crescent Technology 094</x:v>
      </x:c>
      <x:c r="D50" s="5" t="str">
        <x:v>Enterprise</x:v>
      </x:c>
      <x:c r="E50" s="5" t="str">
        <x:v>US West</x:v>
      </x:c>
      <x:c r="F50" s="5" t="str">
        <x:v>P0201</x:v>
      </x:c>
      <x:c r="G50" s="5" t="str">
        <x:v>Professional Services</x:v>
      </x:c>
      <x:c r="H50" s="6" t="n">
        <x:v>46147</x:v>
      </x:c>
      <x:c r="I50" s="6" t="n">
        <x:v>46207</x:v>
      </x:c>
      <x:c r="J50" s="7" t="n">
        <x:v>150721.24</x:v>
      </x:c>
      <x:c r="K50" s="7" t="n">
        <x:v>0</x:v>
      </x:c>
      <x:c r="L50" s="7" t="n">
        <x:v>150721.24</x:v>
      </x:c>
      <x:c r="M50" s="5" t="str">
        <x:v>Open</x:v>
      </x:c>
      <x:c r="N50" s="9" t="n">
        <x:v>-4</x:v>
      </x:c>
      <x:c r="O50" s="5" t="str">
        <x:v>Current</x:v>
      </x:c>
      <x:c r="P50" s="6" t="n">
        <x:v>46203</x:v>
      </x:c>
    </x:row>
    <x:row r="51">
      <x:c r="A51" s="5" t="str">
        <x:v>INV0001306</x:v>
      </x:c>
      <x:c r="B51" s="5" t="str">
        <x:v>C0185</x:v>
      </x:c>
      <x:c r="C51" s="5" t="str">
        <x:v>Oakridge Media 185</x:v>
      </x:c>
      <x:c r="D51" s="5" t="str">
        <x:v>SMB</x:v>
      </x:c>
      <x:c r="E51" s="5" t="str">
        <x:v>US West</x:v>
      </x:c>
      <x:c r="F51" s="5" t="str">
        <x:v>P0033</x:v>
      </x:c>
      <x:c r="G51" s="5" t="str">
        <x:v>Professional Services</x:v>
      </x:c>
      <x:c r="H51" s="6" t="n">
        <x:v>46178</x:v>
      </x:c>
      <x:c r="I51" s="6" t="n">
        <x:v>46208</x:v>
      </x:c>
      <x:c r="J51" s="7" t="n">
        <x:v>6856.31</x:v>
      </x:c>
      <x:c r="K51" s="7" t="n">
        <x:v>0</x:v>
      </x:c>
      <x:c r="L51" s="7" t="n">
        <x:v>6856.31</x:v>
      </x:c>
      <x:c r="M51" s="5" t="str">
        <x:v>Open</x:v>
      </x:c>
      <x:c r="N51" s="9" t="n">
        <x:v>-5</x:v>
      </x:c>
      <x:c r="O51" s="5" t="str">
        <x:v>Current</x:v>
      </x:c>
      <x:c r="P51" s="6" t="n">
        <x:v>46203</x:v>
      </x:c>
    </x:row>
    <x:row r="52">
      <x:c r="A52" s="5" t="str">
        <x:v>INV0001327</x:v>
      </x:c>
      <x:c r="B52" s="5" t="str">
        <x:v>C0228</x:v>
      </x:c>
      <x:c r="C52" s="5" t="str">
        <x:v>Silverline Mobility 228</x:v>
      </x:c>
      <x:c r="D52" s="5" t="str">
        <x:v>Mid-Market</x:v>
      </x:c>
      <x:c r="E52" s="5" t="str">
        <x:v>US West</x:v>
      </x:c>
      <x:c r="F52" s="5" t="str">
        <x:v>P0038</x:v>
      </x:c>
      <x:c r="G52" s="5" t="str">
        <x:v>Professional Services</x:v>
      </x:c>
      <x:c r="H52" s="6" t="n">
        <x:v>46178</x:v>
      </x:c>
      <x:c r="I52" s="6" t="n">
        <x:v>46208</x:v>
      </x:c>
      <x:c r="J52" s="7" t="n">
        <x:v>21633.04</x:v>
      </x:c>
      <x:c r="K52" s="7" t="n">
        <x:v>0</x:v>
      </x:c>
      <x:c r="L52" s="7" t="n">
        <x:v>21633.04</x:v>
      </x:c>
      <x:c r="M52" s="5" t="str">
        <x:v>Open</x:v>
      </x:c>
      <x:c r="N52" s="9" t="n">
        <x:v>-5</x:v>
      </x:c>
      <x:c r="O52" s="5" t="str">
        <x:v>Current</x:v>
      </x:c>
      <x:c r="P52" s="6" t="n">
        <x:v>46203</x:v>
      </x:c>
    </x:row>
    <x:row r="53">
      <x:c r="A53" s="5" t="str">
        <x:v>INV0001355</x:v>
      </x:c>
      <x:c r="B53" s="5" t="str">
        <x:v>C0246</x:v>
      </x:c>
      <x:c r="C53" s="5" t="str">
        <x:v>BluePeak Mobility 246</x:v>
      </x:c>
      <x:c r="D53" s="5" t="str">
        <x:v>SMB</x:v>
      </x:c>
      <x:c r="E53" s="5" t="str">
        <x:v>US East</x:v>
      </x:c>
      <x:c r="F53" s="5" t="str">
        <x:v>P0042</x:v>
      </x:c>
      <x:c r="G53" s="5" t="str">
        <x:v>Professional Services</x:v>
      </x:c>
      <x:c r="H53" s="6" t="n">
        <x:v>46178</x:v>
      </x:c>
      <x:c r="I53" s="6" t="n">
        <x:v>46208</x:v>
      </x:c>
      <x:c r="J53" s="7" t="n">
        <x:v>13129.73</x:v>
      </x:c>
      <x:c r="K53" s="7" t="n">
        <x:v>0</x:v>
      </x:c>
      <x:c r="L53" s="7" t="n">
        <x:v>13129.73</x:v>
      </x:c>
      <x:c r="M53" s="5" t="str">
        <x:v>Open</x:v>
      </x:c>
      <x:c r="N53" s="9" t="n">
        <x:v>-5</x:v>
      </x:c>
      <x:c r="O53" s="5" t="str">
        <x:v>Current</x:v>
      </x:c>
      <x:c r="P53" s="6" t="n">
        <x:v>46203</x:v>
      </x:c>
    </x:row>
    <x:row r="54">
      <x:c r="A54" s="5" t="str">
        <x:v>INV0001408</x:v>
      </x:c>
      <x:c r="B54" s="5" t="str">
        <x:v>C0045</x:v>
      </x:c>
      <x:c r="C54" s="5" t="str">
        <x:v>Redwood Insurance 045</x:v>
      </x:c>
      <x:c r="D54" s="5" t="str">
        <x:v>Mid-Market</x:v>
      </x:c>
      <x:c r="E54" s="5" t="str">
        <x:v>US West</x:v>
      </x:c>
      <x:c r="F54" s="5" t="str">
        <x:v>P0056</x:v>
      </x:c>
      <x:c r="G54" s="5" t="str">
        <x:v>Professional Services</x:v>
      </x:c>
      <x:c r="H54" s="6" t="n">
        <x:v>46178</x:v>
      </x:c>
      <x:c r="I54" s="6" t="n">
        <x:v>46208</x:v>
      </x:c>
      <x:c r="J54" s="7" t="n">
        <x:v>29016.01</x:v>
      </x:c>
      <x:c r="K54" s="7" t="n">
        <x:v>0</x:v>
      </x:c>
      <x:c r="L54" s="7" t="n">
        <x:v>29016.01</x:v>
      </x:c>
      <x:c r="M54" s="5" t="str">
        <x:v>Open</x:v>
      </x:c>
      <x:c r="N54" s="9" t="n">
        <x:v>-5</x:v>
      </x:c>
      <x:c r="O54" s="5" t="str">
        <x:v>Current</x:v>
      </x:c>
      <x:c r="P54" s="6" t="n">
        <x:v>46203</x:v>
      </x:c>
    </x:row>
    <x:row r="55">
      <x:c r="A55" s="5" t="str">
        <x:v>INV0001453</x:v>
      </x:c>
      <x:c r="B55" s="5" t="str">
        <x:v>C0246</x:v>
      </x:c>
      <x:c r="C55" s="5" t="str">
        <x:v>BluePeak Mobility 246</x:v>
      </x:c>
      <x:c r="D55" s="5" t="str">
        <x:v>SMB</x:v>
      </x:c>
      <x:c r="E55" s="5" t="str">
        <x:v>US East</x:v>
      </x:c>
      <x:c r="F55" s="5" t="str">
        <x:v>P0065</x:v>
      </x:c>
      <x:c r="G55" s="5" t="str">
        <x:v>Professional Services</x:v>
      </x:c>
      <x:c r="H55" s="6" t="n">
        <x:v>46178</x:v>
      </x:c>
      <x:c r="I55" s="6" t="n">
        <x:v>46208</x:v>
      </x:c>
      <x:c r="J55" s="7" t="n">
        <x:v>23433.03</x:v>
      </x:c>
      <x:c r="K55" s="7" t="n">
        <x:v>0</x:v>
      </x:c>
      <x:c r="L55" s="7" t="n">
        <x:v>23433.03</x:v>
      </x:c>
      <x:c r="M55" s="5" t="str">
        <x:v>Open</x:v>
      </x:c>
      <x:c r="N55" s="9" t="n">
        <x:v>-5</x:v>
      </x:c>
      <x:c r="O55" s="5" t="str">
        <x:v>Current</x:v>
      </x:c>
      <x:c r="P55" s="6" t="n">
        <x:v>46203</x:v>
      </x:c>
    </x:row>
    <x:row r="56">
      <x:c r="A56" s="5" t="str">
        <x:v>INV0001557</x:v>
      </x:c>
      <x:c r="B56" s="5" t="str">
        <x:v>C0250</x:v>
      </x:c>
      <x:c r="C56" s="5" t="str">
        <x:v>Nova Insurance 250</x:v>
      </x:c>
      <x:c r="D56" s="5" t="str">
        <x:v>SMB</x:v>
      </x:c>
      <x:c r="E56" s="5" t="str">
        <x:v>Canada</x:v>
      </x:c>
      <x:c r="F56" s="5" t="str">
        <x:v>P0084</x:v>
      </x:c>
      <x:c r="G56" s="5" t="str">
        <x:v>Professional Services</x:v>
      </x:c>
      <x:c r="H56" s="6" t="n">
        <x:v>46178</x:v>
      </x:c>
      <x:c r="I56" s="6" t="n">
        <x:v>46208</x:v>
      </x:c>
      <x:c r="J56" s="7" t="n">
        <x:v>10106.81</x:v>
      </x:c>
      <x:c r="K56" s="7" t="n">
        <x:v>0</x:v>
      </x:c>
      <x:c r="L56" s="7" t="n">
        <x:v>10106.81</x:v>
      </x:c>
      <x:c r="M56" s="5" t="str">
        <x:v>Open</x:v>
      </x:c>
      <x:c r="N56" s="9" t="n">
        <x:v>-5</x:v>
      </x:c>
      <x:c r="O56" s="5" t="str">
        <x:v>Current</x:v>
      </x:c>
      <x:c r="P56" s="6" t="n">
        <x:v>46203</x:v>
      </x:c>
    </x:row>
    <x:row r="57">
      <x:c r="A57" s="5" t="str">
        <x:v>INV0001643</x:v>
      </x:c>
      <x:c r="B57" s="5" t="str">
        <x:v>C0296</x:v>
      </x:c>
      <x:c r="C57" s="5" t="str">
        <x:v>Frontier Technology 296</x:v>
      </x:c>
      <x:c r="D57" s="5" t="str">
        <x:v>Mid-Market</x:v>
      </x:c>
      <x:c r="E57" s="5" t="str">
        <x:v>US Central</x:v>
      </x:c>
      <x:c r="F57" s="5" t="str">
        <x:v>P0102</x:v>
      </x:c>
      <x:c r="G57" s="5" t="str">
        <x:v>Professional Services</x:v>
      </x:c>
      <x:c r="H57" s="6" t="n">
        <x:v>46178</x:v>
      </x:c>
      <x:c r="I57" s="6" t="n">
        <x:v>46208</x:v>
      </x:c>
      <x:c r="J57" s="7" t="n">
        <x:v>54146.47</x:v>
      </x:c>
      <x:c r="K57" s="7" t="n">
        <x:v>0</x:v>
      </x:c>
      <x:c r="L57" s="7" t="n">
        <x:v>54146.47</x:v>
      </x:c>
      <x:c r="M57" s="5" t="str">
        <x:v>Open</x:v>
      </x:c>
      <x:c r="N57" s="9" t="n">
        <x:v>-5</x:v>
      </x:c>
      <x:c r="O57" s="5" t="str">
        <x:v>Current</x:v>
      </x:c>
      <x:c r="P57" s="6" t="n">
        <x:v>46203</x:v>
      </x:c>
    </x:row>
    <x:row r="58">
      <x:c r="A58" s="5" t="str">
        <x:v>INV0001687</x:v>
      </x:c>
      <x:c r="B58" s="5" t="str">
        <x:v>C0123</x:v>
      </x:c>
      <x:c r="C58" s="5" t="str">
        <x:v>Evergreen Media 123</x:v>
      </x:c>
      <x:c r="D58" s="5" t="str">
        <x:v>Mid-Market</x:v>
      </x:c>
      <x:c r="E58" s="5" t="str">
        <x:v>US West</x:v>
      </x:c>
      <x:c r="F58" s="5" t="str">
        <x:v>P0112</x:v>
      </x:c>
      <x:c r="G58" s="5" t="str">
        <x:v>Professional Services</x:v>
      </x:c>
      <x:c r="H58" s="6" t="n">
        <x:v>46178</x:v>
      </x:c>
      <x:c r="I58" s="6" t="n">
        <x:v>46208</x:v>
      </x:c>
      <x:c r="J58" s="7" t="n">
        <x:v>50839.05</x:v>
      </x:c>
      <x:c r="K58" s="7" t="n">
        <x:v>0</x:v>
      </x:c>
      <x:c r="L58" s="7" t="n">
        <x:v>50839.05</x:v>
      </x:c>
      <x:c r="M58" s="5" t="str">
        <x:v>Open</x:v>
      </x:c>
      <x:c r="N58" s="9" t="n">
        <x:v>-5</x:v>
      </x:c>
      <x:c r="O58" s="5" t="str">
        <x:v>Current</x:v>
      </x:c>
      <x:c r="P58" s="6" t="n">
        <x:v>46203</x:v>
      </x:c>
    </x:row>
    <x:row r="59">
      <x:c r="A59" s="5" t="str">
        <x:v>INV0001786</x:v>
      </x:c>
      <x:c r="B59" s="5" t="str">
        <x:v>C0127</x:v>
      </x:c>
      <x:c r="C59" s="5" t="str">
        <x:v>BluePeak Education 127</x:v>
      </x:c>
      <x:c r="D59" s="5" t="str">
        <x:v>Mid-Market</x:v>
      </x:c>
      <x:c r="E59" s="5" t="str">
        <x:v>US East</x:v>
      </x:c>
      <x:c r="F59" s="5" t="str">
        <x:v>P0138</x:v>
      </x:c>
      <x:c r="G59" s="5" t="str">
        <x:v>Professional Services</x:v>
      </x:c>
      <x:c r="H59" s="6" t="n">
        <x:v>46178</x:v>
      </x:c>
      <x:c r="I59" s="6" t="n">
        <x:v>46208</x:v>
      </x:c>
      <x:c r="J59" s="7" t="n">
        <x:v>52260.49</x:v>
      </x:c>
      <x:c r="K59" s="7" t="n">
        <x:v>0</x:v>
      </x:c>
      <x:c r="L59" s="7" t="n">
        <x:v>52260.49</x:v>
      </x:c>
      <x:c r="M59" s="5" t="str">
        <x:v>Open</x:v>
      </x:c>
      <x:c r="N59" s="9" t="n">
        <x:v>-5</x:v>
      </x:c>
      <x:c r="O59" s="5" t="str">
        <x:v>Current</x:v>
      </x:c>
      <x:c r="P59" s="6" t="n">
        <x:v>46203</x:v>
      </x:c>
    </x:row>
    <x:row r="60">
      <x:c r="A60" s="5" t="str">
        <x:v>INV0001982</x:v>
      </x:c>
      <x:c r="B60" s="5" t="str">
        <x:v>C0211</x:v>
      </x:c>
      <x:c r="C60" s="5" t="str">
        <x:v>Vantage Retail 211</x:v>
      </x:c>
      <x:c r="D60" s="5" t="str">
        <x:v>Enterprise</x:v>
      </x:c>
      <x:c r="E60" s="5" t="str">
        <x:v>Canada</x:v>
      </x:c>
      <x:c r="F60" s="5" t="str">
        <x:v>P0180</x:v>
      </x:c>
      <x:c r="G60" s="5" t="str">
        <x:v>Professional Services</x:v>
      </x:c>
      <x:c r="H60" s="6" t="n">
        <x:v>46178</x:v>
      </x:c>
      <x:c r="I60" s="6" t="n">
        <x:v>46208</x:v>
      </x:c>
      <x:c r="J60" s="7" t="n">
        <x:v>106823.32</x:v>
      </x:c>
      <x:c r="K60" s="7" t="n">
        <x:v>0</x:v>
      </x:c>
      <x:c r="L60" s="7" t="n">
        <x:v>106823.32</x:v>
      </x:c>
      <x:c r="M60" s="5" t="str">
        <x:v>Open</x:v>
      </x:c>
      <x:c r="N60" s="9" t="n">
        <x:v>-5</x:v>
      </x:c>
      <x:c r="O60" s="5" t="str">
        <x:v>Current</x:v>
      </x:c>
      <x:c r="P60" s="6" t="n">
        <x:v>46203</x:v>
      </x:c>
    </x:row>
    <x:row r="61">
      <x:c r="A61" s="5" t="str">
        <x:v>INV0002010</x:v>
      </x:c>
      <x:c r="B61" s="5" t="str">
        <x:v>C0213</x:v>
      </x:c>
      <x:c r="C61" s="5" t="str">
        <x:v>Oakridge Mobility 213</x:v>
      </x:c>
      <x:c r="D61" s="5" t="str">
        <x:v>Mid-Market</x:v>
      </x:c>
      <x:c r="E61" s="5" t="str">
        <x:v>US West</x:v>
      </x:c>
      <x:c r="F61" s="5" t="str">
        <x:v>P0185</x:v>
      </x:c>
      <x:c r="G61" s="5" t="str">
        <x:v>Professional Services</x:v>
      </x:c>
      <x:c r="H61" s="6" t="n">
        <x:v>46178</x:v>
      </x:c>
      <x:c r="I61" s="6" t="n">
        <x:v>46208</x:v>
      </x:c>
      <x:c r="J61" s="7" t="n">
        <x:v>52649.68</x:v>
      </x:c>
      <x:c r="K61" s="7" t="n">
        <x:v>0</x:v>
      </x:c>
      <x:c r="L61" s="7" t="n">
        <x:v>52649.68</x:v>
      </x:c>
      <x:c r="M61" s="5" t="str">
        <x:v>Open</x:v>
      </x:c>
      <x:c r="N61" s="9" t="n">
        <x:v>-5</x:v>
      </x:c>
      <x:c r="O61" s="5" t="str">
        <x:v>Current</x:v>
      </x:c>
      <x:c r="P61" s="6" t="n">
        <x:v>46203</x:v>
      </x:c>
    </x:row>
    <x:row r="62">
      <x:c r="A62" s="5" t="str">
        <x:v>INV0000066</x:v>
      </x:c>
      <x:c r="B62" s="5" t="str">
        <x:v>C0017</x:v>
      </x:c>
      <x:c r="C62" s="5" t="str">
        <x:v>Atlas Mobility 017</x:v>
      </x:c>
      <x:c r="D62" s="5" t="str">
        <x:v>Enterprise</x:v>
      </x:c>
      <x:c r="E62" s="5" t="str">
        <x:v>US Central</x:v>
      </x:c>
      <x:c r="F62" s="5"/>
      <x:c r="G62" s="5" t="str">
        <x:v>Subscription</x:v>
      </x:c>
      <x:c r="H62" s="6" t="n">
        <x:v>46174</x:v>
      </x:c>
      <x:c r="I62" s="6" t="n">
        <x:v>46219</x:v>
      </x:c>
      <x:c r="J62" s="7" t="n">
        <x:v>760572.12</x:v>
      </x:c>
      <x:c r="K62" s="7" t="n">
        <x:v>0</x:v>
      </x:c>
      <x:c r="L62" s="7" t="n">
        <x:v>760572.12</x:v>
      </x:c>
      <x:c r="M62" s="5" t="str">
        <x:v>Open</x:v>
      </x:c>
      <x:c r="N62" s="9" t="n">
        <x:v>-16</x:v>
      </x:c>
      <x:c r="O62" s="5" t="str">
        <x:v>Current</x:v>
      </x:c>
      <x:c r="P62" s="6" t="n">
        <x:v>46203</x:v>
      </x:c>
    </x:row>
    <x:row r="63">
      <x:c r="A63" s="5" t="str">
        <x:v>INV0000089</x:v>
      </x:c>
      <x:c r="B63" s="5" t="str">
        <x:v>C0022</x:v>
      </x:c>
      <x:c r="C63" s="5" t="str">
        <x:v>Redwood Foods 022</x:v>
      </x:c>
      <x:c r="D63" s="5" t="str">
        <x:v>Mid-Market</x:v>
      </x:c>
      <x:c r="E63" s="5" t="str">
        <x:v>US West</x:v>
      </x:c>
      <x:c r="F63" s="5"/>
      <x:c r="G63" s="5" t="str">
        <x:v>Subscription</x:v>
      </x:c>
      <x:c r="H63" s="6" t="n">
        <x:v>46174</x:v>
      </x:c>
      <x:c r="I63" s="6" t="n">
        <x:v>46219</x:v>
      </x:c>
      <x:c r="J63" s="7" t="n">
        <x:v>132391.56</x:v>
      </x:c>
      <x:c r="K63" s="7" t="n">
        <x:v>0</x:v>
      </x:c>
      <x:c r="L63" s="7" t="n">
        <x:v>132391.56</x:v>
      </x:c>
      <x:c r="M63" s="5" t="str">
        <x:v>Open</x:v>
      </x:c>
      <x:c r="N63" s="9" t="n">
        <x:v>-16</x:v>
      </x:c>
      <x:c r="O63" s="5" t="str">
        <x:v>Current</x:v>
      </x:c>
      <x:c r="P63" s="6" t="n">
        <x:v>46203</x:v>
      </x:c>
    </x:row>
    <x:row r="64">
      <x:c r="A64" s="5" t="str">
        <x:v>INV0000366</x:v>
      </x:c>
      <x:c r="B64" s="5" t="str">
        <x:v>C0089</x:v>
      </x:c>
      <x:c r="C64" s="5" t="str">
        <x:v>Summit Media 089</x:v>
      </x:c>
      <x:c r="D64" s="5" t="str">
        <x:v>Mid-Market</x:v>
      </x:c>
      <x:c r="E64" s="5" t="str">
        <x:v>US West</x:v>
      </x:c>
      <x:c r="F64" s="5"/>
      <x:c r="G64" s="5" t="str">
        <x:v>Subscription</x:v>
      </x:c>
      <x:c r="H64" s="6" t="n">
        <x:v>46174</x:v>
      </x:c>
      <x:c r="I64" s="6" t="n">
        <x:v>46219</x:v>
      </x:c>
      <x:c r="J64" s="7" t="n">
        <x:v>29628.96</x:v>
      </x:c>
      <x:c r="K64" s="7" t="n">
        <x:v>0</x:v>
      </x:c>
      <x:c r="L64" s="7" t="n">
        <x:v>29628.96</x:v>
      </x:c>
      <x:c r="M64" s="5" t="str">
        <x:v>Open</x:v>
      </x:c>
      <x:c r="N64" s="9" t="n">
        <x:v>-16</x:v>
      </x:c>
      <x:c r="O64" s="5" t="str">
        <x:v>Current</x:v>
      </x:c>
      <x:c r="P64" s="6" t="n">
        <x:v>46203</x:v>
      </x:c>
    </x:row>
    <x:row r="65">
      <x:c r="A65" s="5" t="str">
        <x:v>INV0000483</x:v>
      </x:c>
      <x:c r="B65" s="5" t="str">
        <x:v>C0122</x:v>
      </x:c>
      <x:c r="C65" s="5" t="str">
        <x:v>Atlas Foods 122</x:v>
      </x:c>
      <x:c r="D65" s="5" t="str">
        <x:v>Mid-Market</x:v>
      </x:c>
      <x:c r="E65" s="5" t="str">
        <x:v>US West</x:v>
      </x:c>
      <x:c r="F65" s="5"/>
      <x:c r="G65" s="5" t="str">
        <x:v>Subscription</x:v>
      </x:c>
      <x:c r="H65" s="6" t="n">
        <x:v>46174</x:v>
      </x:c>
      <x:c r="I65" s="6" t="n">
        <x:v>46219</x:v>
      </x:c>
      <x:c r="J65" s="7" t="n">
        <x:v>52922.16</x:v>
      </x:c>
      <x:c r="K65" s="7" t="n">
        <x:v>0</x:v>
      </x:c>
      <x:c r="L65" s="7" t="n">
        <x:v>52922.16</x:v>
      </x:c>
      <x:c r="M65" s="5" t="str">
        <x:v>Open</x:v>
      </x:c>
      <x:c r="N65" s="9" t="n">
        <x:v>-16</x:v>
      </x:c>
      <x:c r="O65" s="5" t="str">
        <x:v>Current</x:v>
      </x:c>
      <x:c r="P65" s="6" t="n">
        <x:v>46203</x:v>
      </x:c>
    </x:row>
    <x:row r="66">
      <x:c r="A66" s="5" t="str">
        <x:v>INV0000547</x:v>
      </x:c>
      <x:c r="B66" s="5" t="str">
        <x:v>C0136</x:v>
      </x:c>
      <x:c r="C66" s="5" t="str">
        <x:v>Oakridge Education 136</x:v>
      </x:c>
      <x:c r="D66" s="5" t="str">
        <x:v>Mid-Market</x:v>
      </x:c>
      <x:c r="E66" s="5" t="str">
        <x:v>US Central</x:v>
      </x:c>
      <x:c r="F66" s="5"/>
      <x:c r="G66" s="5" t="str">
        <x:v>Subscription</x:v>
      </x:c>
      <x:c r="H66" s="6" t="n">
        <x:v>46174</x:v>
      </x:c>
      <x:c r="I66" s="6" t="n">
        <x:v>46219</x:v>
      </x:c>
      <x:c r="J66" s="7" t="n">
        <x:v>43346.16</x:v>
      </x:c>
      <x:c r="K66" s="7" t="n">
        <x:v>0</x:v>
      </x:c>
      <x:c r="L66" s="7" t="n">
        <x:v>43346.16</x:v>
      </x:c>
      <x:c r="M66" s="5" t="str">
        <x:v>Open</x:v>
      </x:c>
      <x:c r="N66" s="9" t="n">
        <x:v>-16</x:v>
      </x:c>
      <x:c r="O66" s="5" t="str">
        <x:v>Current</x:v>
      </x:c>
      <x:c r="P66" s="6" t="n">
        <x:v>46203</x:v>
      </x:c>
    </x:row>
    <x:row r="67">
      <x:c r="A67" s="5" t="str">
        <x:v>INV0000862</x:v>
      </x:c>
      <x:c r="B67" s="5" t="str">
        <x:v>C0208</x:v>
      </x:c>
      <x:c r="C67" s="5" t="str">
        <x:v>Meridian Media 208</x:v>
      </x:c>
      <x:c r="D67" s="5" t="str">
        <x:v>Mid-Market</x:v>
      </x:c>
      <x:c r="E67" s="5" t="str">
        <x:v>US Central</x:v>
      </x:c>
      <x:c r="F67" s="5"/>
      <x:c r="G67" s="5" t="str">
        <x:v>Subscription</x:v>
      </x:c>
      <x:c r="H67" s="6" t="n">
        <x:v>46174</x:v>
      </x:c>
      <x:c r="I67" s="6" t="n">
        <x:v>46219</x:v>
      </x:c>
      <x:c r="J67" s="7" t="n">
        <x:v>43150.41</x:v>
      </x:c>
      <x:c r="K67" s="7" t="n">
        <x:v>0</x:v>
      </x:c>
      <x:c r="L67" s="7" t="n">
        <x:v>43150.41</x:v>
      </x:c>
      <x:c r="M67" s="5" t="str">
        <x:v>Open</x:v>
      </x:c>
      <x:c r="N67" s="9" t="n">
        <x:v>-16</x:v>
      </x:c>
      <x:c r="O67" s="5" t="str">
        <x:v>Current</x:v>
      </x:c>
      <x:c r="P67" s="6" t="n">
        <x:v>46203</x:v>
      </x:c>
    </x:row>
    <x:row r="68">
      <x:c r="A68" s="5" t="str">
        <x:v>INV0000896</x:v>
      </x:c>
      <x:c r="B68" s="5" t="str">
        <x:v>C0214</x:v>
      </x:c>
      <x:c r="C68" s="5" t="str">
        <x:v>Harbor Energy 214</x:v>
      </x:c>
      <x:c r="D68" s="5" t="str">
        <x:v>Mid-Market</x:v>
      </x:c>
      <x:c r="E68" s="5" t="str">
        <x:v>US West</x:v>
      </x:c>
      <x:c r="F68" s="5"/>
      <x:c r="G68" s="5" t="str">
        <x:v>Subscription</x:v>
      </x:c>
      <x:c r="H68" s="6" t="n">
        <x:v>46174</x:v>
      </x:c>
      <x:c r="I68" s="6" t="n">
        <x:v>46219</x:v>
      </x:c>
      <x:c r="J68" s="7" t="n">
        <x:v>72273.3</x:v>
      </x:c>
      <x:c r="K68" s="7" t="n">
        <x:v>0</x:v>
      </x:c>
      <x:c r="L68" s="7" t="n">
        <x:v>72273.3</x:v>
      </x:c>
      <x:c r="M68" s="5" t="str">
        <x:v>Open</x:v>
      </x:c>
      <x:c r="N68" s="9" t="n">
        <x:v>-16</x:v>
      </x:c>
      <x:c r="O68" s="5" t="str">
        <x:v>Current</x:v>
      </x:c>
      <x:c r="P68" s="6" t="n">
        <x:v>46203</x:v>
      </x:c>
    </x:row>
    <x:row r="69">
      <x:c r="A69" s="5" t="str">
        <x:v>INV0000964</x:v>
      </x:c>
      <x:c r="B69" s="5" t="str">
        <x:v>C0230</x:v>
      </x:c>
      <x:c r="C69" s="5" t="str">
        <x:v>Summit Retail 230</x:v>
      </x:c>
      <x:c r="D69" s="5" t="str">
        <x:v>Mid-Market</x:v>
      </x:c>
      <x:c r="E69" s="5" t="str">
        <x:v>US East</x:v>
      </x:c>
      <x:c r="F69" s="5"/>
      <x:c r="G69" s="5" t="str">
        <x:v>Subscription</x:v>
      </x:c>
      <x:c r="H69" s="6" t="n">
        <x:v>46174</x:v>
      </x:c>
      <x:c r="I69" s="6" t="n">
        <x:v>46219</x:v>
      </x:c>
      <x:c r="J69" s="7" t="n">
        <x:v>44753.01</x:v>
      </x:c>
      <x:c r="K69" s="7" t="n">
        <x:v>0</x:v>
      </x:c>
      <x:c r="L69" s="7" t="n">
        <x:v>44753.01</x:v>
      </x:c>
      <x:c r="M69" s="5" t="str">
        <x:v>Open</x:v>
      </x:c>
      <x:c r="N69" s="9" t="n">
        <x:v>-16</x:v>
      </x:c>
      <x:c r="O69" s="5" t="str">
        <x:v>Current</x:v>
      </x:c>
      <x:c r="P69" s="6" t="n">
        <x:v>46203</x:v>
      </x:c>
    </x:row>
    <x:row r="70">
      <x:c r="A70" s="5" t="str">
        <x:v>INV0001026</x:v>
      </x:c>
      <x:c r="B70" s="5" t="str">
        <x:v>C0245</x:v>
      </x:c>
      <x:c r="C70" s="5" t="str">
        <x:v>Meridian Logistics 245</x:v>
      </x:c>
      <x:c r="D70" s="5" t="str">
        <x:v>Enterprise</x:v>
      </x:c>
      <x:c r="E70" s="5" t="str">
        <x:v>US Central</x:v>
      </x:c>
      <x:c r="F70" s="5"/>
      <x:c r="G70" s="5" t="str">
        <x:v>Subscription</x:v>
      </x:c>
      <x:c r="H70" s="6" t="n">
        <x:v>46174</x:v>
      </x:c>
      <x:c r="I70" s="6" t="n">
        <x:v>46219</x:v>
      </x:c>
      <x:c r="J70" s="7" t="n">
        <x:v>1341510.96</x:v>
      </x:c>
      <x:c r="K70" s="7" t="n">
        <x:v>0</x:v>
      </x:c>
      <x:c r="L70" s="7" t="n">
        <x:v>1341510.96</x:v>
      </x:c>
      <x:c r="M70" s="5" t="str">
        <x:v>Open</x:v>
      </x:c>
      <x:c r="N70" s="9" t="n">
        <x:v>-16</x:v>
      </x:c>
      <x:c r="O70" s="5" t="str">
        <x:v>Current</x:v>
      </x:c>
      <x:c r="P70" s="6" t="n">
        <x:v>46203</x:v>
      </x:c>
    </x:row>
    <x:row r="71">
      <x:c r="A71" s="5" t="str">
        <x:v>INV0001086</x:v>
      </x:c>
      <x:c r="B71" s="5" t="str">
        <x:v>C0257</x:v>
      </x:c>
      <x:c r="C71" s="5" t="str">
        <x:v>Cedar Media 257</x:v>
      </x:c>
      <x:c r="D71" s="5" t="str">
        <x:v>Enterprise</x:v>
      </x:c>
      <x:c r="E71" s="5" t="str">
        <x:v>US West</x:v>
      </x:c>
      <x:c r="F71" s="5"/>
      <x:c r="G71" s="5" t="str">
        <x:v>Subscription</x:v>
      </x:c>
      <x:c r="H71" s="6" t="n">
        <x:v>46174</x:v>
      </x:c>
      <x:c r="I71" s="6" t="n">
        <x:v>46219</x:v>
      </x:c>
      <x:c r="J71" s="7" t="n">
        <x:v>200775.03</x:v>
      </x:c>
      <x:c r="K71" s="7" t="n">
        <x:v>0</x:v>
      </x:c>
      <x:c r="L71" s="7" t="n">
        <x:v>200775.03</x:v>
      </x:c>
      <x:c r="M71" s="5" t="str">
        <x:v>Open</x:v>
      </x:c>
      <x:c r="N71" s="9" t="n">
        <x:v>-16</x:v>
      </x:c>
      <x:c r="O71" s="5" t="str">
        <x:v>Current</x:v>
      </x:c>
      <x:c r="P71" s="6" t="n">
        <x:v>46203</x:v>
      </x:c>
    </x:row>
    <x:row r="72">
      <x:c r="A72" s="5" t="str">
        <x:v>INV0001319</x:v>
      </x:c>
      <x:c r="B72" s="5" t="str">
        <x:v>C0149</x:v>
      </x:c>
      <x:c r="C72" s="5" t="str">
        <x:v>Atlas Foods 149</x:v>
      </x:c>
      <x:c r="D72" s="5" t="str">
        <x:v>Enterprise</x:v>
      </x:c>
      <x:c r="E72" s="5" t="str">
        <x:v>US West</x:v>
      </x:c>
      <x:c r="F72" s="5" t="str">
        <x:v>P0035</x:v>
      </x:c>
      <x:c r="G72" s="5" t="str">
        <x:v>Professional Services</x:v>
      </x:c>
      <x:c r="H72" s="6" t="n">
        <x:v>46178</x:v>
      </x:c>
      <x:c r="I72" s="6" t="n">
        <x:v>46223</x:v>
      </x:c>
      <x:c r="J72" s="7" t="n">
        <x:v>60991.72</x:v>
      </x:c>
      <x:c r="K72" s="7" t="n">
        <x:v>0</x:v>
      </x:c>
      <x:c r="L72" s="7" t="n">
        <x:v>60991.72</x:v>
      </x:c>
      <x:c r="M72" s="5" t="str">
        <x:v>Open</x:v>
      </x:c>
      <x:c r="N72" s="9" t="n">
        <x:v>-20</x:v>
      </x:c>
      <x:c r="O72" s="5" t="str">
        <x:v>Current</x:v>
      </x:c>
      <x:c r="P72" s="6" t="n">
        <x:v>46203</x:v>
      </x:c>
    </x:row>
    <x:row r="73">
      <x:c r="A73" s="5" t="str">
        <x:v>INV0001361</x:v>
      </x:c>
      <x:c r="B73" s="5" t="str">
        <x:v>C0171</x:v>
      </x:c>
      <x:c r="C73" s="5" t="str">
        <x:v>Stonegate Health 171</x:v>
      </x:c>
      <x:c r="D73" s="5" t="str">
        <x:v>Mid-Market</x:v>
      </x:c>
      <x:c r="E73" s="5" t="str">
        <x:v>US East</x:v>
      </x:c>
      <x:c r="F73" s="5" t="str">
        <x:v>P0045</x:v>
      </x:c>
      <x:c r="G73" s="5" t="str">
        <x:v>Professional Services</x:v>
      </x:c>
      <x:c r="H73" s="6" t="n">
        <x:v>46178</x:v>
      </x:c>
      <x:c r="I73" s="6" t="n">
        <x:v>46223</x:v>
      </x:c>
      <x:c r="J73" s="7" t="n">
        <x:v>72162.41</x:v>
      </x:c>
      <x:c r="K73" s="7" t="n">
        <x:v>0</x:v>
      </x:c>
      <x:c r="L73" s="7" t="n">
        <x:v>72162.41</x:v>
      </x:c>
      <x:c r="M73" s="5" t="str">
        <x:v>Open</x:v>
      </x:c>
      <x:c r="N73" s="9" t="n">
        <x:v>-20</x:v>
      </x:c>
      <x:c r="O73" s="5" t="str">
        <x:v>Current</x:v>
      </x:c>
      <x:c r="P73" s="6" t="n">
        <x:v>46203</x:v>
      </x:c>
    </x:row>
    <x:row r="74">
      <x:c r="A74" s="5" t="str">
        <x:v>INV0001419</x:v>
      </x:c>
      <x:c r="B74" s="5" t="str">
        <x:v>C0049</x:v>
      </x:c>
      <x:c r="C74" s="5" t="str">
        <x:v>Cedar Financial 049</x:v>
      </x:c>
      <x:c r="D74" s="5" t="str">
        <x:v>Mid-Market</x:v>
      </x:c>
      <x:c r="E74" s="5" t="str">
        <x:v>Canada</x:v>
      </x:c>
      <x:c r="F74" s="5" t="str">
        <x:v>P0057</x:v>
      </x:c>
      <x:c r="G74" s="5" t="str">
        <x:v>Professional Services</x:v>
      </x:c>
      <x:c r="H74" s="6" t="n">
        <x:v>46178</x:v>
      </x:c>
      <x:c r="I74" s="6" t="n">
        <x:v>46223</x:v>
      </x:c>
      <x:c r="J74" s="7" t="n">
        <x:v>26816.66</x:v>
      </x:c>
      <x:c r="K74" s="7" t="n">
        <x:v>0</x:v>
      </x:c>
      <x:c r="L74" s="7" t="n">
        <x:v>26816.66</x:v>
      </x:c>
      <x:c r="M74" s="5" t="str">
        <x:v>Open</x:v>
      </x:c>
      <x:c r="N74" s="9" t="n">
        <x:v>-20</x:v>
      </x:c>
      <x:c r="O74" s="5" t="str">
        <x:v>Current</x:v>
      </x:c>
      <x:c r="P74" s="6" t="n">
        <x:v>46203</x:v>
      </x:c>
    </x:row>
    <x:row r="75">
      <x:c r="A75" s="5" t="str">
        <x:v>INV0001535</x:v>
      </x:c>
      <x:c r="B75" s="5" t="str">
        <x:v>C0151</x:v>
      </x:c>
      <x:c r="C75" s="5" t="str">
        <x:v>Pioneer Foods 151</x:v>
      </x:c>
      <x:c r="D75" s="5" t="str">
        <x:v>Enterprise</x:v>
      </x:c>
      <x:c r="E75" s="5" t="str">
        <x:v>US Central</x:v>
      </x:c>
      <x:c r="F75" s="5" t="str">
        <x:v>P0080</x:v>
      </x:c>
      <x:c r="G75" s="5" t="str">
        <x:v>Professional Services</x:v>
      </x:c>
      <x:c r="H75" s="6" t="n">
        <x:v>46178</x:v>
      </x:c>
      <x:c r="I75" s="6" t="n">
        <x:v>46223</x:v>
      </x:c>
      <x:c r="J75" s="7" t="n">
        <x:v>37504.19</x:v>
      </x:c>
      <x:c r="K75" s="7" t="n">
        <x:v>0</x:v>
      </x:c>
      <x:c r="L75" s="7" t="n">
        <x:v>37504.19</x:v>
      </x:c>
      <x:c r="M75" s="5" t="str">
        <x:v>Open</x:v>
      </x:c>
      <x:c r="N75" s="9" t="n">
        <x:v>-20</x:v>
      </x:c>
      <x:c r="O75" s="5" t="str">
        <x:v>Current</x:v>
      </x:c>
      <x:c r="P75" s="6" t="n">
        <x:v>46203</x:v>
      </x:c>
    </x:row>
    <x:row r="76">
      <x:c r="A76" s="5" t="str">
        <x:v>INV0001598</x:v>
      </x:c>
      <x:c r="B76" s="5" t="str">
        <x:v>C0154</x:v>
      </x:c>
      <x:c r="C76" s="5" t="str">
        <x:v>Atlas Financial 154</x:v>
      </x:c>
      <x:c r="D76" s="5" t="str">
        <x:v>Mid-Market</x:v>
      </x:c>
      <x:c r="E76" s="5" t="str">
        <x:v>Canada</x:v>
      </x:c>
      <x:c r="F76" s="5" t="str">
        <x:v>P0090</x:v>
      </x:c>
      <x:c r="G76" s="5" t="str">
        <x:v>Professional Services</x:v>
      </x:c>
      <x:c r="H76" s="6" t="n">
        <x:v>46178</x:v>
      </x:c>
      <x:c r="I76" s="6" t="n">
        <x:v>46223</x:v>
      </x:c>
      <x:c r="J76" s="7" t="n">
        <x:v>72344.13</x:v>
      </x:c>
      <x:c r="K76" s="7" t="n">
        <x:v>0</x:v>
      </x:c>
      <x:c r="L76" s="7" t="n">
        <x:v>72344.13</x:v>
      </x:c>
      <x:c r="M76" s="5" t="str">
        <x:v>Open</x:v>
      </x:c>
      <x:c r="N76" s="9" t="n">
        <x:v>-20</x:v>
      </x:c>
      <x:c r="O76" s="5" t="str">
        <x:v>Current</x:v>
      </x:c>
      <x:c r="P76" s="6" t="n">
        <x:v>46203</x:v>
      </x:c>
    </x:row>
    <x:row r="77">
      <x:c r="A77" s="5" t="str">
        <x:v>INV0001701</x:v>
      </x:c>
      <x:c r="B77" s="5" t="str">
        <x:v>C0040</x:v>
      </x:c>
      <x:c r="C77" s="5" t="str">
        <x:v>Nova Foods 040</x:v>
      </x:c>
      <x:c r="D77" s="5" t="str">
        <x:v>Mid-Market</x:v>
      </x:c>
      <x:c r="E77" s="5" t="str">
        <x:v>US West</x:v>
      </x:c>
      <x:c r="F77" s="5" t="str">
        <x:v>P0115</x:v>
      </x:c>
      <x:c r="G77" s="5" t="str">
        <x:v>Professional Services</x:v>
      </x:c>
      <x:c r="H77" s="6" t="n">
        <x:v>46178</x:v>
      </x:c>
      <x:c r="I77" s="6" t="n">
        <x:v>46223</x:v>
      </x:c>
      <x:c r="J77" s="7" t="n">
        <x:v>48986.18</x:v>
      </x:c>
      <x:c r="K77" s="7" t="n">
        <x:v>0</x:v>
      </x:c>
      <x:c r="L77" s="7" t="n">
        <x:v>48986.18</x:v>
      </x:c>
      <x:c r="M77" s="5" t="str">
        <x:v>Open</x:v>
      </x:c>
      <x:c r="N77" s="9" t="n">
        <x:v>-20</x:v>
      </x:c>
      <x:c r="O77" s="5" t="str">
        <x:v>Current</x:v>
      </x:c>
      <x:c r="P77" s="6" t="n">
        <x:v>46203</x:v>
      </x:c>
    </x:row>
    <x:row r="78">
      <x:c r="A78" s="5" t="str">
        <x:v>INV0001841</x:v>
      </x:c>
      <x:c r="B78" s="5" t="str">
        <x:v>C0179</x:v>
      </x:c>
      <x:c r="C78" s="5" t="str">
        <x:v>Lakeview Health 179</x:v>
      </x:c>
      <x:c r="D78" s="5" t="str">
        <x:v>Enterprise</x:v>
      </x:c>
      <x:c r="E78" s="5" t="str">
        <x:v>Canada</x:v>
      </x:c>
      <x:c r="F78" s="5" t="str">
        <x:v>P0149</x:v>
      </x:c>
      <x:c r="G78" s="5" t="str">
        <x:v>Professional Services</x:v>
      </x:c>
      <x:c r="H78" s="6" t="n">
        <x:v>46178</x:v>
      </x:c>
      <x:c r="I78" s="6" t="n">
        <x:v>46223</x:v>
      </x:c>
      <x:c r="J78" s="7" t="n">
        <x:v>131582.76</x:v>
      </x:c>
      <x:c r="K78" s="7" t="n">
        <x:v>0</x:v>
      </x:c>
      <x:c r="L78" s="7" t="n">
        <x:v>131582.76</x:v>
      </x:c>
      <x:c r="M78" s="5" t="str">
        <x:v>Open</x:v>
      </x:c>
      <x:c r="N78" s="9" t="n">
        <x:v>-20</x:v>
      </x:c>
      <x:c r="O78" s="5" t="str">
        <x:v>Current</x:v>
      </x:c>
      <x:c r="P78" s="6" t="n">
        <x:v>46203</x:v>
      </x:c>
    </x:row>
    <x:row r="79">
      <x:c r="A79" s="5" t="str">
        <x:v>INV0001843</x:v>
      </x:c>
      <x:c r="B79" s="5" t="str">
        <x:v>C0214</x:v>
      </x:c>
      <x:c r="C79" s="5" t="str">
        <x:v>Harbor Energy 214</x:v>
      </x:c>
      <x:c r="D79" s="5" t="str">
        <x:v>Mid-Market</x:v>
      </x:c>
      <x:c r="E79" s="5" t="str">
        <x:v>US West</x:v>
      </x:c>
      <x:c r="F79" s="5" t="str">
        <x:v>P0152</x:v>
      </x:c>
      <x:c r="G79" s="5" t="str">
        <x:v>Professional Services</x:v>
      </x:c>
      <x:c r="H79" s="6" t="n">
        <x:v>46178</x:v>
      </x:c>
      <x:c r="I79" s="6" t="n">
        <x:v>46223</x:v>
      </x:c>
      <x:c r="J79" s="7" t="n">
        <x:v>19623.98</x:v>
      </x:c>
      <x:c r="K79" s="7" t="n">
        <x:v>0</x:v>
      </x:c>
      <x:c r="L79" s="7" t="n">
        <x:v>19623.98</x:v>
      </x:c>
      <x:c r="M79" s="5" t="str">
        <x:v>Open</x:v>
      </x:c>
      <x:c r="N79" s="9" t="n">
        <x:v>-20</x:v>
      </x:c>
      <x:c r="O79" s="5" t="str">
        <x:v>Current</x:v>
      </x:c>
      <x:c r="P79" s="6" t="n">
        <x:v>46203</x:v>
      </x:c>
    </x:row>
    <x:row r="80">
      <x:c r="A80" s="5" t="str">
        <x:v>INV0001971</x:v>
      </x:c>
      <x:c r="B80" s="5" t="str">
        <x:v>C0028</x:v>
      </x:c>
      <x:c r="C80" s="5" t="str">
        <x:v>Northstar Technology 028</x:v>
      </x:c>
      <x:c r="D80" s="5" t="str">
        <x:v>Enterprise</x:v>
      </x:c>
      <x:c r="E80" s="5" t="str">
        <x:v>US East</x:v>
      </x:c>
      <x:c r="F80" s="5" t="str">
        <x:v>P0178</x:v>
      </x:c>
      <x:c r="G80" s="5" t="str">
        <x:v>Professional Services</x:v>
      </x:c>
      <x:c r="H80" s="6" t="n">
        <x:v>46178</x:v>
      </x:c>
      <x:c r="I80" s="6" t="n">
        <x:v>46223</x:v>
      </x:c>
      <x:c r="J80" s="7" t="n">
        <x:v>339649.9</x:v>
      </x:c>
      <x:c r="K80" s="7" t="n">
        <x:v>0</x:v>
      </x:c>
      <x:c r="L80" s="7" t="n">
        <x:v>339649.9</x:v>
      </x:c>
      <x:c r="M80" s="5" t="str">
        <x:v>Open</x:v>
      </x:c>
      <x:c r="N80" s="9" t="n">
        <x:v>-20</x:v>
      </x:c>
      <x:c r="O80" s="5" t="str">
        <x:v>Current</x:v>
      </x:c>
      <x:c r="P80" s="6" t="n">
        <x:v>46203</x:v>
      </x:c>
    </x:row>
    <x:row r="81">
      <x:c r="A81" s="5" t="str">
        <x:v>INV0002056</x:v>
      </x:c>
      <x:c r="B81" s="5" t="str">
        <x:v>C0158</x:v>
      </x:c>
      <x:c r="C81" s="5" t="str">
        <x:v>Northstar Education 158</x:v>
      </x:c>
      <x:c r="D81" s="5" t="str">
        <x:v>Mid-Market</x:v>
      </x:c>
      <x:c r="E81" s="5" t="str">
        <x:v>US West</x:v>
      </x:c>
      <x:c r="F81" s="5" t="str">
        <x:v>P0193</x:v>
      </x:c>
      <x:c r="G81" s="5" t="str">
        <x:v>Professional Services</x:v>
      </x:c>
      <x:c r="H81" s="6" t="n">
        <x:v>46178</x:v>
      </x:c>
      <x:c r="I81" s="6" t="n">
        <x:v>46223</x:v>
      </x:c>
      <x:c r="J81" s="7" t="n">
        <x:v>16784.71</x:v>
      </x:c>
      <x:c r="K81" s="7" t="n">
        <x:v>0</x:v>
      </x:c>
      <x:c r="L81" s="7" t="n">
        <x:v>16784.71</x:v>
      </x:c>
      <x:c r="M81" s="5" t="str">
        <x:v>Open</x:v>
      </x:c>
      <x:c r="N81" s="9" t="n">
        <x:v>-20</x:v>
      </x:c>
      <x:c r="O81" s="5" t="str">
        <x:v>Current</x:v>
      </x:c>
      <x:c r="P81" s="6" t="n">
        <x:v>46203</x:v>
      </x:c>
    </x:row>
    <x:row r="82">
      <x:c r="A82" s="5" t="str">
        <x:v>INV0002192</x:v>
      </x:c>
      <x:c r="B82" s="5" t="str">
        <x:v>C0037</x:v>
      </x:c>
      <x:c r="C82" s="5" t="str">
        <x:v>Highland Insurance 037</x:v>
      </x:c>
      <x:c r="D82" s="5" t="str">
        <x:v>Enterprise</x:v>
      </x:c>
      <x:c r="E82" s="5" t="str">
        <x:v>US East</x:v>
      </x:c>
      <x:c r="F82" s="5" t="str">
        <x:v>P0219</x:v>
      </x:c>
      <x:c r="G82" s="5" t="str">
        <x:v>Professional Services</x:v>
      </x:c>
      <x:c r="H82" s="6" t="n">
        <x:v>46178</x:v>
      </x:c>
      <x:c r="I82" s="6" t="n">
        <x:v>46223</x:v>
      </x:c>
      <x:c r="J82" s="7" t="n">
        <x:v>45607.47</x:v>
      </x:c>
      <x:c r="K82" s="7" t="n">
        <x:v>0</x:v>
      </x:c>
      <x:c r="L82" s="7" t="n">
        <x:v>45607.47</x:v>
      </x:c>
      <x:c r="M82" s="5" t="str">
        <x:v>Open</x:v>
      </x:c>
      <x:c r="N82" s="9" t="n">
        <x:v>-20</x:v>
      </x:c>
      <x:c r="O82" s="5" t="str">
        <x:v>Current</x:v>
      </x:c>
      <x:c r="P82" s="6" t="n">
        <x:v>46203</x:v>
      </x:c>
    </x:row>
    <x:row r="83">
      <x:c r="A83" s="5" t="str">
        <x:v>INV0002199</x:v>
      </x:c>
      <x:c r="B83" s="5" t="str">
        <x:v>C0169</x:v>
      </x:c>
      <x:c r="C83" s="5" t="str">
        <x:v>Silverline Education 169</x:v>
      </x:c>
      <x:c r="D83" s="5" t="str">
        <x:v>Enterprise</x:v>
      </x:c>
      <x:c r="E83" s="5" t="str">
        <x:v>US East</x:v>
      </x:c>
      <x:c r="F83" s="5" t="str">
        <x:v>P0220</x:v>
      </x:c>
      <x:c r="G83" s="5" t="str">
        <x:v>Professional Services</x:v>
      </x:c>
      <x:c r="H83" s="6" t="n">
        <x:v>46178</x:v>
      </x:c>
      <x:c r="I83" s="6" t="n">
        <x:v>46223</x:v>
      </x:c>
      <x:c r="J83" s="7" t="n">
        <x:v>82426.83</x:v>
      </x:c>
      <x:c r="K83" s="7" t="n">
        <x:v>0</x:v>
      </x:c>
      <x:c r="L83" s="7" t="n">
        <x:v>82426.83</x:v>
      </x:c>
      <x:c r="M83" s="5" t="str">
        <x:v>Open</x:v>
      </x:c>
      <x:c r="N83" s="9" t="n">
        <x:v>-20</x:v>
      </x:c>
      <x:c r="O83" s="5" t="str">
        <x:v>Current</x:v>
      </x:c>
      <x:c r="P83" s="6" t="n">
        <x:v>46203</x:v>
      </x:c>
    </x:row>
    <x:row r="84">
      <x:c r="A84" s="5" t="str">
        <x:v>INV0000395</x:v>
      </x:c>
      <x:c r="B84" s="5" t="str">
        <x:v>C0098</x:v>
      </x:c>
      <x:c r="C84" s="5" t="str">
        <x:v>Highland Financial 098</x:v>
      </x:c>
      <x:c r="D84" s="5" t="str">
        <x:v>Enterprise</x:v>
      </x:c>
      <x:c r="E84" s="5" t="str">
        <x:v>US East</x:v>
      </x:c>
      <x:c r="F84" s="5"/>
      <x:c r="G84" s="5" t="str">
        <x:v>Subscription</x:v>
      </x:c>
      <x:c r="H84" s="6" t="n">
        <x:v>46174</x:v>
      </x:c>
      <x:c r="I84" s="6" t="n">
        <x:v>46234</x:v>
      </x:c>
      <x:c r="J84" s="7" t="n">
        <x:v>318001.26</x:v>
      </x:c>
      <x:c r="K84" s="7" t="n">
        <x:v>0</x:v>
      </x:c>
      <x:c r="L84" s="7" t="n">
        <x:v>318001.26</x:v>
      </x:c>
      <x:c r="M84" s="5" t="str">
        <x:v>Open</x:v>
      </x:c>
      <x:c r="N84" s="9" t="n">
        <x:v>-31</x:v>
      </x:c>
      <x:c r="O84" s="5" t="str">
        <x:v>Current</x:v>
      </x:c>
      <x:c r="P84" s="6" t="n">
        <x:v>46203</x:v>
      </x:c>
    </x:row>
    <x:row r="85">
      <x:c r="A85" s="5" t="str">
        <x:v>INV0000468</x:v>
      </x:c>
      <x:c r="B85" s="5" t="str">
        <x:v>C0118</x:v>
      </x:c>
      <x:c r="C85" s="5" t="str">
        <x:v>Nova Retail 118</x:v>
      </x:c>
      <x:c r="D85" s="5" t="str">
        <x:v>Enterprise</x:v>
      </x:c>
      <x:c r="E85" s="5" t="str">
        <x:v>US West</x:v>
      </x:c>
      <x:c r="F85" s="5"/>
      <x:c r="G85" s="5" t="str">
        <x:v>Subscription</x:v>
      </x:c>
      <x:c r="H85" s="6" t="n">
        <x:v>46174</x:v>
      </x:c>
      <x:c r="I85" s="6" t="n">
        <x:v>46234</x:v>
      </x:c>
      <x:c r="J85" s="7" t="n">
        <x:v>896177.76</x:v>
      </x:c>
      <x:c r="K85" s="7" t="n">
        <x:v>0</x:v>
      </x:c>
      <x:c r="L85" s="7" t="n">
        <x:v>896177.76</x:v>
      </x:c>
      <x:c r="M85" s="5" t="str">
        <x:v>Open</x:v>
      </x:c>
      <x:c r="N85" s="9" t="n">
        <x:v>-31</x:v>
      </x:c>
      <x:c r="O85" s="5" t="str">
        <x:v>Current</x:v>
      </x:c>
      <x:c r="P85" s="6" t="n">
        <x:v>46203</x:v>
      </x:c>
    </x:row>
    <x:row r="86">
      <x:c r="A86" s="5" t="str">
        <x:v>INV0000794</x:v>
      </x:c>
      <x:c r="B86" s="5" t="str">
        <x:v>C0188</x:v>
      </x:c>
      <x:c r="C86" s="5" t="str">
        <x:v>Northstar Technology 188</x:v>
      </x:c>
      <x:c r="D86" s="5" t="str">
        <x:v>Mid-Market</x:v>
      </x:c>
      <x:c r="E86" s="5" t="str">
        <x:v>US West</x:v>
      </x:c>
      <x:c r="F86" s="5"/>
      <x:c r="G86" s="5" t="str">
        <x:v>Subscription</x:v>
      </x:c>
      <x:c r="H86" s="6" t="n">
        <x:v>46174</x:v>
      </x:c>
      <x:c r="I86" s="6" t="n">
        <x:v>46234</x:v>
      </x:c>
      <x:c r="J86" s="7" t="n">
        <x:v>106260.45</x:v>
      </x:c>
      <x:c r="K86" s="7" t="n">
        <x:v>0</x:v>
      </x:c>
      <x:c r="L86" s="7" t="n">
        <x:v>106260.45</x:v>
      </x:c>
      <x:c r="M86" s="5" t="str">
        <x:v>Open</x:v>
      </x:c>
      <x:c r="N86" s="9" t="n">
        <x:v>-31</x:v>
      </x:c>
      <x:c r="O86" s="5" t="str">
        <x:v>Current</x:v>
      </x:c>
      <x:c r="P86" s="6" t="n">
        <x:v>46203</x:v>
      </x:c>
    </x:row>
    <x:row r="87">
      <x:c r="A87" s="5" t="str">
        <x:v>INV0001186</x:v>
      </x:c>
      <x:c r="B87" s="5" t="str">
        <x:v>C0282</x:v>
      </x:c>
      <x:c r="C87" s="5" t="str">
        <x:v>BrightPath Retail 282</x:v>
      </x:c>
      <x:c r="D87" s="5" t="str">
        <x:v>Mid-Market</x:v>
      </x:c>
      <x:c r="E87" s="5" t="str">
        <x:v>US West</x:v>
      </x:c>
      <x:c r="F87" s="5"/>
      <x:c r="G87" s="5" t="str">
        <x:v>Subscription</x:v>
      </x:c>
      <x:c r="H87" s="6" t="n">
        <x:v>46174</x:v>
      </x:c>
      <x:c r="I87" s="6" t="n">
        <x:v>46234</x:v>
      </x:c>
      <x:c r="J87" s="7" t="n">
        <x:v>39354.09</x:v>
      </x:c>
      <x:c r="K87" s="7" t="n">
        <x:v>0</x:v>
      </x:c>
      <x:c r="L87" s="7" t="n">
        <x:v>39354.09</x:v>
      </x:c>
      <x:c r="M87" s="5" t="str">
        <x:v>Open</x:v>
      </x:c>
      <x:c r="N87" s="9" t="n">
        <x:v>-31</x:v>
      </x:c>
      <x:c r="O87" s="5" t="str">
        <x:v>Current</x:v>
      </x:c>
      <x:c r="P87" s="6" t="n">
        <x:v>46203</x:v>
      </x:c>
    </x:row>
    <x:row r="88">
      <x:c r="A88" s="5" t="str">
        <x:v>INV0001387</x:v>
      </x:c>
      <x:c r="B88" s="5" t="str">
        <x:v>C0114</x:v>
      </x:c>
      <x:c r="C88" s="5" t="str">
        <x:v>Redwood Mobility 114</x:v>
      </x:c>
      <x:c r="D88" s="5" t="str">
        <x:v>Enterprise</x:v>
      </x:c>
      <x:c r="E88" s="5" t="str">
        <x:v>Canada</x:v>
      </x:c>
      <x:c r="F88" s="5" t="str">
        <x:v>P0050</x:v>
      </x:c>
      <x:c r="G88" s="5" t="str">
        <x:v>Professional Services</x:v>
      </x:c>
      <x:c r="H88" s="6" t="n">
        <x:v>46178</x:v>
      </x:c>
      <x:c r="I88" s="6" t="n">
        <x:v>46238</x:v>
      </x:c>
      <x:c r="J88" s="7" t="n">
        <x:v>63075.35</x:v>
      </x:c>
      <x:c r="K88" s="7" t="n">
        <x:v>0</x:v>
      </x:c>
      <x:c r="L88" s="7" t="n">
        <x:v>63075.35</x:v>
      </x:c>
      <x:c r="M88" s="5" t="str">
        <x:v>Open</x:v>
      </x:c>
      <x:c r="N88" s="9" t="n">
        <x:v>-35</x:v>
      </x:c>
      <x:c r="O88" s="5" t="str">
        <x:v>Current</x:v>
      </x:c>
      <x:c r="P88" s="6" t="n">
        <x:v>46203</x:v>
      </x:c>
    </x:row>
    <x:row r="89">
      <x:c r="A89" s="5" t="str">
        <x:v>INV0001591</x:v>
      </x:c>
      <x:c r="B89" s="5" t="str">
        <x:v>C0270</x:v>
      </x:c>
      <x:c r="C89" s="5" t="str">
        <x:v>Summit Retail 270</x:v>
      </x:c>
      <x:c r="D89" s="5" t="str">
        <x:v>Enterprise</x:v>
      </x:c>
      <x:c r="E89" s="5" t="str">
        <x:v>US West</x:v>
      </x:c>
      <x:c r="F89" s="5" t="str">
        <x:v>P0088</x:v>
      </x:c>
      <x:c r="G89" s="5" t="str">
        <x:v>Professional Services</x:v>
      </x:c>
      <x:c r="H89" s="6" t="n">
        <x:v>46178</x:v>
      </x:c>
      <x:c r="I89" s="6" t="n">
        <x:v>46238</x:v>
      </x:c>
      <x:c r="J89" s="7" t="n">
        <x:v>44656.98</x:v>
      </x:c>
      <x:c r="K89" s="7" t="n">
        <x:v>0</x:v>
      </x:c>
      <x:c r="L89" s="7" t="n">
        <x:v>44656.98</x:v>
      </x:c>
      <x:c r="M89" s="5" t="str">
        <x:v>Open</x:v>
      </x:c>
      <x:c r="N89" s="9" t="n">
        <x:v>-35</x:v>
      </x:c>
      <x:c r="O89" s="5" t="str">
        <x:v>Current</x:v>
      </x:c>
      <x:c r="P89" s="6" t="n">
        <x:v>46203</x:v>
      </x:c>
    </x:row>
    <x:row r="90">
      <x:c r="A90" s="5" t="str">
        <x:v>INV0001764</x:v>
      </x:c>
      <x:c r="B90" s="5" t="str">
        <x:v>C0035</x:v>
      </x:c>
      <x:c r="C90" s="5" t="str">
        <x:v>Summit Logistics 035</x:v>
      </x:c>
      <x:c r="D90" s="5" t="str">
        <x:v>Enterprise</x:v>
      </x:c>
      <x:c r="E90" s="5" t="str">
        <x:v>US West</x:v>
      </x:c>
      <x:c r="F90" s="5" t="str">
        <x:v>P0134</x:v>
      </x:c>
      <x:c r="G90" s="5" t="str">
        <x:v>Professional Services</x:v>
      </x:c>
      <x:c r="H90" s="6" t="n">
        <x:v>46178</x:v>
      </x:c>
      <x:c r="I90" s="6" t="n">
        <x:v>46238</x:v>
      </x:c>
      <x:c r="J90" s="7" t="n">
        <x:v>30488.95</x:v>
      </x:c>
      <x:c r="K90" s="7" t="n">
        <x:v>0</x:v>
      </x:c>
      <x:c r="L90" s="7" t="n">
        <x:v>30488.95</x:v>
      </x:c>
      <x:c r="M90" s="5" t="str">
        <x:v>Open</x:v>
      </x:c>
      <x:c r="N90" s="9" t="n">
        <x:v>-35</x:v>
      </x:c>
      <x:c r="O90" s="5" t="str">
        <x:v>Current</x:v>
      </x:c>
      <x:c r="P90" s="6" t="n">
        <x:v>46203</x:v>
      </x:c>
    </x:row>
    <x:row r="91">
      <x:c r="A91" s="5" t="str">
        <x:v>INV0002109</x:v>
      </x:c>
      <x:c r="B91" s="5" t="str">
        <x:v>C0094</x:v>
      </x:c>
      <x:c r="C91" s="5" t="str">
        <x:v>Crescent Technology 094</x:v>
      </x:c>
      <x:c r="D91" s="5" t="str">
        <x:v>Enterprise</x:v>
      </x:c>
      <x:c r="E91" s="5" t="str">
        <x:v>US West</x:v>
      </x:c>
      <x:c r="F91" s="5" t="str">
        <x:v>P0201</x:v>
      </x:c>
      <x:c r="G91" s="5" t="str">
        <x:v>Professional Services</x:v>
      </x:c>
      <x:c r="H91" s="6" t="n">
        <x:v>46178</x:v>
      </x:c>
      <x:c r="I91" s="6" t="n">
        <x:v>46238</x:v>
      </x:c>
      <x:c r="J91" s="7" t="n">
        <x:v>161242.12</x:v>
      </x:c>
      <x:c r="K91" s="7" t="n">
        <x:v>0</x:v>
      </x:c>
      <x:c r="L91" s="7" t="n">
        <x:v>161242.12</x:v>
      </x:c>
      <x:c r="M91" s="5" t="str">
        <x:v>Open</x:v>
      </x:c>
      <x:c r="N91" s="9" t="n">
        <x:v>-35</x:v>
      </x:c>
      <x:c r="O91" s="5" t="str">
        <x:v>Current</x:v>
      </x:c>
      <x:c r="P91" s="6" t="n">
        <x:v>46203</x:v>
      </x:c>
    </x:row>
    <x:row r="92">
      <x:c r="A92" s="5" t="str">
        <x:v>INV0002187</x:v>
      </x:c>
      <x:c r="B92" s="5" t="str">
        <x:v>C0268</x:v>
      </x:c>
      <x:c r="C92" s="5" t="str">
        <x:v>Redwood Foods 268</x:v>
      </x:c>
      <x:c r="D92" s="5" t="str">
        <x:v>Enterprise</x:v>
      </x:c>
      <x:c r="E92" s="5" t="str">
        <x:v>US West</x:v>
      </x:c>
      <x:c r="F92" s="5" t="str">
        <x:v>P0218</x:v>
      </x:c>
      <x:c r="G92" s="5" t="str">
        <x:v>Professional Services</x:v>
      </x:c>
      <x:c r="H92" s="6" t="n">
        <x:v>46178</x:v>
      </x:c>
      <x:c r="I92" s="6" t="n">
        <x:v>46238</x:v>
      </x:c>
      <x:c r="J92" s="7" t="n">
        <x:v>113151.38</x:v>
      </x:c>
      <x:c r="K92" s="7" t="n">
        <x:v>0</x:v>
      </x:c>
      <x:c r="L92" s="7" t="n">
        <x:v>113151.38</x:v>
      </x:c>
      <x:c r="M92" s="5" t="str">
        <x:v>Open</x:v>
      </x:c>
      <x:c r="N92" s="9" t="n">
        <x:v>-35</x:v>
      </x:c>
      <x:c r="O92" s="5" t="str">
        <x:v>Current</x:v>
      </x:c>
      <x:c r="P92" s="6" t="n">
        <x:v>46203</x:v>
      </x:c>
    </x:row>
  </x:sheetData>
  <x:pageMargins left="0.7" right="0.7" top="0.75" bottom="0.75" header="0.3" footer="0.3"/>
  <x:tableParts count="1">
    <x:tablePart xmlns:r="http://schemas.openxmlformats.org/officeDocument/2006/relationships" r:id="Rb696eb3c982a4835"/>
  </x:tableParts>
</x:worksheet>
</file>

<file path=xl/worksheets/sheet16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3" hidden="0" customWidth="1"/>
    <x:col min="3" max="3" width="24" hidden="0" customWidth="1"/>
    <x:col min="4" max="4" width="13" hidden="0" customWidth="1"/>
    <x:col min="5" max="5" width="13" hidden="0" customWidth="1"/>
    <x:col min="6" max="6" width="24" hidden="0" customWidth="1"/>
    <x:col min="7" max="7" width="16" hidden="0" customWidth="1"/>
    <x:col min="8" max="8" width="16" hidden="0" customWidth="1"/>
    <x:col min="9" max="9" width="16" hidden="0" customWidth="1"/>
    <x:col min="10" max="10" width="13" hidden="0" customWidth="1"/>
  </x:cols>
  <x:sheetData>
    <x:row r="1">
      <x:c r="A1" s="4" t="str">
        <x:v>revenue_rank</x:v>
      </x:c>
      <x:c r="B1" s="4" t="str">
        <x:v>customer_id</x:v>
      </x:c>
      <x:c r="C1" s="4" t="str">
        <x:v>customer_name</x:v>
      </x:c>
      <x:c r="D1" s="4" t="str">
        <x:v>segment</x:v>
      </x:c>
      <x:c r="E1" s="4" t="str">
        <x:v>industry</x:v>
      </x:c>
      <x:c r="F1" s="4" t="str">
        <x:v>region_name</x:v>
      </x:c>
      <x:c r="G1" s="4" t="str">
        <x:v>subscription_revenue_usd</x:v>
      </x:c>
      <x:c r="H1" s="4" t="str">
        <x:v>services_revenue_usd</x:v>
      </x:c>
      <x:c r="I1" s="4" t="str">
        <x:v>total_revenue_usd</x:v>
      </x:c>
      <x:c r="J1" s="4" t="str">
        <x:v>revenue_share</x:v>
      </x:c>
    </x:row>
    <x:row r="2">
      <x:c r="A2" s="9" t="n">
        <x:v>1</x:v>
      </x:c>
      <x:c r="B2" s="5" t="str">
        <x:v>C0028</x:v>
      </x:c>
      <x:c r="C2" s="5" t="str">
        <x:v>Northstar Technology 028</x:v>
      </x:c>
      <x:c r="D2" s="5" t="str">
        <x:v>Enterprise</x:v>
      </x:c>
      <x:c r="E2" s="5" t="str">
        <x:v>Healthcare</x:v>
      </x:c>
      <x:c r="F2" s="5" t="str">
        <x:v>US East</x:v>
      </x:c>
      <x:c r="G2" s="7" t="n">
        <x:v>593945.84</x:v>
      </x:c>
      <x:c r="H2" s="7" t="n">
        <x:v>2371234.28</x:v>
      </x:c>
      <x:c r="I2" s="7" t="n">
        <x:v>2965180.12</x:v>
      </x:c>
      <x:c r="J2" s="8" t="n">
        <x:v>0.0216</x:v>
      </x:c>
    </x:row>
    <x:row r="3">
      <x:c r="A3" s="9" t="n">
        <x:v>2</x:v>
      </x:c>
      <x:c r="B3" s="5" t="str">
        <x:v>C0106</x:v>
      </x:c>
      <x:c r="C3" s="5" t="str">
        <x:v>Highland Manufacturing 106</x:v>
      </x:c>
      <x:c r="D3" s="5" t="str">
        <x:v>Enterprise</x:v>
      </x:c>
      <x:c r="E3" s="5" t="str">
        <x:v>Retail and E-commerce</x:v>
      </x:c>
      <x:c r="F3" s="5" t="str">
        <x:v>US East</x:v>
      </x:c>
      <x:c r="G3" s="7" t="n">
        <x:v>1191019.8</x:v>
      </x:c>
      <x:c r="H3" s="7" t="n">
        <x:v>1312180.46</x:v>
      </x:c>
      <x:c r="I3" s="7" t="n">
        <x:v>2503200.26</x:v>
      </x:c>
      <x:c r="J3" s="8" t="n">
        <x:v>0.0182</x:v>
      </x:c>
    </x:row>
    <x:row r="4">
      <x:c r="A4" s="9" t="n">
        <x:v>3</x:v>
      </x:c>
      <x:c r="B4" s="5" t="str">
        <x:v>C0114</x:v>
      </x:c>
      <x:c r="C4" s="5" t="str">
        <x:v>Redwood Mobility 114</x:v>
      </x:c>
      <x:c r="D4" s="5" t="str">
        <x:v>Enterprise</x:v>
      </x:c>
      <x:c r="E4" s="5" t="str">
        <x:v>Business Services</x:v>
      </x:c>
      <x:c r="F4" s="5" t="str">
        <x:v>Canada</x:v>
      </x:c>
      <x:c r="G4" s="7" t="n">
        <x:v>1613344.93</x:v>
      </x:c>
      <x:c r="H4" s="7" t="n">
        <x:v>671768.95</x:v>
      </x:c>
      <x:c r="I4" s="7" t="n">
        <x:v>2285113.88</x:v>
      </x:c>
      <x:c r="J4" s="8" t="n">
        <x:v>0.0166</x:v>
      </x:c>
    </x:row>
    <x:row r="5">
      <x:c r="A5" s="9" t="n">
        <x:v>4</x:v>
      </x:c>
      <x:c r="B5" s="5" t="str">
        <x:v>C0149</x:v>
      </x:c>
      <x:c r="C5" s="5" t="str">
        <x:v>Atlas Foods 149</x:v>
      </x:c>
      <x:c r="D5" s="5" t="str">
        <x:v>Enterprise</x:v>
      </x:c>
      <x:c r="E5" s="5" t="str">
        <x:v>Financial Services</x:v>
      </x:c>
      <x:c r="F5" s="5" t="str">
        <x:v>US West</x:v>
      </x:c>
      <x:c r="G5" s="7" t="n">
        <x:v>1312544.91</x:v>
      </x:c>
      <x:c r="H5" s="7" t="n">
        <x:v>947735.71</x:v>
      </x:c>
      <x:c r="I5" s="7" t="n">
        <x:v>2260280.62</x:v>
      </x:c>
      <x:c r="J5" s="8" t="n">
        <x:v>0.0165</x:v>
      </x:c>
    </x:row>
    <x:row r="6">
      <x:c r="A6" s="9" t="n">
        <x:v>5</x:v>
      </x:c>
      <x:c r="B6" s="5" t="str">
        <x:v>C0037</x:v>
      </x:c>
      <x:c r="C6" s="5" t="str">
        <x:v>Highland Insurance 037</x:v>
      </x:c>
      <x:c r="D6" s="5" t="str">
        <x:v>Enterprise</x:v>
      </x:c>
      <x:c r="E6" s="5" t="str">
        <x:v>Energy</x:v>
      </x:c>
      <x:c r="F6" s="5" t="str">
        <x:v>US East</x:v>
      </x:c>
      <x:c r="G6" s="7" t="n">
        <x:v>1870580.37</x:v>
      </x:c>
      <x:c r="H6" s="7" t="n">
        <x:v>278021.42</x:v>
      </x:c>
      <x:c r="I6" s="7" t="n">
        <x:v>2148601.79</x:v>
      </x:c>
      <x:c r="J6" s="8" t="n">
        <x:v>0.0157</x:v>
      </x:c>
    </x:row>
    <x:row r="7">
      <x:c r="A7" s="9" t="n">
        <x:v>6</x:v>
      </x:c>
      <x:c r="B7" s="5" t="str">
        <x:v>C0278</x:v>
      </x:c>
      <x:c r="C7" s="5" t="str">
        <x:v>BluePeak Financial 278</x:v>
      </x:c>
      <x:c r="D7" s="5" t="str">
        <x:v>Enterprise</x:v>
      </x:c>
      <x:c r="E7" s="5" t="str">
        <x:v>Logistics</x:v>
      </x:c>
      <x:c r="F7" s="5" t="str">
        <x:v>US Central</x:v>
      </x:c>
      <x:c r="G7" s="7" t="n">
        <x:v>2143459.62</x:v>
      </x:c>
      <x:c r="H7" s="7" t="n">
        <x:v>0</x:v>
      </x:c>
      <x:c r="I7" s="7" t="n">
        <x:v>2143459.62</x:v>
      </x:c>
      <x:c r="J7" s="8" t="n">
        <x:v>0.0156</x:v>
      </x:c>
    </x:row>
    <x:row r="8">
      <x:c r="A8" s="9" t="n">
        <x:v>7</x:v>
      </x:c>
      <x:c r="B8" s="5" t="str">
        <x:v>C0163</x:v>
      </x:c>
      <x:c r="C8" s="5" t="str">
        <x:v>Evergreen Retail 163</x:v>
      </x:c>
      <x:c r="D8" s="5" t="str">
        <x:v>Enterprise</x:v>
      </x:c>
      <x:c r="E8" s="5" t="str">
        <x:v>Financial Services</x:v>
      </x:c>
      <x:c r="F8" s="5" t="str">
        <x:v>US West</x:v>
      </x:c>
      <x:c r="G8" s="7" t="n">
        <x:v>1978238.18</x:v>
      </x:c>
      <x:c r="H8" s="7" t="n">
        <x:v>0</x:v>
      </x:c>
      <x:c r="I8" s="7" t="n">
        <x:v>1978238.18</x:v>
      </x:c>
      <x:c r="J8" s="8" t="n">
        <x:v>0.0144</x:v>
      </x:c>
    </x:row>
    <x:row r="9">
      <x:c r="A9" s="9" t="n">
        <x:v>8</x:v>
      </x:c>
      <x:c r="B9" s="5" t="str">
        <x:v>C0190</x:v>
      </x:c>
      <x:c r="C9" s="5" t="str">
        <x:v>Evergreen Energy 190</x:v>
      </x:c>
      <x:c r="D9" s="5" t="str">
        <x:v>Enterprise</x:v>
      </x:c>
      <x:c r="E9" s="5" t="str">
        <x:v>Healthcare</x:v>
      </x:c>
      <x:c r="F9" s="5" t="str">
        <x:v>US Central</x:v>
      </x:c>
      <x:c r="G9" s="7" t="n">
        <x:v>1024845.56</x:v>
      </x:c>
      <x:c r="H9" s="7" t="n">
        <x:v>952635.45</x:v>
      </x:c>
      <x:c r="I9" s="7" t="n">
        <x:v>1977481.01</x:v>
      </x:c>
      <x:c r="J9" s="8" t="n">
        <x:v>0.0144</x:v>
      </x:c>
    </x:row>
    <x:row r="10">
      <x:c r="A10" s="9" t="n">
        <x:v>9</x:v>
      </x:c>
      <x:c r="B10" s="5" t="str">
        <x:v>C0300</x:v>
      </x:c>
      <x:c r="C10" s="5" t="str">
        <x:v>Meridian Manufacturing 300</x:v>
      </x:c>
      <x:c r="D10" s="5" t="str">
        <x:v>Enterprise</x:v>
      </x:c>
      <x:c r="E10" s="5" t="str">
        <x:v>Retail and E-commerce</x:v>
      </x:c>
      <x:c r="F10" s="5" t="str">
        <x:v>US Central</x:v>
      </x:c>
      <x:c r="G10" s="7" t="n">
        <x:v>1408738.6</x:v>
      </x:c>
      <x:c r="H10" s="7" t="n">
        <x:v>563982.9</x:v>
      </x:c>
      <x:c r="I10" s="7" t="n">
        <x:v>1972721.5</x:v>
      </x:c>
      <x:c r="J10" s="8" t="n">
        <x:v>0.0144</x:v>
      </x:c>
    </x:row>
    <x:row r="11">
      <x:c r="A11" s="9" t="n">
        <x:v>10</x:v>
      </x:c>
      <x:c r="B11" s="5" t="str">
        <x:v>C0211</x:v>
      </x:c>
      <x:c r="C11" s="5" t="str">
        <x:v>Vantage Retail 211</x:v>
      </x:c>
      <x:c r="D11" s="5" t="str">
        <x:v>Enterprise</x:v>
      </x:c>
      <x:c r="E11" s="5" t="str">
        <x:v>Business Services</x:v>
      </x:c>
      <x:c r="F11" s="5" t="str">
        <x:v>Canada</x:v>
      </x:c>
      <x:c r="G11" s="7" t="n">
        <x:v>1762095.66</x:v>
      </x:c>
      <x:c r="H11" s="7" t="n">
        <x:v>198671.97</x:v>
      </x:c>
      <x:c r="I11" s="7" t="n">
        <x:v>1960767.63</x:v>
      </x:c>
      <x:c r="J11" s="8" t="n">
        <x:v>0.0143</x:v>
      </x:c>
    </x:row>
    <x:row r="12">
      <x:c r="A12" s="9" t="n">
        <x:v>11</x:v>
      </x:c>
      <x:c r="B12" s="5" t="str">
        <x:v>C0225</x:v>
      </x:c>
      <x:c r="C12" s="5" t="str">
        <x:v>Evergreen Media 225</x:v>
      </x:c>
      <x:c r="D12" s="5" t="str">
        <x:v>Enterprise</x:v>
      </x:c>
      <x:c r="E12" s="5" t="str">
        <x:v>Logistics</x:v>
      </x:c>
      <x:c r="F12" s="5" t="str">
        <x:v>US Central</x:v>
      </x:c>
      <x:c r="G12" s="7" t="n">
        <x:v>1955100.37</x:v>
      </x:c>
      <x:c r="H12" s="7" t="n">
        <x:v>0</x:v>
      </x:c>
      <x:c r="I12" s="7" t="n">
        <x:v>1955100.37</x:v>
      </x:c>
      <x:c r="J12" s="8" t="n">
        <x:v>0.0142</x:v>
      </x:c>
    </x:row>
    <x:row r="13">
      <x:c r="A13" s="9" t="n">
        <x:v>12</x:v>
      </x:c>
      <x:c r="B13" s="5" t="str">
        <x:v>C0075</x:v>
      </x:c>
      <x:c r="C13" s="5" t="str">
        <x:v>Nova Energy 075</x:v>
      </x:c>
      <x:c r="D13" s="5" t="str">
        <x:v>Enterprise</x:v>
      </x:c>
      <x:c r="E13" s="5" t="str">
        <x:v>Manufacturing</x:v>
      </x:c>
      <x:c r="F13" s="5" t="str">
        <x:v>US Central</x:v>
      </x:c>
      <x:c r="G13" s="7" t="n">
        <x:v>1923710.16</x:v>
      </x:c>
      <x:c r="H13" s="7" t="n">
        <x:v>0</x:v>
      </x:c>
      <x:c r="I13" s="7" t="n">
        <x:v>1923710.16</x:v>
      </x:c>
      <x:c r="J13" s="8" t="n">
        <x:v>0.014</x:v>
      </x:c>
    </x:row>
    <x:row r="14">
      <x:c r="A14" s="9" t="n">
        <x:v>13</x:v>
      </x:c>
      <x:c r="B14" s="5" t="str">
        <x:v>C0001</x:v>
      </x:c>
      <x:c r="C14" s="5" t="str">
        <x:v>BrightPath Insurance 001</x:v>
      </x:c>
      <x:c r="D14" s="5" t="str">
        <x:v>Enterprise</x:v>
      </x:c>
      <x:c r="E14" s="5" t="str">
        <x:v>Business Services</x:v>
      </x:c>
      <x:c r="F14" s="5" t="str">
        <x:v>US East</x:v>
      </x:c>
      <x:c r="G14" s="7" t="n">
        <x:v>1905501.28</x:v>
      </x:c>
      <x:c r="H14" s="7" t="n">
        <x:v>0</x:v>
      </x:c>
      <x:c r="I14" s="7" t="n">
        <x:v>1905501.28</x:v>
      </x:c>
      <x:c r="J14" s="8" t="n">
        <x:v>0.0139</x:v>
      </x:c>
    </x:row>
    <x:row r="15">
      <x:c r="A15" s="9" t="n">
        <x:v>14</x:v>
      </x:c>
      <x:c r="B15" s="5" t="str">
        <x:v>C0169</x:v>
      </x:c>
      <x:c r="C15" s="5" t="str">
        <x:v>Silverline Education 169</x:v>
      </x:c>
      <x:c r="D15" s="5" t="str">
        <x:v>Enterprise</x:v>
      </x:c>
      <x:c r="E15" s="5" t="str">
        <x:v>Manufacturing</x:v>
      </x:c>
      <x:c r="F15" s="5" t="str">
        <x:v>US East</x:v>
      </x:c>
      <x:c r="G15" s="7" t="n">
        <x:v>1325135.55</x:v>
      </x:c>
      <x:c r="H15" s="7" t="n">
        <x:v>572847.65</x:v>
      </x:c>
      <x:c r="I15" s="7" t="n">
        <x:v>1897983.2</x:v>
      </x:c>
      <x:c r="J15" s="8" t="n">
        <x:v>0.0138</x:v>
      </x:c>
    </x:row>
    <x:row r="16">
      <x:c r="A16" s="9" t="n">
        <x:v>15</x:v>
      </x:c>
      <x:c r="B16" s="5" t="str">
        <x:v>C0094</x:v>
      </x:c>
      <x:c r="C16" s="5" t="str">
        <x:v>Crescent Technology 094</x:v>
      </x:c>
      <x:c r="D16" s="5" t="str">
        <x:v>Enterprise</x:v>
      </x:c>
      <x:c r="E16" s="5" t="str">
        <x:v>Logistics</x:v>
      </x:c>
      <x:c r="F16" s="5" t="str">
        <x:v>US West</x:v>
      </x:c>
      <x:c r="G16" s="7" t="n">
        <x:v>509041.03</x:v>
      </x:c>
      <x:c r="H16" s="7" t="n">
        <x:v>1254248.03</x:v>
      </x:c>
      <x:c r="I16" s="7" t="n">
        <x:v>1763289.06</x:v>
      </x:c>
      <x:c r="J16" s="8" t="n">
        <x:v>0.0128</x:v>
      </x:c>
    </x:row>
    <x:row r="17">
      <x:c r="A17" s="9" t="n">
        <x:v>16</x:v>
      </x:c>
      <x:c r="B17" s="5" t="str">
        <x:v>C0198</x:v>
      </x:c>
      <x:c r="C17" s="5" t="str">
        <x:v>Nova Foods 198</x:v>
      </x:c>
      <x:c r="D17" s="5" t="str">
        <x:v>Enterprise</x:v>
      </x:c>
      <x:c r="E17" s="5" t="str">
        <x:v>Financial Services</x:v>
      </x:c>
      <x:c r="F17" s="5" t="str">
        <x:v>Canada</x:v>
      </x:c>
      <x:c r="G17" s="7" t="n">
        <x:v>1744290.43</x:v>
      </x:c>
      <x:c r="H17" s="7" t="n">
        <x:v>0</x:v>
      </x:c>
      <x:c r="I17" s="7" t="n">
        <x:v>1744290.43</x:v>
      </x:c>
      <x:c r="J17" s="8" t="n">
        <x:v>0.0127</x:v>
      </x:c>
    </x:row>
    <x:row r="18">
      <x:c r="A18" s="9" t="n">
        <x:v>17</x:v>
      </x:c>
      <x:c r="B18" s="5" t="str">
        <x:v>C0204</x:v>
      </x:c>
      <x:c r="C18" s="5" t="str">
        <x:v>Harbor Education 204</x:v>
      </x:c>
      <x:c r="D18" s="5" t="str">
        <x:v>Enterprise</x:v>
      </x:c>
      <x:c r="E18" s="5" t="str">
        <x:v>Healthcare</x:v>
      </x:c>
      <x:c r="F18" s="5" t="str">
        <x:v>US West</x:v>
      </x:c>
      <x:c r="G18" s="7" t="n">
        <x:v>1699430.8</x:v>
      </x:c>
      <x:c r="H18" s="7" t="n">
        <x:v>0</x:v>
      </x:c>
      <x:c r="I18" s="7" t="n">
        <x:v>1699430.8</x:v>
      </x:c>
      <x:c r="J18" s="8" t="n">
        <x:v>0.0124</x:v>
      </x:c>
    </x:row>
    <x:row r="19">
      <x:c r="A19" s="9" t="n">
        <x:v>18</x:v>
      </x:c>
      <x:c r="B19" s="5" t="str">
        <x:v>C0229</x:v>
      </x:c>
      <x:c r="C19" s="5" t="str">
        <x:v>Meridian Retail 229</x:v>
      </x:c>
      <x:c r="D19" s="5" t="str">
        <x:v>Enterprise</x:v>
      </x:c>
      <x:c r="E19" s="5" t="str">
        <x:v>Logistics</x:v>
      </x:c>
      <x:c r="F19" s="5" t="str">
        <x:v>US East</x:v>
      </x:c>
      <x:c r="G19" s="7" t="n">
        <x:v>1497808.19</x:v>
      </x:c>
      <x:c r="H19" s="7" t="n">
        <x:v>194621.16</x:v>
      </x:c>
      <x:c r="I19" s="7" t="n">
        <x:v>1692429.35</x:v>
      </x:c>
      <x:c r="J19" s="8" t="n">
        <x:v>0.0123</x:v>
      </x:c>
    </x:row>
    <x:row r="20">
      <x:c r="A20" s="9" t="n">
        <x:v>19</x:v>
      </x:c>
      <x:c r="B20" s="5" t="str">
        <x:v>C0088</x:v>
      </x:c>
      <x:c r="C20" s="5" t="str">
        <x:v>Redwood Manufacturing 088</x:v>
      </x:c>
      <x:c r="D20" s="5" t="str">
        <x:v>Enterprise</x:v>
      </x:c>
      <x:c r="E20" s="5" t="str">
        <x:v>Healthcare</x:v>
      </x:c>
      <x:c r="F20" s="5" t="str">
        <x:v>US Central</x:v>
      </x:c>
      <x:c r="G20" s="7" t="n">
        <x:v>1655052.23</x:v>
      </x:c>
      <x:c r="H20" s="7" t="n">
        <x:v>0</x:v>
      </x:c>
      <x:c r="I20" s="7" t="n">
        <x:v>1655052.23</x:v>
      </x:c>
      <x:c r="J20" s="8" t="n">
        <x:v>0.0121</x:v>
      </x:c>
    </x:row>
    <x:row r="21">
      <x:c r="A21" s="9" t="n">
        <x:v>20</x:v>
      </x:c>
      <x:c r="B21" s="5" t="str">
        <x:v>C0283</x:v>
      </x:c>
      <x:c r="C21" s="5" t="str">
        <x:v>Cedar Financial 283</x:v>
      </x:c>
      <x:c r="D21" s="5" t="str">
        <x:v>Enterprise</x:v>
      </x:c>
      <x:c r="E21" s="5" t="str">
        <x:v>Logistics</x:v>
      </x:c>
      <x:c r="F21" s="5" t="str">
        <x:v>US Central</x:v>
      </x:c>
      <x:c r="G21" s="7" t="n">
        <x:v>1642048.01</x:v>
      </x:c>
      <x:c r="H21" s="7" t="n">
        <x:v>0</x:v>
      </x:c>
      <x:c r="I21" s="7" t="n">
        <x:v>1642048.01</x:v>
      </x:c>
      <x:c r="J21" s="8" t="n">
        <x:v>0.012</x:v>
      </x:c>
    </x:row>
    <x:row r="22">
      <x:c r="A22" s="9" t="n">
        <x:v>21</x:v>
      </x:c>
      <x:c r="B22" s="5" t="str">
        <x:v>C0023</x:v>
      </x:c>
      <x:c r="C22" s="5" t="str">
        <x:v>Northstar Energy 023</x:v>
      </x:c>
      <x:c r="D22" s="5" t="str">
        <x:v>Enterprise</x:v>
      </x:c>
      <x:c r="E22" s="5" t="str">
        <x:v>Healthcare</x:v>
      </x:c>
      <x:c r="F22" s="5" t="str">
        <x:v>US Central</x:v>
      </x:c>
      <x:c r="G22" s="7" t="n">
        <x:v>1600800.14</x:v>
      </x:c>
      <x:c r="H22" s="7" t="n">
        <x:v>0</x:v>
      </x:c>
      <x:c r="I22" s="7" t="n">
        <x:v>1600800.14</x:v>
      </x:c>
      <x:c r="J22" s="8" t="n">
        <x:v>0.0117</x:v>
      </x:c>
    </x:row>
    <x:row r="23">
      <x:c r="A23" s="9" t="n">
        <x:v>22</x:v>
      </x:c>
      <x:c r="B23" s="5" t="str">
        <x:v>C0115</x:v>
      </x:c>
      <x:c r="C23" s="5" t="str">
        <x:v>BluePeak Logistics 115</x:v>
      </x:c>
      <x:c r="D23" s="5" t="str">
        <x:v>Enterprise</x:v>
      </x:c>
      <x:c r="E23" s="5" t="str">
        <x:v>Healthcare</x:v>
      </x:c>
      <x:c r="F23" s="5" t="str">
        <x:v>Canada</x:v>
      </x:c>
      <x:c r="G23" s="7" t="n">
        <x:v>1591493.48</x:v>
      </x:c>
      <x:c r="H23" s="7" t="n">
        <x:v>0</x:v>
      </x:c>
      <x:c r="I23" s="7" t="n">
        <x:v>1591493.48</x:v>
      </x:c>
      <x:c r="J23" s="8" t="n">
        <x:v>0.0116</x:v>
      </x:c>
    </x:row>
    <x:row r="24">
      <x:c r="A24" s="9" t="n">
        <x:v>23</x:v>
      </x:c>
      <x:c r="B24" s="5" t="str">
        <x:v>C0030</x:v>
      </x:c>
      <x:c r="C24" s="5" t="str">
        <x:v>Lakeview Health 030</x:v>
      </x:c>
      <x:c r="D24" s="5" t="str">
        <x:v>Enterprise</x:v>
      </x:c>
      <x:c r="E24" s="5" t="str">
        <x:v>Manufacturing</x:v>
      </x:c>
      <x:c r="F24" s="5" t="str">
        <x:v>US East</x:v>
      </x:c>
      <x:c r="G24" s="7" t="n">
        <x:v>1572545.31</x:v>
      </x:c>
      <x:c r="H24" s="7" t="n">
        <x:v>0</x:v>
      </x:c>
      <x:c r="I24" s="7" t="n">
        <x:v>1572545.31</x:v>
      </x:c>
      <x:c r="J24" s="8" t="n">
        <x:v>0.0115</x:v>
      </x:c>
    </x:row>
    <x:row r="25">
      <x:c r="A25" s="9" t="n">
        <x:v>24</x:v>
      </x:c>
      <x:c r="B25" s="5" t="str">
        <x:v>C0105</x:v>
      </x:c>
      <x:c r="C25" s="5" t="str">
        <x:v>Clearwater Foods 105</x:v>
      </x:c>
      <x:c r="D25" s="5" t="str">
        <x:v>Enterprise</x:v>
      </x:c>
      <x:c r="E25" s="5" t="str">
        <x:v>Technology</x:v>
      </x:c>
      <x:c r="F25" s="5" t="str">
        <x:v>US East</x:v>
      </x:c>
      <x:c r="G25" s="7" t="n">
        <x:v>1543025.7</x:v>
      </x:c>
      <x:c r="H25" s="7" t="n">
        <x:v>0</x:v>
      </x:c>
      <x:c r="I25" s="7" t="n">
        <x:v>1543025.7</x:v>
      </x:c>
      <x:c r="J25" s="8" t="n">
        <x:v>0.0112</x:v>
      </x:c>
    </x:row>
    <x:row r="26">
      <x:c r="A26" s="9" t="n">
        <x:v>25</x:v>
      </x:c>
      <x:c r="B26" s="5" t="str">
        <x:v>C0294</x:v>
      </x:c>
      <x:c r="C26" s="5" t="str">
        <x:v>Nova Logistics 294</x:v>
      </x:c>
      <x:c r="D26" s="5" t="str">
        <x:v>Enterprise</x:v>
      </x:c>
      <x:c r="E26" s="5" t="str">
        <x:v>Technology</x:v>
      </x:c>
      <x:c r="F26" s="5" t="str">
        <x:v>US East</x:v>
      </x:c>
      <x:c r="G26" s="7" t="n">
        <x:v>927274.68</x:v>
      </x:c>
      <x:c r="H26" s="7" t="n">
        <x:v>603285.11</x:v>
      </x:c>
      <x:c r="I26" s="7" t="n">
        <x:v>1530559.79</x:v>
      </x:c>
      <x:c r="J26" s="8" t="n">
        <x:v>0.0111</x:v>
      </x:c>
    </x:row>
    <x:row r="27">
      <x:c r="A27" s="9" t="n">
        <x:v>26</x:v>
      </x:c>
      <x:c r="B27" s="5" t="str">
        <x:v>C0288</x:v>
      </x:c>
      <x:c r="C27" s="5" t="str">
        <x:v>Westbridge Mobility 288</x:v>
      </x:c>
      <x:c r="D27" s="5" t="str">
        <x:v>Enterprise</x:v>
      </x:c>
      <x:c r="E27" s="5" t="str">
        <x:v>Logistics</x:v>
      </x:c>
      <x:c r="F27" s="5" t="str">
        <x:v>US West</x:v>
      </x:c>
      <x:c r="G27" s="7" t="n">
        <x:v>1506119.38</x:v>
      </x:c>
      <x:c r="H27" s="7" t="n">
        <x:v>0</x:v>
      </x:c>
      <x:c r="I27" s="7" t="n">
        <x:v>1506119.38</x:v>
      </x:c>
      <x:c r="J27" s="8" t="n">
        <x:v>0.011</x:v>
      </x:c>
    </x:row>
    <x:row r="28">
      <x:c r="A28" s="9" t="n">
        <x:v>27</x:v>
      </x:c>
      <x:c r="B28" s="5" t="str">
        <x:v>C0179</x:v>
      </x:c>
      <x:c r="C28" s="5" t="str">
        <x:v>Lakeview Health 179</x:v>
      </x:c>
      <x:c r="D28" s="5" t="str">
        <x:v>Enterprise</x:v>
      </x:c>
      <x:c r="E28" s="5" t="str">
        <x:v>Manufacturing</x:v>
      </x:c>
      <x:c r="F28" s="5" t="str">
        <x:v>Canada</x:v>
      </x:c>
      <x:c r="G28" s="7" t="n">
        <x:v>913200.8</x:v>
      </x:c>
      <x:c r="H28" s="7" t="n">
        <x:v>571858.09</x:v>
      </x:c>
      <x:c r="I28" s="7" t="n">
        <x:v>1485058.89</x:v>
      </x:c>
      <x:c r="J28" s="8" t="n">
        <x:v>0.0108</x:v>
      </x:c>
    </x:row>
    <x:row r="29">
      <x:c r="A29" s="9" t="n">
        <x:v>28</x:v>
      </x:c>
      <x:c r="B29" s="5" t="str">
        <x:v>C0120</x:v>
      </x:c>
      <x:c r="C29" s="5" t="str">
        <x:v>Crescent Logistics 120</x:v>
      </x:c>
      <x:c r="D29" s="5" t="str">
        <x:v>Enterprise</x:v>
      </x:c>
      <x:c r="E29" s="5" t="str">
        <x:v>Financial Services</x:v>
      </x:c>
      <x:c r="F29" s="5" t="str">
        <x:v>Canada</x:v>
      </x:c>
      <x:c r="G29" s="7" t="n">
        <x:v>1443815.97</x:v>
      </x:c>
      <x:c r="H29" s="7" t="n">
        <x:v>0</x:v>
      </x:c>
      <x:c r="I29" s="7" t="n">
        <x:v>1443815.97</x:v>
      </x:c>
      <x:c r="J29" s="8" t="n">
        <x:v>0.0105</x:v>
      </x:c>
    </x:row>
    <x:row r="30">
      <x:c r="A30" s="9" t="n">
        <x:v>29</x:v>
      </x:c>
      <x:c r="B30" s="5" t="str">
        <x:v>C0035</x:v>
      </x:c>
      <x:c r="C30" s="5" t="str">
        <x:v>Summit Logistics 035</x:v>
      </x:c>
      <x:c r="D30" s="5" t="str">
        <x:v>Enterprise</x:v>
      </x:c>
      <x:c r="E30" s="5" t="str">
        <x:v>Manufacturing</x:v>
      </x:c>
      <x:c r="F30" s="5" t="str">
        <x:v>US West</x:v>
      </x:c>
      <x:c r="G30" s="7" t="n">
        <x:v>1101805.53</x:v>
      </x:c>
      <x:c r="H30" s="7" t="n">
        <x:v>338834.17</x:v>
      </x:c>
      <x:c r="I30" s="7" t="n">
        <x:v>1440639.7</x:v>
      </x:c>
      <x:c r="J30" s="8" t="n">
        <x:v>0.0105</x:v>
      </x:c>
    </x:row>
    <x:row r="31">
      <x:c r="A31" s="9" t="n">
        <x:v>30</x:v>
      </x:c>
      <x:c r="B31" s="5" t="str">
        <x:v>C0247</x:v>
      </x:c>
      <x:c r="C31" s="5" t="str">
        <x:v>Crescent Logistics 247</x:v>
      </x:c>
      <x:c r="D31" s="5" t="str">
        <x:v>Enterprise</x:v>
      </x:c>
      <x:c r="E31" s="5" t="str">
        <x:v>Technology</x:v>
      </x:c>
      <x:c r="F31" s="5" t="str">
        <x:v>US West</x:v>
      </x:c>
      <x:c r="G31" s="7" t="n">
        <x:v>1433169.99</x:v>
      </x:c>
      <x:c r="H31" s="7" t="n">
        <x:v>0</x:v>
      </x:c>
      <x:c r="I31" s="7" t="n">
        <x:v>1433169.99</x:v>
      </x:c>
      <x:c r="J31" s="8" t="n">
        <x:v>0.0104</x:v>
      </x:c>
    </x:row>
    <x:row r="32">
      <x:c r="A32" s="9" t="n">
        <x:v>31</x:v>
      </x:c>
      <x:c r="B32" s="5" t="str">
        <x:v>C0268</x:v>
      </x:c>
      <x:c r="C32" s="5" t="str">
        <x:v>Redwood Foods 268</x:v>
      </x:c>
      <x:c r="D32" s="5" t="str">
        <x:v>Enterprise</x:v>
      </x:c>
      <x:c r="E32" s="5" t="str">
        <x:v>Energy</x:v>
      </x:c>
      <x:c r="F32" s="5" t="str">
        <x:v>US West</x:v>
      </x:c>
      <x:c r="G32" s="7" t="n">
        <x:v>565254.59</x:v>
      </x:c>
      <x:c r="H32" s="7" t="n">
        <x:v>836282.33</x:v>
      </x:c>
      <x:c r="I32" s="7" t="n">
        <x:v>1401536.92</x:v>
      </x:c>
      <x:c r="J32" s="8" t="n">
        <x:v>0.0102</x:v>
      </x:c>
    </x:row>
    <x:row r="33">
      <x:c r="A33" s="9" t="n">
        <x:v>32</x:v>
      </x:c>
      <x:c r="B33" s="5" t="str">
        <x:v>C0102</x:v>
      </x:c>
      <x:c r="C33" s="5" t="str">
        <x:v>Ironwood Financial 102</x:v>
      </x:c>
      <x:c r="D33" s="5" t="str">
        <x:v>Enterprise</x:v>
      </x:c>
      <x:c r="E33" s="5" t="str">
        <x:v>Logistics</x:v>
      </x:c>
      <x:c r="F33" s="5" t="str">
        <x:v>US Central</x:v>
      </x:c>
      <x:c r="G33" s="7" t="n">
        <x:v>1385046.84</x:v>
      </x:c>
      <x:c r="H33" s="7" t="n">
        <x:v>0</x:v>
      </x:c>
      <x:c r="I33" s="7" t="n">
        <x:v>1385046.84</x:v>
      </x:c>
      <x:c r="J33" s="8" t="n">
        <x:v>0.0101</x:v>
      </x:c>
    </x:row>
    <x:row r="34">
      <x:c r="A34" s="9" t="n">
        <x:v>33</x:v>
      </x:c>
      <x:c r="B34" s="5" t="str">
        <x:v>C0253</x:v>
      </x:c>
      <x:c r="C34" s="5" t="str">
        <x:v>Beacon Health 253</x:v>
      </x:c>
      <x:c r="D34" s="5" t="str">
        <x:v>Enterprise</x:v>
      </x:c>
      <x:c r="E34" s="5" t="str">
        <x:v>Retail and E-commerce</x:v>
      </x:c>
      <x:c r="F34" s="5" t="str">
        <x:v>US West</x:v>
      </x:c>
      <x:c r="G34" s="7" t="n">
        <x:v>1346729.08</x:v>
      </x:c>
      <x:c r="H34" s="7" t="n">
        <x:v>0</x:v>
      </x:c>
      <x:c r="I34" s="7" t="n">
        <x:v>1346729.08</x:v>
      </x:c>
      <x:c r="J34" s="8" t="n">
        <x:v>0.0098</x:v>
      </x:c>
    </x:row>
    <x:row r="35">
      <x:c r="A35" s="9" t="n">
        <x:v>34</x:v>
      </x:c>
      <x:c r="B35" s="5" t="str">
        <x:v>C0046</x:v>
      </x:c>
      <x:c r="C35" s="5" t="str">
        <x:v>Frontier Mobility 046</x:v>
      </x:c>
      <x:c r="D35" s="5" t="str">
        <x:v>Enterprise</x:v>
      </x:c>
      <x:c r="E35" s="5" t="str">
        <x:v>Business Services</x:v>
      </x:c>
      <x:c r="F35" s="5" t="str">
        <x:v>US Central</x:v>
      </x:c>
      <x:c r="G35" s="7" t="n">
        <x:v>1281609.29</x:v>
      </x:c>
      <x:c r="H35" s="7" t="n">
        <x:v>0</x:v>
      </x:c>
      <x:c r="I35" s="7" t="n">
        <x:v>1281609.29</x:v>
      </x:c>
      <x:c r="J35" s="8" t="n">
        <x:v>0.0093</x:v>
      </x:c>
    </x:row>
    <x:row r="36">
      <x:c r="A36" s="9" t="n">
        <x:v>35</x:v>
      </x:c>
      <x:c r="B36" s="5" t="str">
        <x:v>C0217</x:v>
      </x:c>
      <x:c r="C36" s="5" t="str">
        <x:v>Silverline Mobility 217</x:v>
      </x:c>
      <x:c r="D36" s="5" t="str">
        <x:v>Enterprise</x:v>
      </x:c>
      <x:c r="E36" s="5" t="str">
        <x:v>Retail and E-commerce</x:v>
      </x:c>
      <x:c r="F36" s="5" t="str">
        <x:v>Canada</x:v>
      </x:c>
      <x:c r="G36" s="7" t="n">
        <x:v>1249898.18</x:v>
      </x:c>
      <x:c r="H36" s="7" t="n">
        <x:v>0</x:v>
      </x:c>
      <x:c r="I36" s="7" t="n">
        <x:v>1249898.18</x:v>
      </x:c>
      <x:c r="J36" s="8" t="n">
        <x:v>0.0091</x:v>
      </x:c>
    </x:row>
    <x:row r="37">
      <x:c r="A37" s="9" t="n">
        <x:v>36</x:v>
      </x:c>
      <x:c r="B37" s="5" t="str">
        <x:v>C0110</x:v>
      </x:c>
      <x:c r="C37" s="5" t="str">
        <x:v>Clearwater Retail 110</x:v>
      </x:c>
      <x:c r="D37" s="5" t="str">
        <x:v>Enterprise</x:v>
      </x:c>
      <x:c r="E37" s="5" t="str">
        <x:v>Technology</x:v>
      </x:c>
      <x:c r="F37" s="5" t="str">
        <x:v>US West</x:v>
      </x:c>
      <x:c r="G37" s="7" t="n">
        <x:v>1249731.32</x:v>
      </x:c>
      <x:c r="H37" s="7" t="n">
        <x:v>0</x:v>
      </x:c>
      <x:c r="I37" s="7" t="n">
        <x:v>1249731.32</x:v>
      </x:c>
      <x:c r="J37" s="8" t="n">
        <x:v>0.0091</x:v>
      </x:c>
    </x:row>
    <x:row r="38">
      <x:c r="A38" s="9" t="n">
        <x:v>37</x:v>
      </x:c>
      <x:c r="B38" s="5" t="str">
        <x:v>C0245</x:v>
      </x:c>
      <x:c r="C38" s="5" t="str">
        <x:v>Meridian Logistics 245</x:v>
      </x:c>
      <x:c r="D38" s="5" t="str">
        <x:v>Enterprise</x:v>
      </x:c>
      <x:c r="E38" s="5" t="str">
        <x:v>Manufacturing</x:v>
      </x:c>
      <x:c r="F38" s="5" t="str">
        <x:v>US Central</x:v>
      </x:c>
      <x:c r="G38" s="7" t="n">
        <x:v>1207132.65</x:v>
      </x:c>
      <x:c r="H38" s="7" t="n">
        <x:v>0</x:v>
      </x:c>
      <x:c r="I38" s="7" t="n">
        <x:v>1207132.65</x:v>
      </x:c>
      <x:c r="J38" s="8" t="n">
        <x:v>0.0088</x:v>
      </x:c>
    </x:row>
    <x:row r="39">
      <x:c r="A39" s="9" t="n">
        <x:v>38</x:v>
      </x:c>
      <x:c r="B39" s="5" t="str">
        <x:v>C0080</x:v>
      </x:c>
      <x:c r="C39" s="5" t="str">
        <x:v>Beacon Technology 080</x:v>
      </x:c>
      <x:c r="D39" s="5" t="str">
        <x:v>Enterprise</x:v>
      </x:c>
      <x:c r="E39" s="5" t="str">
        <x:v>Logistics</x:v>
      </x:c>
      <x:c r="F39" s="5" t="str">
        <x:v>US East</x:v>
      </x:c>
      <x:c r="G39" s="7" t="n">
        <x:v>1184796.72</x:v>
      </x:c>
      <x:c r="H39" s="7" t="n">
        <x:v>0</x:v>
      </x:c>
      <x:c r="I39" s="7" t="n">
        <x:v>1184796.72</x:v>
      </x:c>
      <x:c r="J39" s="8" t="n">
        <x:v>0.0086</x:v>
      </x:c>
    </x:row>
    <x:row r="40">
      <x:c r="A40" s="9" t="n">
        <x:v>39</x:v>
      </x:c>
      <x:c r="B40" s="5" t="str">
        <x:v>C0270</x:v>
      </x:c>
      <x:c r="C40" s="5" t="str">
        <x:v>Summit Retail 270</x:v>
      </x:c>
      <x:c r="D40" s="5" t="str">
        <x:v>Enterprise</x:v>
      </x:c>
      <x:c r="E40" s="5" t="str">
        <x:v>Technology</x:v>
      </x:c>
      <x:c r="F40" s="5" t="str">
        <x:v>US West</x:v>
      </x:c>
      <x:c r="G40" s="7" t="n">
        <x:v>725524.36</x:v>
      </x:c>
      <x:c r="H40" s="7" t="n">
        <x:v>448630.55</x:v>
      </x:c>
      <x:c r="I40" s="7" t="n">
        <x:v>1174154.91</x:v>
      </x:c>
      <x:c r="J40" s="8" t="n">
        <x:v>0.0086</x:v>
      </x:c>
    </x:row>
    <x:row r="41">
      <x:c r="A41" s="9" t="n">
        <x:v>40</x:v>
      </x:c>
      <x:c r="B41" s="5" t="str">
        <x:v>C0151</x:v>
      </x:c>
      <x:c r="C41" s="5" t="str">
        <x:v>Pioneer Foods 151</x:v>
      </x:c>
      <x:c r="D41" s="5" t="str">
        <x:v>Enterprise</x:v>
      </x:c>
      <x:c r="E41" s="5" t="str">
        <x:v>Business Services</x:v>
      </x:c>
      <x:c r="F41" s="5" t="str">
        <x:v>US Central</x:v>
      </x:c>
      <x:c r="G41" s="7" t="n">
        <x:v>980632.09</x:v>
      </x:c>
      <x:c r="H41" s="7" t="n">
        <x:v>183111.64</x:v>
      </x:c>
      <x:c r="I41" s="7" t="n">
        <x:v>1163743.73</x:v>
      </x:c>
      <x:c r="J41" s="8" t="n">
        <x:v>0.0085</x:v>
      </x:c>
    </x:row>
    <x:row r="42">
      <x:c r="A42" s="9" t="n">
        <x:v>41</x:v>
      </x:c>
      <x:c r="B42" s="5" t="str">
        <x:v>C0265</x:v>
      </x:c>
      <x:c r="C42" s="5" t="str">
        <x:v>Frontier Retail 265</x:v>
      </x:c>
      <x:c r="D42" s="5" t="str">
        <x:v>Enterprise</x:v>
      </x:c>
      <x:c r="E42" s="5" t="str">
        <x:v>Manufacturing</x:v>
      </x:c>
      <x:c r="F42" s="5" t="str">
        <x:v>US East</x:v>
      </x:c>
      <x:c r="G42" s="7" t="n">
        <x:v>1147500.22</x:v>
      </x:c>
      <x:c r="H42" s="7" t="n">
        <x:v>0</x:v>
      </x:c>
      <x:c r="I42" s="7" t="n">
        <x:v>1147500.22</x:v>
      </x:c>
      <x:c r="J42" s="8" t="n">
        <x:v>0.0084</x:v>
      </x:c>
    </x:row>
    <x:row r="43">
      <x:c r="A43" s="9" t="n">
        <x:v>42</x:v>
      </x:c>
      <x:c r="B43" s="5" t="str">
        <x:v>C0036</x:v>
      </x:c>
      <x:c r="C43" s="5" t="str">
        <x:v>Redwood Education 036</x:v>
      </x:c>
      <x:c r="D43" s="5" t="str">
        <x:v>Enterprise</x:v>
      </x:c>
      <x:c r="E43" s="5" t="str">
        <x:v>Technology</x:v>
      </x:c>
      <x:c r="F43" s="5" t="str">
        <x:v>US East</x:v>
      </x:c>
      <x:c r="G43" s="7" t="n">
        <x:v>1132817.36</x:v>
      </x:c>
      <x:c r="H43" s="7" t="n">
        <x:v>0</x:v>
      </x:c>
      <x:c r="I43" s="7" t="n">
        <x:v>1132817.36</x:v>
      </x:c>
      <x:c r="J43" s="8" t="n">
        <x:v>0.0083</x:v>
      </x:c>
    </x:row>
    <x:row r="44">
      <x:c r="A44" s="9" t="n">
        <x:v>43</x:v>
      </x:c>
      <x:c r="B44" s="5" t="str">
        <x:v>C0098</x:v>
      </x:c>
      <x:c r="C44" s="5" t="str">
        <x:v>Highland Financial 098</x:v>
      </x:c>
      <x:c r="D44" s="5" t="str">
        <x:v>Enterprise</x:v>
      </x:c>
      <x:c r="E44" s="5" t="str">
        <x:v>Logistics</x:v>
      </x:c>
      <x:c r="F44" s="5" t="str">
        <x:v>US East</x:v>
      </x:c>
      <x:c r="G44" s="7" t="n">
        <x:v>1121717.4</x:v>
      </x:c>
      <x:c r="H44" s="7" t="n">
        <x:v>0</x:v>
      </x:c>
      <x:c r="I44" s="7" t="n">
        <x:v>1121717.4</x:v>
      </x:c>
      <x:c r="J44" s="8" t="n">
        <x:v>0.0082</x:v>
      </x:c>
    </x:row>
    <x:row r="45">
      <x:c r="A45" s="9" t="n">
        <x:v>44</x:v>
      </x:c>
      <x:c r="B45" s="5" t="str">
        <x:v>C0101</x:v>
      </x:c>
      <x:c r="C45" s="5" t="str">
        <x:v>Lakeview Insurance 101</x:v>
      </x:c>
      <x:c r="D45" s="5" t="str">
        <x:v>Enterprise</x:v>
      </x:c>
      <x:c r="E45" s="5" t="str">
        <x:v>Business Services</x:v>
      </x:c>
      <x:c r="F45" s="5" t="str">
        <x:v>US West</x:v>
      </x:c>
      <x:c r="G45" s="7" t="n">
        <x:v>1093952.36</x:v>
      </x:c>
      <x:c r="H45" s="7" t="n">
        <x:v>0</x:v>
      </x:c>
      <x:c r="I45" s="7" t="n">
        <x:v>1093952.36</x:v>
      </x:c>
      <x:c r="J45" s="8" t="n">
        <x:v>0.008</x:v>
      </x:c>
    </x:row>
    <x:row r="46">
      <x:c r="A46" s="9" t="n">
        <x:v>45</x:v>
      </x:c>
      <x:c r="B46" s="5" t="str">
        <x:v>C0295</x:v>
      </x:c>
      <x:c r="C46" s="5" t="str">
        <x:v>Beacon Technology 295</x:v>
      </x:c>
      <x:c r="D46" s="5" t="str">
        <x:v>Enterprise</x:v>
      </x:c>
      <x:c r="E46" s="5" t="str">
        <x:v>Manufacturing</x:v>
      </x:c>
      <x:c r="F46" s="5" t="str">
        <x:v>US East</x:v>
      </x:c>
      <x:c r="G46" s="7" t="n">
        <x:v>1058949.48</x:v>
      </x:c>
      <x:c r="H46" s="7" t="n">
        <x:v>0</x:v>
      </x:c>
      <x:c r="I46" s="7" t="n">
        <x:v>1058949.48</x:v>
      </x:c>
      <x:c r="J46" s="8" t="n">
        <x:v>0.0077</x:v>
      </x:c>
    </x:row>
    <x:row r="47">
      <x:c r="A47" s="9" t="n">
        <x:v>46</x:v>
      </x:c>
      <x:c r="B47" s="5" t="str">
        <x:v>C0236</x:v>
      </x:c>
      <x:c r="C47" s="5" t="str">
        <x:v>Harbor Media 236</x:v>
      </x:c>
      <x:c r="D47" s="5" t="str">
        <x:v>Enterprise</x:v>
      </x:c>
      <x:c r="E47" s="5" t="str">
        <x:v>Healthcare</x:v>
      </x:c>
      <x:c r="F47" s="5" t="str">
        <x:v>US Central</x:v>
      </x:c>
      <x:c r="G47" s="7" t="n">
        <x:v>1058768.84</x:v>
      </x:c>
      <x:c r="H47" s="7" t="n">
        <x:v>0</x:v>
      </x:c>
      <x:c r="I47" s="7" t="n">
        <x:v>1058768.84</x:v>
      </x:c>
      <x:c r="J47" s="8" t="n">
        <x:v>0.0077</x:v>
      </x:c>
    </x:row>
    <x:row r="48">
      <x:c r="A48" s="9" t="n">
        <x:v>47</x:v>
      </x:c>
      <x:c r="B48" s="5" t="str">
        <x:v>C0073</x:v>
      </x:c>
      <x:c r="C48" s="5" t="str">
        <x:v>Stonegate Foods 073</x:v>
      </x:c>
      <x:c r="D48" s="5" t="str">
        <x:v>Enterprise</x:v>
      </x:c>
      <x:c r="E48" s="5" t="str">
        <x:v>Healthcare</x:v>
      </x:c>
      <x:c r="F48" s="5" t="str">
        <x:v>US West</x:v>
      </x:c>
      <x:c r="G48" s="7" t="n">
        <x:v>722340.23</x:v>
      </x:c>
      <x:c r="H48" s="7" t="n">
        <x:v>278169.46</x:v>
      </x:c>
      <x:c r="I48" s="7" t="n">
        <x:v>1000509.69</x:v>
      </x:c>
      <x:c r="J48" s="8" t="n">
        <x:v>0.0073</x:v>
      </x:c>
    </x:row>
    <x:row r="49">
      <x:c r="A49" s="9" t="n">
        <x:v>48</x:v>
      </x:c>
      <x:c r="B49" s="5" t="str">
        <x:v>C0287</x:v>
      </x:c>
      <x:c r="C49" s="5" t="str">
        <x:v>Westbridge Technology 287</x:v>
      </x:c>
      <x:c r="D49" s="5" t="str">
        <x:v>Enterprise</x:v>
      </x:c>
      <x:c r="E49" s="5" t="str">
        <x:v>Retail and E-commerce</x:v>
      </x:c>
      <x:c r="F49" s="5" t="str">
        <x:v>US East</x:v>
      </x:c>
      <x:c r="G49" s="7" t="n">
        <x:v>984701.22</x:v>
      </x:c>
      <x:c r="H49" s="7" t="n">
        <x:v>0</x:v>
      </x:c>
      <x:c r="I49" s="7" t="n">
        <x:v>984701.22</x:v>
      </x:c>
      <x:c r="J49" s="8" t="n">
        <x:v>0.0072</x:v>
      </x:c>
    </x:row>
    <x:row r="50">
      <x:c r="A50" s="9" t="n">
        <x:v>49</x:v>
      </x:c>
      <x:c r="B50" s="5" t="str">
        <x:v>C0119</x:v>
      </x:c>
      <x:c r="C50" s="5" t="str">
        <x:v>Westbridge Health 119</x:v>
      </x:c>
      <x:c r="D50" s="5" t="str">
        <x:v>Enterprise</x:v>
      </x:c>
      <x:c r="E50" s="5" t="str">
        <x:v>Technology</x:v>
      </x:c>
      <x:c r="F50" s="5" t="str">
        <x:v>US West</x:v>
      </x:c>
      <x:c r="G50" s="7" t="n">
        <x:v>969950.2</x:v>
      </x:c>
      <x:c r="H50" s="7" t="n">
        <x:v>0</x:v>
      </x:c>
      <x:c r="I50" s="7" t="n">
        <x:v>969950.2</x:v>
      </x:c>
      <x:c r="J50" s="8" t="n">
        <x:v>0.0071</x:v>
      </x:c>
    </x:row>
    <x:row r="51">
      <x:c r="A51" s="9" t="n">
        <x:v>50</x:v>
      </x:c>
      <x:c r="B51" s="5" t="str">
        <x:v>C0071</x:v>
      </x:c>
      <x:c r="C51" s="5" t="str">
        <x:v>Stonegate Insurance 071</x:v>
      </x:c>
      <x:c r="D51" s="5" t="str">
        <x:v>Enterprise</x:v>
      </x:c>
      <x:c r="E51" s="5" t="str">
        <x:v>Financial Services</x:v>
      </x:c>
      <x:c r="F51" s="5" t="str">
        <x:v>US West</x:v>
      </x:c>
      <x:c r="G51" s="7" t="n">
        <x:v>899852.93</x:v>
      </x:c>
      <x:c r="H51" s="7" t="n">
        <x:v>64898.78</x:v>
      </x:c>
      <x:c r="I51" s="7" t="n">
        <x:v>964751.71</x:v>
      </x:c>
      <x:c r="J51" s="8" t="n">
        <x:v>0.007</x:v>
      </x:c>
    </x:row>
    <x:row r="52">
      <x:c r="A52" s="9" t="n">
        <x:v>51</x:v>
      </x:c>
      <x:c r="B52" s="5" t="str">
        <x:v>C0249</x:v>
      </x:c>
      <x:c r="C52" s="5" t="str">
        <x:v>Keystone Energy 249</x:v>
      </x:c>
      <x:c r="D52" s="5" t="str">
        <x:v>Enterprise</x:v>
      </x:c>
      <x:c r="E52" s="5" t="str">
        <x:v>Business Services</x:v>
      </x:c>
      <x:c r="F52" s="5" t="str">
        <x:v>US Central</x:v>
      </x:c>
      <x:c r="G52" s="7" t="n">
        <x:v>952380.69</x:v>
      </x:c>
      <x:c r="H52" s="7" t="n">
        <x:v>0</x:v>
      </x:c>
      <x:c r="I52" s="7" t="n">
        <x:v>952380.69</x:v>
      </x:c>
      <x:c r="J52" s="8" t="n">
        <x:v>0.0069</x:v>
      </x:c>
    </x:row>
    <x:row r="53">
      <x:c r="A53" s="9" t="n">
        <x:v>52</x:v>
      </x:c>
      <x:c r="B53" s="5" t="str">
        <x:v>C0165</x:v>
      </x:c>
      <x:c r="C53" s="5" t="str">
        <x:v>Vantage Health 165</x:v>
      </x:c>
      <x:c r="D53" s="5" t="str">
        <x:v>Enterprise</x:v>
      </x:c>
      <x:c r="E53" s="5" t="str">
        <x:v>Energy</x:v>
      </x:c>
      <x:c r="F53" s="5" t="str">
        <x:v>US Central</x:v>
      </x:c>
      <x:c r="G53" s="7" t="n">
        <x:v>901565.94</x:v>
      </x:c>
      <x:c r="H53" s="7" t="n">
        <x:v>0</x:v>
      </x:c>
      <x:c r="I53" s="7" t="n">
        <x:v>901565.94</x:v>
      </x:c>
      <x:c r="J53" s="8" t="n">
        <x:v>0.0066</x:v>
      </x:c>
    </x:row>
    <x:row r="54">
      <x:c r="A54" s="9" t="n">
        <x:v>53</x:v>
      </x:c>
      <x:c r="B54" s="5" t="str">
        <x:v>C0072</x:v>
      </x:c>
      <x:c r="C54" s="5" t="str">
        <x:v>Westbridge Energy 072</x:v>
      </x:c>
      <x:c r="D54" s="5" t="str">
        <x:v>Enterprise</x:v>
      </x:c>
      <x:c r="E54" s="5" t="str">
        <x:v>Financial Services</x:v>
      </x:c>
      <x:c r="F54" s="5" t="str">
        <x:v>Canada</x:v>
      </x:c>
      <x:c r="G54" s="7" t="n">
        <x:v>900029.4</x:v>
      </x:c>
      <x:c r="H54" s="7" t="n">
        <x:v>0</x:v>
      </x:c>
      <x:c r="I54" s="7" t="n">
        <x:v>900029.4</x:v>
      </x:c>
      <x:c r="J54" s="8" t="n">
        <x:v>0.0066</x:v>
      </x:c>
    </x:row>
    <x:row r="55">
      <x:c r="A55" s="9" t="n">
        <x:v>54</x:v>
      </x:c>
      <x:c r="B55" s="5" t="str">
        <x:v>C0123</x:v>
      </x:c>
      <x:c r="C55" s="5" t="str">
        <x:v>Evergreen Media 123</x:v>
      </x:c>
      <x:c r="D55" s="5" t="str">
        <x:v>Mid-Market</x:v>
      </x:c>
      <x:c r="E55" s="5" t="str">
        <x:v>Logistics</x:v>
      </x:c>
      <x:c r="F55" s="5" t="str">
        <x:v>US West</x:v>
      </x:c>
      <x:c r="G55" s="7" t="n">
        <x:v>312243.69</x:v>
      </x:c>
      <x:c r="H55" s="7" t="n">
        <x:v>577724.14</x:v>
      </x:c>
      <x:c r="I55" s="7" t="n">
        <x:v>889967.83</x:v>
      </x:c>
      <x:c r="J55" s="8" t="n">
        <x:v>0.0065</x:v>
      </x:c>
    </x:row>
    <x:row r="56">
      <x:c r="A56" s="9" t="n">
        <x:v>55</x:v>
      </x:c>
      <x:c r="B56" s="5" t="str">
        <x:v>C0109</x:v>
      </x:c>
      <x:c r="C56" s="5" t="str">
        <x:v>Pioneer Retail 109</x:v>
      </x:c>
      <x:c r="D56" s="5" t="str">
        <x:v>Enterprise</x:v>
      </x:c>
      <x:c r="E56" s="5" t="str">
        <x:v>Business Services</x:v>
      </x:c>
      <x:c r="F56" s="5" t="str">
        <x:v>US West</x:v>
      </x:c>
      <x:c r="G56" s="7" t="n">
        <x:v>881671.87</x:v>
      </x:c>
      <x:c r="H56" s="7" t="n">
        <x:v>0</x:v>
      </x:c>
      <x:c r="I56" s="7" t="n">
        <x:v>881671.87</x:v>
      </x:c>
      <x:c r="J56" s="8" t="n">
        <x:v>0.0064</x:v>
      </x:c>
    </x:row>
    <x:row r="57">
      <x:c r="A57" s="9" t="n">
        <x:v>56</x:v>
      </x:c>
      <x:c r="B57" s="5" t="str">
        <x:v>C0290</x:v>
      </x:c>
      <x:c r="C57" s="5" t="str">
        <x:v>BluePeak Energy 290</x:v>
      </x:c>
      <x:c r="D57" s="5" t="str">
        <x:v>Enterprise</x:v>
      </x:c>
      <x:c r="E57" s="5" t="str">
        <x:v>Healthcare</x:v>
      </x:c>
      <x:c r="F57" s="5" t="str">
        <x:v>US Central</x:v>
      </x:c>
      <x:c r="G57" s="7" t="n">
        <x:v>872257.59</x:v>
      </x:c>
      <x:c r="H57" s="7" t="n">
        <x:v>0</x:v>
      </x:c>
      <x:c r="I57" s="7" t="n">
        <x:v>872257.59</x:v>
      </x:c>
      <x:c r="J57" s="8" t="n">
        <x:v>0.0064</x:v>
      </x:c>
    </x:row>
    <x:row r="58">
      <x:c r="A58" s="9" t="n">
        <x:v>57</x:v>
      </x:c>
      <x:c r="B58" s="5" t="str">
        <x:v>C0291</x:v>
      </x:c>
      <x:c r="C58" s="5" t="str">
        <x:v>Harbor Media 291</x:v>
      </x:c>
      <x:c r="D58" s="5" t="str">
        <x:v>Enterprise</x:v>
      </x:c>
      <x:c r="E58" s="5" t="str">
        <x:v>Energy</x:v>
      </x:c>
      <x:c r="F58" s="5" t="str">
        <x:v>US East</x:v>
      </x:c>
      <x:c r="G58" s="7" t="n">
        <x:v>795762.43</x:v>
      </x:c>
      <x:c r="H58" s="7" t="n">
        <x:v>62828.89</x:v>
      </x:c>
      <x:c r="I58" s="7" t="n">
        <x:v>858591.32</x:v>
      </x:c>
      <x:c r="J58" s="8" t="n">
        <x:v>0.0063</x:v>
      </x:c>
    </x:row>
    <x:row r="59">
      <x:c r="A59" s="9" t="n">
        <x:v>58</x:v>
      </x:c>
      <x:c r="B59" s="5" t="str">
        <x:v>C0161</x:v>
      </x:c>
      <x:c r="C59" s="5" t="str">
        <x:v>Stonegate Retail 161</x:v>
      </x:c>
      <x:c r="D59" s="5" t="str">
        <x:v>Enterprise</x:v>
      </x:c>
      <x:c r="E59" s="5" t="str">
        <x:v>Healthcare</x:v>
      </x:c>
      <x:c r="F59" s="5" t="str">
        <x:v>US Central</x:v>
      </x:c>
      <x:c r="G59" s="7" t="n">
        <x:v>846971.04</x:v>
      </x:c>
      <x:c r="H59" s="7" t="n">
        <x:v>0</x:v>
      </x:c>
      <x:c r="I59" s="7" t="n">
        <x:v>846971.04</x:v>
      </x:c>
      <x:c r="J59" s="8" t="n">
        <x:v>0.0062</x:v>
      </x:c>
    </x:row>
    <x:row r="60">
      <x:c r="A60" s="9" t="n">
        <x:v>59</x:v>
      </x:c>
      <x:c r="B60" s="5" t="str">
        <x:v>C0118</x:v>
      </x:c>
      <x:c r="C60" s="5" t="str">
        <x:v>Nova Retail 118</x:v>
      </x:c>
      <x:c r="D60" s="5" t="str">
        <x:v>Enterprise</x:v>
      </x:c>
      <x:c r="E60" s="5" t="str">
        <x:v>Retail and E-commerce</x:v>
      </x:c>
      <x:c r="F60" s="5" t="str">
        <x:v>US West</x:v>
      </x:c>
      <x:c r="G60" s="7" t="n">
        <x:v>810333.59</x:v>
      </x:c>
      <x:c r="H60" s="7" t="n">
        <x:v>0</x:v>
      </x:c>
      <x:c r="I60" s="7" t="n">
        <x:v>810333.59</x:v>
      </x:c>
      <x:c r="J60" s="8" t="n">
        <x:v>0.0059</x:v>
      </x:c>
    </x:row>
    <x:row r="61">
      <x:c r="A61" s="9" t="n">
        <x:v>60</x:v>
      </x:c>
      <x:c r="B61" s="5" t="str">
        <x:v>C0135</x:v>
      </x:c>
      <x:c r="C61" s="5" t="str">
        <x:v>BluePeak Education 135</x:v>
      </x:c>
      <x:c r="D61" s="5" t="str">
        <x:v>Enterprise</x:v>
      </x:c>
      <x:c r="E61" s="5" t="str">
        <x:v>Healthcare</x:v>
      </x:c>
      <x:c r="F61" s="5" t="str">
        <x:v>US West</x:v>
      </x:c>
      <x:c r="G61" s="7" t="n">
        <x:v>801497.37</x:v>
      </x:c>
      <x:c r="H61" s="7" t="n">
        <x:v>0</x:v>
      </x:c>
      <x:c r="I61" s="7" t="n">
        <x:v>801497.37</x:v>
      </x:c>
      <x:c r="J61" s="8" t="n">
        <x:v>0.0058</x:v>
      </x:c>
    </x:row>
    <x:row r="62">
      <x:c r="A62" s="9" t="n">
        <x:v>61</x:v>
      </x:c>
      <x:c r="B62" s="5" t="str">
        <x:v>C0257</x:v>
      </x:c>
      <x:c r="C62" s="5" t="str">
        <x:v>Cedar Media 257</x:v>
      </x:c>
      <x:c r="D62" s="5" t="str">
        <x:v>Enterprise</x:v>
      </x:c>
      <x:c r="E62" s="5" t="str">
        <x:v>Financial Services</x:v>
      </x:c>
      <x:c r="F62" s="5" t="str">
        <x:v>US West</x:v>
      </x:c>
      <x:c r="G62" s="7" t="n">
        <x:v>798226.95</x:v>
      </x:c>
      <x:c r="H62" s="7" t="n">
        <x:v>0</x:v>
      </x:c>
      <x:c r="I62" s="7" t="n">
        <x:v>798226.95</x:v>
      </x:c>
      <x:c r="J62" s="8" t="n">
        <x:v>0.0058</x:v>
      </x:c>
    </x:row>
    <x:row r="63">
      <x:c r="A63" s="9" t="n">
        <x:v>62</x:v>
      </x:c>
      <x:c r="B63" s="5" t="str">
        <x:v>C0156</x:v>
      </x:c>
      <x:c r="C63" s="5" t="str">
        <x:v>Evergreen Energy 156</x:v>
      </x:c>
      <x:c r="D63" s="5" t="str">
        <x:v>Mid-Market</x:v>
      </x:c>
      <x:c r="E63" s="5" t="str">
        <x:v>Logistics</x:v>
      </x:c>
      <x:c r="F63" s="5" t="str">
        <x:v>US East</x:v>
      </x:c>
      <x:c r="G63" s="7" t="n">
        <x:v>548486.58</x:v>
      </x:c>
      <x:c r="H63" s="7" t="n">
        <x:v>230818.72</x:v>
      </x:c>
      <x:c r="I63" s="7" t="n">
        <x:v>779305.3</x:v>
      </x:c>
      <x:c r="J63" s="8" t="n">
        <x:v>0.0057</x:v>
      </x:c>
    </x:row>
    <x:row r="64">
      <x:c r="A64" s="9" t="n">
        <x:v>63</x:v>
      </x:c>
      <x:c r="B64" s="5" t="str">
        <x:v>C0112</x:v>
      </x:c>
      <x:c r="C64" s="5" t="str">
        <x:v>Highland Health 112</x:v>
      </x:c>
      <x:c r="D64" s="5" t="str">
        <x:v>Mid-Market</x:v>
      </x:c>
      <x:c r="E64" s="5" t="str">
        <x:v>Technology</x:v>
      </x:c>
      <x:c r="F64" s="5" t="str">
        <x:v>US East</x:v>
      </x:c>
      <x:c r="G64" s="7" t="n">
        <x:v>541175.58</x:v>
      </x:c>
      <x:c r="H64" s="7" t="n">
        <x:v>236632.66</x:v>
      </x:c>
      <x:c r="I64" s="7" t="n">
        <x:v>777808.24</x:v>
      </x:c>
      <x:c r="J64" s="8" t="n">
        <x:v>0.0057</x:v>
      </x:c>
    </x:row>
    <x:row r="65">
      <x:c r="A65" s="9" t="n">
        <x:v>64</x:v>
      </x:c>
      <x:c r="B65" s="5" t="str">
        <x:v>C0040</x:v>
      </x:c>
      <x:c r="C65" s="5" t="str">
        <x:v>Nova Foods 040</x:v>
      </x:c>
      <x:c r="D65" s="5" t="str">
        <x:v>Mid-Market</x:v>
      </x:c>
      <x:c r="E65" s="5" t="str">
        <x:v>Energy</x:v>
      </x:c>
      <x:c r="F65" s="5" t="str">
        <x:v>US West</x:v>
      </x:c>
      <x:c r="G65" s="7" t="n">
        <x:v>237305.27</x:v>
      </x:c>
      <x:c r="H65" s="7" t="n">
        <x:v>534127.81</x:v>
      </x:c>
      <x:c r="I65" s="7" t="n">
        <x:v>771433.08</x:v>
      </x:c>
      <x:c r="J65" s="8" t="n">
        <x:v>0.0056</x:v>
      </x:c>
    </x:row>
    <x:row r="66">
      <x:c r="A66" s="9" t="n">
        <x:v>65</x:v>
      </x:c>
      <x:c r="B66" s="5" t="str">
        <x:v>C0064</x:v>
      </x:c>
      <x:c r="C66" s="5" t="str">
        <x:v>Frontier Media 064</x:v>
      </x:c>
      <x:c r="D66" s="5" t="str">
        <x:v>Enterprise</x:v>
      </x:c>
      <x:c r="E66" s="5" t="str">
        <x:v>Technology</x:v>
      </x:c>
      <x:c r="F66" s="5" t="str">
        <x:v>US West</x:v>
      </x:c>
      <x:c r="G66" s="7" t="n">
        <x:v>770243.86</x:v>
      </x:c>
      <x:c r="H66" s="7" t="n">
        <x:v>0</x:v>
      </x:c>
      <x:c r="I66" s="7" t="n">
        <x:v>770243.86</x:v>
      </x:c>
      <x:c r="J66" s="8" t="n">
        <x:v>0.0056</x:v>
      </x:c>
    </x:row>
    <x:row r="67">
      <x:c r="A67" s="9" t="n">
        <x:v>66</x:v>
      </x:c>
      <x:c r="B67" s="5" t="str">
        <x:v>C0202</x:v>
      </x:c>
      <x:c r="C67" s="5" t="str">
        <x:v>Pioneer Foods 202</x:v>
      </x:c>
      <x:c r="D67" s="5" t="str">
        <x:v>Enterprise</x:v>
      </x:c>
      <x:c r="E67" s="5" t="str">
        <x:v>Technology</x:v>
      </x:c>
      <x:c r="F67" s="5" t="str">
        <x:v>US West</x:v>
      </x:c>
      <x:c r="G67" s="7" t="n">
        <x:v>761373.25</x:v>
      </x:c>
      <x:c r="H67" s="7" t="n">
        <x:v>0</x:v>
      </x:c>
      <x:c r="I67" s="7" t="n">
        <x:v>761373.25</x:v>
      </x:c>
      <x:c r="J67" s="8" t="n">
        <x:v>0.0055</x:v>
      </x:c>
    </x:row>
    <x:row r="68">
      <x:c r="A68" s="9" t="n">
        <x:v>67</x:v>
      </x:c>
      <x:c r="B68" s="5" t="str">
        <x:v>C0273</x:v>
      </x:c>
      <x:c r="C68" s="5" t="str">
        <x:v>Frontier Education 273</x:v>
      </x:c>
      <x:c r="D68" s="5" t="str">
        <x:v>Enterprise</x:v>
      </x:c>
      <x:c r="E68" s="5" t="str">
        <x:v>Energy</x:v>
      </x:c>
      <x:c r="F68" s="5" t="str">
        <x:v>US East</x:v>
      </x:c>
      <x:c r="G68" s="7" t="n">
        <x:v>754749.52</x:v>
      </x:c>
      <x:c r="H68" s="7" t="n">
        <x:v>0</x:v>
      </x:c>
      <x:c r="I68" s="7" t="n">
        <x:v>754749.52</x:v>
      </x:c>
      <x:c r="J68" s="8" t="n">
        <x:v>0.0055</x:v>
      </x:c>
    </x:row>
    <x:row r="69">
      <x:c r="A69" s="9" t="n">
        <x:v>68</x:v>
      </x:c>
      <x:c r="B69" s="5" t="str">
        <x:v>C0130</x:v>
      </x:c>
      <x:c r="C69" s="5" t="str">
        <x:v>Frontier Health 130</x:v>
      </x:c>
      <x:c r="D69" s="5" t="str">
        <x:v>Enterprise</x:v>
      </x:c>
      <x:c r="E69" s="5" t="str">
        <x:v>Technology</x:v>
      </x:c>
      <x:c r="F69" s="5" t="str">
        <x:v>US East</x:v>
      </x:c>
      <x:c r="G69" s="7" t="n">
        <x:v>749560.83</x:v>
      </x:c>
      <x:c r="H69" s="7" t="n">
        <x:v>0</x:v>
      </x:c>
      <x:c r="I69" s="7" t="n">
        <x:v>749560.83</x:v>
      </x:c>
      <x:c r="J69" s="8" t="n">
        <x:v>0.0055</x:v>
      </x:c>
    </x:row>
    <x:row r="70">
      <x:c r="A70" s="9" t="n">
        <x:v>69</x:v>
      </x:c>
      <x:c r="B70" s="5" t="str">
        <x:v>C0017</x:v>
      </x:c>
      <x:c r="C70" s="5" t="str">
        <x:v>Atlas Mobility 017</x:v>
      </x:c>
      <x:c r="D70" s="5" t="str">
        <x:v>Enterprise</x:v>
      </x:c>
      <x:c r="E70" s="5" t="str">
        <x:v>Logistics</x:v>
      </x:c>
      <x:c r="F70" s="5" t="str">
        <x:v>US Central</x:v>
      </x:c>
      <x:c r="G70" s="7" t="n">
        <x:v>739342.55</x:v>
      </x:c>
      <x:c r="H70" s="7" t="n">
        <x:v>0</x:v>
      </x:c>
      <x:c r="I70" s="7" t="n">
        <x:v>739342.55</x:v>
      </x:c>
      <x:c r="J70" s="8" t="n">
        <x:v>0.0054</x:v>
      </x:c>
    </x:row>
    <x:row r="71">
      <x:c r="A71" s="9" t="n">
        <x:v>70</x:v>
      </x:c>
      <x:c r="B71" s="5" t="str">
        <x:v>C0293</x:v>
      </x:c>
      <x:c r="C71" s="5" t="str">
        <x:v>Vantage Technology 293</x:v>
      </x:c>
      <x:c r="D71" s="5" t="str">
        <x:v>Enterprise</x:v>
      </x:c>
      <x:c r="E71" s="5" t="str">
        <x:v>Manufacturing</x:v>
      </x:c>
      <x:c r="F71" s="5" t="str">
        <x:v>US Central</x:v>
      </x:c>
      <x:c r="G71" s="7" t="n">
        <x:v>691147.99</x:v>
      </x:c>
      <x:c r="H71" s="7" t="n">
        <x:v>0</x:v>
      </x:c>
      <x:c r="I71" s="7" t="n">
        <x:v>691147.99</x:v>
      </x:c>
      <x:c r="J71" s="8" t="n">
        <x:v>0.005</x:v>
      </x:c>
    </x:row>
    <x:row r="72">
      <x:c r="A72" s="9" t="n">
        <x:v>71</x:v>
      </x:c>
      <x:c r="B72" s="5" t="str">
        <x:v>C0137</x:v>
      </x:c>
      <x:c r="C72" s="5" t="str">
        <x:v>Beacon Technology 137</x:v>
      </x:c>
      <x:c r="D72" s="5" t="str">
        <x:v>Enterprise</x:v>
      </x:c>
      <x:c r="E72" s="5" t="str">
        <x:v>Technology</x:v>
      </x:c>
      <x:c r="F72" s="5" t="str">
        <x:v>US Central</x:v>
      </x:c>
      <x:c r="G72" s="7" t="n">
        <x:v>683812.86</x:v>
      </x:c>
      <x:c r="H72" s="7" t="n">
        <x:v>0</x:v>
      </x:c>
      <x:c r="I72" s="7" t="n">
        <x:v>683812.86</x:v>
      </x:c>
      <x:c r="J72" s="8" t="n">
        <x:v>0.005</x:v>
      </x:c>
    </x:row>
    <x:row r="73">
      <x:c r="A73" s="9" t="n">
        <x:v>72</x:v>
      </x:c>
      <x:c r="B73" s="5" t="str">
        <x:v>C0233</x:v>
      </x:c>
      <x:c r="C73" s="5" t="str">
        <x:v>Pioneer Logistics 233</x:v>
      </x:c>
      <x:c r="D73" s="5" t="str">
        <x:v>Enterprise</x:v>
      </x:c>
      <x:c r="E73" s="5" t="str">
        <x:v>Logistics</x:v>
      </x:c>
      <x:c r="F73" s="5" t="str">
        <x:v>US West</x:v>
      </x:c>
      <x:c r="G73" s="7" t="n">
        <x:v>669906.44</x:v>
      </x:c>
      <x:c r="H73" s="7" t="n">
        <x:v>0</x:v>
      </x:c>
      <x:c r="I73" s="7" t="n">
        <x:v>669906.44</x:v>
      </x:c>
      <x:c r="J73" s="8" t="n">
        <x:v>0.0049</x:v>
      </x:c>
    </x:row>
    <x:row r="74">
      <x:c r="A74" s="9" t="n">
        <x:v>73</x:v>
      </x:c>
      <x:c r="B74" s="5" t="str">
        <x:v>C0215</x:v>
      </x:c>
      <x:c r="C74" s="5" t="str">
        <x:v>Westbridge Manufacturing 215</x:v>
      </x:c>
      <x:c r="D74" s="5" t="str">
        <x:v>Enterprise</x:v>
      </x:c>
      <x:c r="E74" s="5" t="str">
        <x:v>Manufacturing</x:v>
      </x:c>
      <x:c r="F74" s="5" t="str">
        <x:v>US Central</x:v>
      </x:c>
      <x:c r="G74" s="7" t="n">
        <x:v>657045.99</x:v>
      </x:c>
      <x:c r="H74" s="7" t="n">
        <x:v>0</x:v>
      </x:c>
      <x:c r="I74" s="7" t="n">
        <x:v>657045.99</x:v>
      </x:c>
      <x:c r="J74" s="8" t="n">
        <x:v>0.0048</x:v>
      </x:c>
    </x:row>
    <x:row r="75">
      <x:c r="A75" s="9" t="n">
        <x:v>74</x:v>
      </x:c>
      <x:c r="B75" s="5" t="str">
        <x:v>C0266</x:v>
      </x:c>
      <x:c r="C75" s="5" t="str">
        <x:v>Pioneer Financial 266</x:v>
      </x:c>
      <x:c r="D75" s="5" t="str">
        <x:v>Enterprise</x:v>
      </x:c>
      <x:c r="E75" s="5" t="str">
        <x:v>Energy</x:v>
      </x:c>
      <x:c r="F75" s="5" t="str">
        <x:v>US East</x:v>
      </x:c>
      <x:c r="G75" s="7" t="n">
        <x:v>647289.13</x:v>
      </x:c>
      <x:c r="H75" s="7" t="n">
        <x:v>0</x:v>
      </x:c>
      <x:c r="I75" s="7" t="n">
        <x:v>647289.13</x:v>
      </x:c>
      <x:c r="J75" s="8" t="n">
        <x:v>0.0047</x:v>
      </x:c>
    </x:row>
    <x:row r="76">
      <x:c r="A76" s="9" t="n">
        <x:v>75</x:v>
      </x:c>
      <x:c r="B76" s="5" t="str">
        <x:v>C0174</x:v>
      </x:c>
      <x:c r="C76" s="5" t="str">
        <x:v>BrightPath Education 174</x:v>
      </x:c>
      <x:c r="D76" s="5" t="str">
        <x:v>Enterprise</x:v>
      </x:c>
      <x:c r="E76" s="5" t="str">
        <x:v>Business Services</x:v>
      </x:c>
      <x:c r="F76" s="5" t="str">
        <x:v>US West</x:v>
      </x:c>
      <x:c r="G76" s="7" t="n">
        <x:v>632140.4</x:v>
      </x:c>
      <x:c r="H76" s="7" t="n">
        <x:v>0</x:v>
      </x:c>
      <x:c r="I76" s="7" t="n">
        <x:v>632140.4</x:v>
      </x:c>
      <x:c r="J76" s="8" t="n">
        <x:v>0.0046</x:v>
      </x:c>
    </x:row>
    <x:row r="77">
      <x:c r="A77" s="9" t="n">
        <x:v>76</x:v>
      </x:c>
      <x:c r="B77" s="5" t="str">
        <x:v>C0223</x:v>
      </x:c>
      <x:c r="C77" s="5" t="str">
        <x:v>Summit Energy 223</x:v>
      </x:c>
      <x:c r="D77" s="5" t="str">
        <x:v>Enterprise</x:v>
      </x:c>
      <x:c r="E77" s="5" t="str">
        <x:v>Business Services</x:v>
      </x:c>
      <x:c r="F77" s="5" t="str">
        <x:v>Canada</x:v>
      </x:c>
      <x:c r="G77" s="7" t="n">
        <x:v>624026.7</x:v>
      </x:c>
      <x:c r="H77" s="7" t="n">
        <x:v>0</x:v>
      </x:c>
      <x:c r="I77" s="7" t="n">
        <x:v>624026.7</x:v>
      </x:c>
      <x:c r="J77" s="8" t="n">
        <x:v>0.0045</x:v>
      </x:c>
    </x:row>
    <x:row r="78">
      <x:c r="A78" s="9" t="n">
        <x:v>77</x:v>
      </x:c>
      <x:c r="B78" s="5" t="str">
        <x:v>C0296</x:v>
      </x:c>
      <x:c r="C78" s="5" t="str">
        <x:v>Frontier Technology 296</x:v>
      </x:c>
      <x:c r="D78" s="5" t="str">
        <x:v>Mid-Market</x:v>
      </x:c>
      <x:c r="E78" s="5" t="str">
        <x:v>Financial Services</x:v>
      </x:c>
      <x:c r="F78" s="5" t="str">
        <x:v>US Central</x:v>
      </x:c>
      <x:c r="G78" s="7" t="n">
        <x:v>178646.22</x:v>
      </x:c>
      <x:c r="H78" s="7" t="n">
        <x:v>437607.9</x:v>
      </x:c>
      <x:c r="I78" s="7" t="n">
        <x:v>616254.12</x:v>
      </x:c>
      <x:c r="J78" s="8" t="n">
        <x:v>0.0045</x:v>
      </x:c>
    </x:row>
    <x:row r="79">
      <x:c r="A79" s="9" t="n">
        <x:v>78</x:v>
      </x:c>
      <x:c r="B79" s="5" t="str">
        <x:v>C0019</x:v>
      </x:c>
      <x:c r="C79" s="5" t="str">
        <x:v>Cedar Retail 019</x:v>
      </x:c>
      <x:c r="D79" s="5" t="str">
        <x:v>Enterprise</x:v>
      </x:c>
      <x:c r="E79" s="5" t="str">
        <x:v>Retail and E-commerce</x:v>
      </x:c>
      <x:c r="F79" s="5" t="str">
        <x:v>US West</x:v>
      </x:c>
      <x:c r="G79" s="7" t="n">
        <x:v>597757.44</x:v>
      </x:c>
      <x:c r="H79" s="7" t="n">
        <x:v>0</x:v>
      </x:c>
      <x:c r="I79" s="7" t="n">
        <x:v>597757.44</x:v>
      </x:c>
      <x:c r="J79" s="8" t="n">
        <x:v>0.0044</x:v>
      </x:c>
    </x:row>
    <x:row r="80">
      <x:c r="A80" s="9" t="n">
        <x:v>79</x:v>
      </x:c>
      <x:c r="B80" s="5" t="str">
        <x:v>C0004</x:v>
      </x:c>
      <x:c r="C80" s="5" t="str">
        <x:v>Lakeview Education 004</x:v>
      </x:c>
      <x:c r="D80" s="5" t="str">
        <x:v>Enterprise</x:v>
      </x:c>
      <x:c r="E80" s="5" t="str">
        <x:v>Manufacturing</x:v>
      </x:c>
      <x:c r="F80" s="5" t="str">
        <x:v>US East</x:v>
      </x:c>
      <x:c r="G80" s="7" t="n">
        <x:v>582653.9</x:v>
      </x:c>
      <x:c r="H80" s="7" t="n">
        <x:v>0</x:v>
      </x:c>
      <x:c r="I80" s="7" t="n">
        <x:v>582653.9</x:v>
      </x:c>
      <x:c r="J80" s="8" t="n">
        <x:v>0.0042</x:v>
      </x:c>
    </x:row>
    <x:row r="81">
      <x:c r="A81" s="9" t="n">
        <x:v>80</x:v>
      </x:c>
      <x:c r="B81" s="5" t="str">
        <x:v>C0238</x:v>
      </x:c>
      <x:c r="C81" s="5" t="str">
        <x:v>BluePeak Logistics 238</x:v>
      </x:c>
      <x:c r="D81" s="5" t="str">
        <x:v>Mid-Market</x:v>
      </x:c>
      <x:c r="E81" s="5" t="str">
        <x:v>Manufacturing</x:v>
      </x:c>
      <x:c r="F81" s="5" t="str">
        <x:v>US East</x:v>
      </x:c>
      <x:c r="G81" s="7" t="n">
        <x:v>237727.38</x:v>
      </x:c>
      <x:c r="H81" s="7" t="n">
        <x:v>337989.61</x:v>
      </x:c>
      <x:c r="I81" s="7" t="n">
        <x:v>575716.99</x:v>
      </x:c>
      <x:c r="J81" s="8" t="n">
        <x:v>0.0042</x:v>
      </x:c>
    </x:row>
    <x:row r="82">
      <x:c r="A82" s="9" t="n">
        <x:v>81</x:v>
      </x:c>
      <x:c r="B82" s="5" t="str">
        <x:v>C0041</x:v>
      </x:c>
      <x:c r="C82" s="5" t="str">
        <x:v>Pioneer Manufacturing 041</x:v>
      </x:c>
      <x:c r="D82" s="5" t="str">
        <x:v>Mid-Market</x:v>
      </x:c>
      <x:c r="E82" s="5" t="str">
        <x:v>Logistics</x:v>
      </x:c>
      <x:c r="F82" s="5" t="str">
        <x:v>US West</x:v>
      </x:c>
      <x:c r="G82" s="7" t="n">
        <x:v>572955.34</x:v>
      </x:c>
      <x:c r="H82" s="7" t="n">
        <x:v>0</x:v>
      </x:c>
      <x:c r="I82" s="7" t="n">
        <x:v>572955.34</x:v>
      </x:c>
      <x:c r="J82" s="8" t="n">
        <x:v>0.0042</x:v>
      </x:c>
    </x:row>
    <x:row r="83">
      <x:c r="A83" s="9" t="n">
        <x:v>82</x:v>
      </x:c>
      <x:c r="B83" s="5" t="str">
        <x:v>C0170</x:v>
      </x:c>
      <x:c r="C83" s="5" t="str">
        <x:v>Ironwood Foods 170</x:v>
      </x:c>
      <x:c r="D83" s="5" t="str">
        <x:v>Enterprise</x:v>
      </x:c>
      <x:c r="E83" s="5" t="str">
        <x:v>Logistics</x:v>
      </x:c>
      <x:c r="F83" s="5" t="str">
        <x:v>US East</x:v>
      </x:c>
      <x:c r="G83" s="7" t="n">
        <x:v>559876.94</x:v>
      </x:c>
      <x:c r="H83" s="7" t="n">
        <x:v>0</x:v>
      </x:c>
      <x:c r="I83" s="7" t="n">
        <x:v>559876.94</x:v>
      </x:c>
      <x:c r="J83" s="8" t="n">
        <x:v>0.0041</x:v>
      </x:c>
    </x:row>
    <x:row r="84">
      <x:c r="A84" s="9" t="n">
        <x:v>83</x:v>
      </x:c>
      <x:c r="B84" s="5" t="str">
        <x:v>C0103</x:v>
      </x:c>
      <x:c r="C84" s="5" t="str">
        <x:v>Stonegate Manufacturing 103</x:v>
      </x:c>
      <x:c r="D84" s="5" t="str">
        <x:v>Enterprise</x:v>
      </x:c>
      <x:c r="E84" s="5" t="str">
        <x:v>Retail and E-commerce</x:v>
      </x:c>
      <x:c r="F84" s="5" t="str">
        <x:v>US Central</x:v>
      </x:c>
      <x:c r="G84" s="7" t="n">
        <x:v>558253.47</x:v>
      </x:c>
      <x:c r="H84" s="7" t="n">
        <x:v>0</x:v>
      </x:c>
      <x:c r="I84" s="7" t="n">
        <x:v>558253.47</x:v>
      </x:c>
      <x:c r="J84" s="8" t="n">
        <x:v>0.0041</x:v>
      </x:c>
    </x:row>
    <x:row r="85">
      <x:c r="A85" s="9" t="n">
        <x:v>84</x:v>
      </x:c>
      <x:c r="B85" s="5" t="str">
        <x:v>C0031</x:v>
      </x:c>
      <x:c r="C85" s="5" t="str">
        <x:v>Stonegate Energy 031</x:v>
      </x:c>
      <x:c r="D85" s="5" t="str">
        <x:v>Enterprise</x:v>
      </x:c>
      <x:c r="E85" s="5" t="str">
        <x:v>Retail and E-commerce</x:v>
      </x:c>
      <x:c r="F85" s="5" t="str">
        <x:v>US East</x:v>
      </x:c>
      <x:c r="G85" s="7" t="n">
        <x:v>549249.67</x:v>
      </x:c>
      <x:c r="H85" s="7" t="n">
        <x:v>0</x:v>
      </x:c>
      <x:c r="I85" s="7" t="n">
        <x:v>549249.67</x:v>
      </x:c>
      <x:c r="J85" s="8" t="n">
        <x:v>0.004</x:v>
      </x:c>
    </x:row>
    <x:row r="86">
      <x:c r="A86" s="9" t="n">
        <x:v>85</x:v>
      </x:c>
      <x:c r="B86" s="5" t="str">
        <x:v>C0213</x:v>
      </x:c>
      <x:c r="C86" s="5" t="str">
        <x:v>Oakridge Mobility 213</x:v>
      </x:c>
      <x:c r="D86" s="5" t="str">
        <x:v>Mid-Market</x:v>
      </x:c>
      <x:c r="E86" s="5" t="str">
        <x:v>Energy</x:v>
      </x:c>
      <x:c r="F86" s="5" t="str">
        <x:v>US West</x:v>
      </x:c>
      <x:c r="G86" s="7" t="n">
        <x:v>109875.08</x:v>
      </x:c>
      <x:c r="H86" s="7" t="n">
        <x:v>420049.9</x:v>
      </x:c>
      <x:c r="I86" s="7" t="n">
        <x:v>529924.98</x:v>
      </x:c>
      <x:c r="J86" s="8" t="n">
        <x:v>0.0039</x:v>
      </x:c>
    </x:row>
    <x:row r="87">
      <x:c r="A87" s="9" t="n">
        <x:v>86</x:v>
      </x:c>
      <x:c r="B87" s="5" t="str">
        <x:v>C0034</x:v>
      </x:c>
      <x:c r="C87" s="5" t="str">
        <x:v>Westbridge Energy 034</x:v>
      </x:c>
      <x:c r="D87" s="5" t="str">
        <x:v>Mid-Market</x:v>
      </x:c>
      <x:c r="E87" s="5" t="str">
        <x:v>Manufacturing</x:v>
      </x:c>
      <x:c r="F87" s="5" t="str">
        <x:v>US East</x:v>
      </x:c>
      <x:c r="G87" s="7" t="n">
        <x:v>118617.24</x:v>
      </x:c>
      <x:c r="H87" s="7" t="n">
        <x:v>396456.57</x:v>
      </x:c>
      <x:c r="I87" s="7" t="n">
        <x:v>515073.81</x:v>
      </x:c>
      <x:c r="J87" s="8" t="n">
        <x:v>0.0038</x:v>
      </x:c>
    </x:row>
    <x:row r="88">
      <x:c r="A88" s="9" t="n">
        <x:v>87</x:v>
      </x:c>
      <x:c r="B88" s="5" t="str">
        <x:v>C0058</x:v>
      </x:c>
      <x:c r="C88" s="5" t="str">
        <x:v>Frontier Manufacturing 058</x:v>
      </x:c>
      <x:c r="D88" s="5" t="str">
        <x:v>Enterprise</x:v>
      </x:c>
      <x:c r="E88" s="5" t="str">
        <x:v>Retail and E-commerce</x:v>
      </x:c>
      <x:c r="F88" s="5" t="str">
        <x:v>US East</x:v>
      </x:c>
      <x:c r="G88" s="7" t="n">
        <x:v>514950.27</x:v>
      </x:c>
      <x:c r="H88" s="7" t="n">
        <x:v>0</x:v>
      </x:c>
      <x:c r="I88" s="7" t="n">
        <x:v>514950.27</x:v>
      </x:c>
      <x:c r="J88" s="8" t="n">
        <x:v>0.0038</x:v>
      </x:c>
    </x:row>
    <x:row r="89">
      <x:c r="A89" s="9" t="n">
        <x:v>88</x:v>
      </x:c>
      <x:c r="B89" s="5" t="str">
        <x:v>C0127</x:v>
      </x:c>
      <x:c r="C89" s="5" t="str">
        <x:v>BluePeak Education 127</x:v>
      </x:c>
      <x:c r="D89" s="5" t="str">
        <x:v>Mid-Market</x:v>
      </x:c>
      <x:c r="E89" s="5" t="str">
        <x:v>Energy</x:v>
      </x:c>
      <x:c r="F89" s="5" t="str">
        <x:v>US East</x:v>
      </x:c>
      <x:c r="G89" s="7" t="n">
        <x:v>220713.56</x:v>
      </x:c>
      <x:c r="H89" s="7" t="n">
        <x:v>259900.91</x:v>
      </x:c>
      <x:c r="I89" s="7" t="n">
        <x:v>480614.47</x:v>
      </x:c>
      <x:c r="J89" s="8" t="n">
        <x:v>0.0035</x:v>
      </x:c>
    </x:row>
    <x:row r="90">
      <x:c r="A90" s="9" t="n">
        <x:v>89</x:v>
      </x:c>
      <x:c r="B90" s="5" t="str">
        <x:v>C0099</x:v>
      </x:c>
      <x:c r="C90" s="5" t="str">
        <x:v>Keystone Logistics 099</x:v>
      </x:c>
      <x:c r="D90" s="5" t="str">
        <x:v>SMB</x:v>
      </x:c>
      <x:c r="E90" s="5" t="str">
        <x:v>Financial Services</x:v>
      </x:c>
      <x:c r="F90" s="5" t="str">
        <x:v>US West</x:v>
      </x:c>
      <x:c r="G90" s="7" t="n">
        <x:v>53535.84</x:v>
      </x:c>
      <x:c r="H90" s="7" t="n">
        <x:v>419668.35</x:v>
      </x:c>
      <x:c r="I90" s="7" t="n">
        <x:v>473204.19</x:v>
      </x:c>
      <x:c r="J90" s="8" t="n">
        <x:v>0.0034</x:v>
      </x:c>
    </x:row>
    <x:row r="91">
      <x:c r="A91" s="9" t="n">
        <x:v>90</x:v>
      </x:c>
      <x:c r="B91" s="5" t="str">
        <x:v>C0221</x:v>
      </x:c>
      <x:c r="C91" s="5" t="str">
        <x:v>Ironwood Mobility 221</x:v>
      </x:c>
      <x:c r="D91" s="5" t="str">
        <x:v>Enterprise</x:v>
      </x:c>
      <x:c r="E91" s="5" t="str">
        <x:v>Financial Services</x:v>
      </x:c>
      <x:c r="F91" s="5" t="str">
        <x:v>US West</x:v>
      </x:c>
      <x:c r="G91" s="7" t="n">
        <x:v>469312.47</x:v>
      </x:c>
      <x:c r="H91" s="7" t="n">
        <x:v>0</x:v>
      </x:c>
      <x:c r="I91" s="7" t="n">
        <x:v>469312.47</x:v>
      </x:c>
      <x:c r="J91" s="8" t="n">
        <x:v>0.0034</x:v>
      </x:c>
    </x:row>
    <x:row r="92">
      <x:c r="A92" s="9" t="n">
        <x:v>91</x:v>
      </x:c>
      <x:c r="B92" s="5" t="str">
        <x:v>C0182</x:v>
      </x:c>
      <x:c r="C92" s="5" t="str">
        <x:v>Summit Education 182</x:v>
      </x:c>
      <x:c r="D92" s="5" t="str">
        <x:v>Mid-Market</x:v>
      </x:c>
      <x:c r="E92" s="5" t="str">
        <x:v>Energy</x:v>
      </x:c>
      <x:c r="F92" s="5" t="str">
        <x:v>US West</x:v>
      </x:c>
      <x:c r="G92" s="7" t="n">
        <x:v>129990.75</x:v>
      </x:c>
      <x:c r="H92" s="7" t="n">
        <x:v>312720.73</x:v>
      </x:c>
      <x:c r="I92" s="7" t="n">
        <x:v>442711.48</x:v>
      </x:c>
      <x:c r="J92" s="8" t="n">
        <x:v>0.0032</x:v>
      </x:c>
    </x:row>
    <x:row r="93">
      <x:c r="A93" s="9" t="n">
        <x:v>92</x:v>
      </x:c>
      <x:c r="B93" s="5" t="str">
        <x:v>C0188</x:v>
      </x:c>
      <x:c r="C93" s="5" t="str">
        <x:v>Northstar Technology 188</x:v>
      </x:c>
      <x:c r="D93" s="5" t="str">
        <x:v>Mid-Market</x:v>
      </x:c>
      <x:c r="E93" s="5" t="str">
        <x:v>Healthcare</x:v>
      </x:c>
      <x:c r="F93" s="5" t="str">
        <x:v>US West</x:v>
      </x:c>
      <x:c r="G93" s="7" t="n">
        <x:v>403106.93</x:v>
      </x:c>
      <x:c r="H93" s="7" t="n">
        <x:v>0</x:v>
      </x:c>
      <x:c r="I93" s="7" t="n">
        <x:v>403106.93</x:v>
      </x:c>
      <x:c r="J93" s="8" t="n">
        <x:v>0.0029</x:v>
      </x:c>
    </x:row>
    <x:row r="94">
      <x:c r="A94" s="9" t="n">
        <x:v>93</x:v>
      </x:c>
      <x:c r="B94" s="5" t="str">
        <x:v>C0093</x:v>
      </x:c>
      <x:c r="C94" s="5" t="str">
        <x:v>Ironwood Financial 093</x:v>
      </x:c>
      <x:c r="D94" s="5" t="str">
        <x:v>Enterprise</x:v>
      </x:c>
      <x:c r="E94" s="5" t="str">
        <x:v>Manufacturing</x:v>
      </x:c>
      <x:c r="F94" s="5" t="str">
        <x:v>Canada</x:v>
      </x:c>
      <x:c r="G94" s="7" t="n">
        <x:v>400946.27</x:v>
      </x:c>
      <x:c r="H94" s="7" t="n">
        <x:v>0</x:v>
      </x:c>
      <x:c r="I94" s="7" t="n">
        <x:v>400946.27</x:v>
      </x:c>
      <x:c r="J94" s="8" t="n">
        <x:v>0.0029</x:v>
      </x:c>
    </x:row>
    <x:row r="95">
      <x:c r="A95" s="9" t="n">
        <x:v>94</x:v>
      </x:c>
      <x:c r="B95" s="5" t="str">
        <x:v>C0049</x:v>
      </x:c>
      <x:c r="C95" s="5" t="str">
        <x:v>Cedar Financial 049</x:v>
      </x:c>
      <x:c r="D95" s="5" t="str">
        <x:v>Mid-Market</x:v>
      </x:c>
      <x:c r="E95" s="5" t="str">
        <x:v>Logistics</x:v>
      </x:c>
      <x:c r="F95" s="5" t="str">
        <x:v>Canada</x:v>
      </x:c>
      <x:c r="G95" s="7" t="n">
        <x:v>119319.46</x:v>
      </x:c>
      <x:c r="H95" s="7" t="n">
        <x:v>278516.87</x:v>
      </x:c>
      <x:c r="I95" s="7" t="n">
        <x:v>397836.33</x:v>
      </x:c>
      <x:c r="J95" s="8" t="n">
        <x:v>0.0029</x:v>
      </x:c>
    </x:row>
    <x:row r="96">
      <x:c r="A96" s="9" t="n">
        <x:v>95</x:v>
      </x:c>
      <x:c r="B96" s="5" t="str">
        <x:v>C0005</x:v>
      </x:c>
      <x:c r="C96" s="5" t="str">
        <x:v>Stonegate Logistics 005</x:v>
      </x:c>
      <x:c r="D96" s="5" t="str">
        <x:v>Mid-Market</x:v>
      </x:c>
      <x:c r="E96" s="5" t="str">
        <x:v>Technology</x:v>
      </x:c>
      <x:c r="F96" s="5" t="str">
        <x:v>Canada</x:v>
      </x:c>
      <x:c r="G96" s="7" t="n">
        <x:v>172254.24</x:v>
      </x:c>
      <x:c r="H96" s="7" t="n">
        <x:v>223192.41</x:v>
      </x:c>
      <x:c r="I96" s="7" t="n">
        <x:v>395446.65</x:v>
      </x:c>
      <x:c r="J96" s="8" t="n">
        <x:v>0.0029</x:v>
      </x:c>
    </x:row>
    <x:row r="97">
      <x:c r="A97" s="9" t="n">
        <x:v>96</x:v>
      </x:c>
      <x:c r="B97" s="5" t="str">
        <x:v>C0216</x:v>
      </x:c>
      <x:c r="C97" s="5" t="str">
        <x:v>Vantage Health 216</x:v>
      </x:c>
      <x:c r="D97" s="5" t="str">
        <x:v>Mid-Market</x:v>
      </x:c>
      <x:c r="E97" s="5" t="str">
        <x:v>Energy</x:v>
      </x:c>
      <x:c r="F97" s="5" t="str">
        <x:v>Canada</x:v>
      </x:c>
      <x:c r="G97" s="7" t="n">
        <x:v>391530.11</x:v>
      </x:c>
      <x:c r="H97" s="7" t="n">
        <x:v>0</x:v>
      </x:c>
      <x:c r="I97" s="7" t="n">
        <x:v>391530.11</x:v>
      </x:c>
      <x:c r="J97" s="8" t="n">
        <x:v>0.0029</x:v>
      </x:c>
    </x:row>
    <x:row r="98">
      <x:c r="A98" s="9" t="n">
        <x:v>97</x:v>
      </x:c>
      <x:c r="B98" s="5" t="str">
        <x:v>C0205</x:v>
      </x:c>
      <x:c r="C98" s="5" t="str">
        <x:v>Meridian Retail 205</x:v>
      </x:c>
      <x:c r="D98" s="5" t="str">
        <x:v>Mid-Market</x:v>
      </x:c>
      <x:c r="E98" s="5" t="str">
        <x:v>Manufacturing</x:v>
      </x:c>
      <x:c r="F98" s="5" t="str">
        <x:v>US East</x:v>
      </x:c>
      <x:c r="G98" s="7" t="n">
        <x:v>146934.88</x:v>
      </x:c>
      <x:c r="H98" s="7" t="n">
        <x:v>237924.48</x:v>
      </x:c>
      <x:c r="I98" s="7" t="n">
        <x:v>384859.36</x:v>
      </x:c>
      <x:c r="J98" s="8" t="n">
        <x:v>0.0028</x:v>
      </x:c>
    </x:row>
    <x:row r="99">
      <x:c r="A99" s="9" t="n">
        <x:v>98</x:v>
      </x:c>
      <x:c r="B99" s="5" t="str">
        <x:v>C0178</x:v>
      </x:c>
      <x:c r="C99" s="5" t="str">
        <x:v>Cedar Energy 178</x:v>
      </x:c>
      <x:c r="D99" s="5" t="str">
        <x:v>Mid-Market</x:v>
      </x:c>
      <x:c r="E99" s="5" t="str">
        <x:v>Business Services</x:v>
      </x:c>
      <x:c r="F99" s="5" t="str">
        <x:v>US West</x:v>
      </x:c>
      <x:c r="G99" s="7" t="n">
        <x:v>368718.35</x:v>
      </x:c>
      <x:c r="H99" s="7" t="n">
        <x:v>0</x:v>
      </x:c>
      <x:c r="I99" s="7" t="n">
        <x:v>368718.35</x:v>
      </x:c>
      <x:c r="J99" s="8" t="n">
        <x:v>0.0027</x:v>
      </x:c>
    </x:row>
    <x:row r="100">
      <x:c r="A100" s="9" t="n">
        <x:v>99</x:v>
      </x:c>
      <x:c r="B100" s="5" t="str">
        <x:v>C0280</x:v>
      </x:c>
      <x:c r="C100" s="5" t="str">
        <x:v>Keystone Education 280</x:v>
      </x:c>
      <x:c r="D100" s="5" t="str">
        <x:v>Mid-Market</x:v>
      </x:c>
      <x:c r="E100" s="5" t="str">
        <x:v>Healthcare</x:v>
      </x:c>
      <x:c r="F100" s="5" t="str">
        <x:v>Canada</x:v>
      </x:c>
      <x:c r="G100" s="7" t="n">
        <x:v>355665.37</x:v>
      </x:c>
      <x:c r="H100" s="7" t="n">
        <x:v>0</x:v>
      </x:c>
      <x:c r="I100" s="7" t="n">
        <x:v>355665.37</x:v>
      </x:c>
      <x:c r="J100" s="8" t="n">
        <x:v>0.0026</x:v>
      </x:c>
    </x:row>
    <x:row r="101">
      <x:c r="A101" s="9" t="n">
        <x:v>100</x:v>
      </x:c>
      <x:c r="B101" s="5" t="str">
        <x:v>C0243</x:v>
      </x:c>
      <x:c r="C101" s="5" t="str">
        <x:v>Meridian Health 243</x:v>
      </x:c>
      <x:c r="D101" s="5" t="str">
        <x:v>Mid-Market</x:v>
      </x:c>
      <x:c r="E101" s="5" t="str">
        <x:v>Technology</x:v>
      </x:c>
      <x:c r="F101" s="5" t="str">
        <x:v>US West</x:v>
      </x:c>
      <x:c r="G101" s="7" t="n">
        <x:v>351377.09</x:v>
      </x:c>
      <x:c r="H101" s="7" t="n">
        <x:v>0</x:v>
      </x:c>
      <x:c r="I101" s="7" t="n">
        <x:v>351377.09</x:v>
      </x:c>
      <x:c r="J101" s="8" t="n">
        <x:v>0.0026</x:v>
      </x:c>
    </x:row>
    <x:row r="102">
      <x:c r="A102" s="9" t="n">
        <x:v>101</x:v>
      </x:c>
      <x:c r="B102" s="5" t="str">
        <x:v>C0085</x:v>
      </x:c>
      <x:c r="C102" s="5" t="str">
        <x:v>Highland Health 085</x:v>
      </x:c>
      <x:c r="D102" s="5" t="str">
        <x:v>Mid-Market</x:v>
      </x:c>
      <x:c r="E102" s="5" t="str">
        <x:v>Healthcare</x:v>
      </x:c>
      <x:c r="F102" s="5" t="str">
        <x:v>US Central</x:v>
      </x:c>
      <x:c r="G102" s="7" t="n">
        <x:v>342308.08</x:v>
      </x:c>
      <x:c r="H102" s="7" t="n">
        <x:v>0</x:v>
      </x:c>
      <x:c r="I102" s="7" t="n">
        <x:v>342308.08</x:v>
      </x:c>
      <x:c r="J102" s="8" t="n">
        <x:v>0.0025</x:v>
      </x:c>
    </x:row>
    <x:row r="103">
      <x:c r="A103" s="9" t="n">
        <x:v>102</x:v>
      </x:c>
      <x:c r="B103" s="5" t="str">
        <x:v>C0171</x:v>
      </x:c>
      <x:c r="C103" s="5" t="str">
        <x:v>Stonegate Health 171</x:v>
      </x:c>
      <x:c r="D103" s="5" t="str">
        <x:v>Mid-Market</x:v>
      </x:c>
      <x:c r="E103" s="5" t="str">
        <x:v>Financial Services</x:v>
      </x:c>
      <x:c r="F103" s="5" t="str">
        <x:v>US East</x:v>
      </x:c>
      <x:c r="G103" s="7" t="n">
        <x:v>202552.02</x:v>
      </x:c>
      <x:c r="H103" s="7" t="n">
        <x:v>138917.57</x:v>
      </x:c>
      <x:c r="I103" s="7" t="n">
        <x:v>341469.59</x:v>
      </x:c>
      <x:c r="J103" s="8" t="n">
        <x:v>0.0025</x:v>
      </x:c>
    </x:row>
    <x:row r="104">
      <x:c r="A104" s="9" t="n">
        <x:v>103</x:v>
      </x:c>
      <x:c r="B104" s="5" t="str">
        <x:v>C0008</x:v>
      </x:c>
      <x:c r="C104" s="5" t="str">
        <x:v>Keystone Mobility 008</x:v>
      </x:c>
      <x:c r="D104" s="5" t="str">
        <x:v>Mid-Market</x:v>
      </x:c>
      <x:c r="E104" s="5" t="str">
        <x:v>Business Services</x:v>
      </x:c>
      <x:c r="F104" s="5" t="str">
        <x:v>US Central</x:v>
      </x:c>
      <x:c r="G104" s="7" t="n">
        <x:v>341070.11</x:v>
      </x:c>
      <x:c r="H104" s="7" t="n">
        <x:v>0</x:v>
      </x:c>
      <x:c r="I104" s="7" t="n">
        <x:v>341070.11</x:v>
      </x:c>
      <x:c r="J104" s="8" t="n">
        <x:v>0.0025</x:v>
      </x:c>
    </x:row>
    <x:row r="105">
      <x:c r="A105" s="9" t="n">
        <x:v>104</x:v>
      </x:c>
      <x:c r="B105" s="5" t="str">
        <x:v>C0214</x:v>
      </x:c>
      <x:c r="C105" s="5" t="str">
        <x:v>Harbor Energy 214</x:v>
      </x:c>
      <x:c r="D105" s="5" t="str">
        <x:v>Mid-Market</x:v>
      </x:c>
      <x:c r="E105" s="5" t="str">
        <x:v>Healthcare</x:v>
      </x:c>
      <x:c r="F105" s="5" t="str">
        <x:v>US West</x:v>
      </x:c>
      <x:c r="G105" s="7" t="n">
        <x:v>284631.8</x:v>
      </x:c>
      <x:c r="H105" s="7" t="n">
        <x:v>51324.25</x:v>
      </x:c>
      <x:c r="I105" s="7" t="n">
        <x:v>335956.05</x:v>
      </x:c>
      <x:c r="J105" s="8" t="n">
        <x:v>0.0024</x:v>
      </x:c>
    </x:row>
    <x:row r="106">
      <x:c r="A106" s="9" t="n">
        <x:v>105</x:v>
      </x:c>
      <x:c r="B106" s="5" t="str">
        <x:v>C0285</x:v>
      </x:c>
      <x:c r="C106" s="5" t="str">
        <x:v>Crescent Technology 285</x:v>
      </x:c>
      <x:c r="D106" s="5" t="str">
        <x:v>Mid-Market</x:v>
      </x:c>
      <x:c r="E106" s="5" t="str">
        <x:v>Energy</x:v>
      </x:c>
      <x:c r="F106" s="5" t="str">
        <x:v>US Central</x:v>
      </x:c>
      <x:c r="G106" s="7" t="n">
        <x:v>80989.03</x:v>
      </x:c>
      <x:c r="H106" s="7" t="n">
        <x:v>253816.48</x:v>
      </x:c>
      <x:c r="I106" s="7" t="n">
        <x:v>334805.51</x:v>
      </x:c>
      <x:c r="J106" s="8" t="n">
        <x:v>0.0024</x:v>
      </x:c>
    </x:row>
    <x:row r="107">
      <x:c r="A107" s="9" t="n">
        <x:v>106</x:v>
      </x:c>
      <x:c r="B107" s="5" t="str">
        <x:v>C0159</x:v>
      </x:c>
      <x:c r="C107" s="5" t="str">
        <x:v>Clearwater Technology 159</x:v>
      </x:c>
      <x:c r="D107" s="5" t="str">
        <x:v>Mid-Market</x:v>
      </x:c>
      <x:c r="E107" s="5" t="str">
        <x:v>Technology</x:v>
      </x:c>
      <x:c r="F107" s="5" t="str">
        <x:v>US Central</x:v>
      </x:c>
      <x:c r="G107" s="7" t="n">
        <x:v>332585.36</x:v>
      </x:c>
      <x:c r="H107" s="7" t="n">
        <x:v>0</x:v>
      </x:c>
      <x:c r="I107" s="7" t="n">
        <x:v>332585.36</x:v>
      </x:c>
      <x:c r="J107" s="8" t="n">
        <x:v>0.0024</x:v>
      </x:c>
    </x:row>
    <x:row r="108">
      <x:c r="A108" s="9" t="n">
        <x:v>107</x:v>
      </x:c>
      <x:c r="B108" s="5" t="str">
        <x:v>C0181</x:v>
      </x:c>
      <x:c r="C108" s="5" t="str">
        <x:v>Summit Financial 181</x:v>
      </x:c>
      <x:c r="D108" s="5" t="str">
        <x:v>Mid-Market</x:v>
      </x:c>
      <x:c r="E108" s="5" t="str">
        <x:v>Logistics</x:v>
      </x:c>
      <x:c r="F108" s="5" t="str">
        <x:v>US West</x:v>
      </x:c>
      <x:c r="G108" s="7" t="n">
        <x:v>119343.87</x:v>
      </x:c>
      <x:c r="H108" s="7" t="n">
        <x:v>211394.46</x:v>
      </x:c>
      <x:c r="I108" s="7" t="n">
        <x:v>330738.33</x:v>
      </x:c>
      <x:c r="J108" s="8" t="n">
        <x:v>0.0024</x:v>
      </x:c>
    </x:row>
    <x:row r="109">
      <x:c r="A109" s="9" t="n">
        <x:v>108</x:v>
      </x:c>
      <x:c r="B109" s="5" t="str">
        <x:v>C0117</x:v>
      </x:c>
      <x:c r="C109" s="5" t="str">
        <x:v>Highland Foods 117</x:v>
      </x:c>
      <x:c r="D109" s="5" t="str">
        <x:v>Mid-Market</x:v>
      </x:c>
      <x:c r="E109" s="5" t="str">
        <x:v>Technology</x:v>
      </x:c>
      <x:c r="F109" s="5" t="str">
        <x:v>US West</x:v>
      </x:c>
      <x:c r="G109" s="7" t="n">
        <x:v>204273.26</x:v>
      </x:c>
      <x:c r="H109" s="7" t="n">
        <x:v>123964.51</x:v>
      </x:c>
      <x:c r="I109" s="7" t="n">
        <x:v>328237.77</x:v>
      </x:c>
      <x:c r="J109" s="8" t="n">
        <x:v>0.0024</x:v>
      </x:c>
    </x:row>
    <x:row r="110">
      <x:c r="A110" s="9" t="n">
        <x:v>109</x:v>
      </x:c>
      <x:c r="B110" s="5" t="str">
        <x:v>C0175</x:v>
      </x:c>
      <x:c r="C110" s="5" t="str">
        <x:v>Frontier Manufacturing 175</x:v>
      </x:c>
      <x:c r="D110" s="5" t="str">
        <x:v>Mid-Market</x:v>
      </x:c>
      <x:c r="E110" s="5" t="str">
        <x:v>Manufacturing</x:v>
      </x:c>
      <x:c r="F110" s="5" t="str">
        <x:v>US West</x:v>
      </x:c>
      <x:c r="G110" s="7" t="n">
        <x:v>327180.9</x:v>
      </x:c>
      <x:c r="H110" s="7" t="n">
        <x:v>0</x:v>
      </x:c>
      <x:c r="I110" s="7" t="n">
        <x:v>327180.9</x:v>
      </x:c>
      <x:c r="J110" s="8" t="n">
        <x:v>0.0024</x:v>
      </x:c>
    </x:row>
    <x:row r="111">
      <x:c r="A111" s="9" t="n">
        <x:v>110</x:v>
      </x:c>
      <x:c r="B111" s="5" t="str">
        <x:v>C0154</x:v>
      </x:c>
      <x:c r="C111" s="5" t="str">
        <x:v>Atlas Financial 154</x:v>
      </x:c>
      <x:c r="D111" s="5" t="str">
        <x:v>Mid-Market</x:v>
      </x:c>
      <x:c r="E111" s="5" t="str">
        <x:v>Logistics</x:v>
      </x:c>
      <x:c r="F111" s="5" t="str">
        <x:v>Canada</x:v>
      </x:c>
      <x:c r="G111" s="7" t="n">
        <x:v>98188.21</x:v>
      </x:c>
      <x:c r="H111" s="7" t="n">
        <x:v>228900.46</x:v>
      </x:c>
      <x:c r="I111" s="7" t="n">
        <x:v>327088.67</x:v>
      </x:c>
      <x:c r="J111" s="8" t="n">
        <x:v>0.0024</x:v>
      </x:c>
    </x:row>
    <x:row r="112">
      <x:c r="A112" s="9" t="n">
        <x:v>111</x:v>
      </x:c>
      <x:c r="B112" s="5" t="str">
        <x:v>C0264</x:v>
      </x:c>
      <x:c r="C112" s="5" t="str">
        <x:v>Westbridge Logistics 264</x:v>
      </x:c>
      <x:c r="D112" s="5" t="str">
        <x:v>Mid-Market</x:v>
      </x:c>
      <x:c r="E112" s="5" t="str">
        <x:v>Technology</x:v>
      </x:c>
      <x:c r="F112" s="5" t="str">
        <x:v>US West</x:v>
      </x:c>
      <x:c r="G112" s="7" t="n">
        <x:v>248286.99</x:v>
      </x:c>
      <x:c r="H112" s="7" t="n">
        <x:v>74317.2</x:v>
      </x:c>
      <x:c r="I112" s="7" t="n">
        <x:v>322604.19</x:v>
      </x:c>
      <x:c r="J112" s="8" t="n">
        <x:v>0.0023</x:v>
      </x:c>
    </x:row>
    <x:row r="113">
      <x:c r="A113" s="9" t="n">
        <x:v>112</x:v>
      </x:c>
      <x:c r="B113" s="5" t="str">
        <x:v>C0207</x:v>
      </x:c>
      <x:c r="C113" s="5" t="str">
        <x:v>Vantage Technology 207</x:v>
      </x:c>
      <x:c r="D113" s="5" t="str">
        <x:v>Mid-Market</x:v>
      </x:c>
      <x:c r="E113" s="5" t="str">
        <x:v>Healthcare</x:v>
      </x:c>
      <x:c r="F113" s="5" t="str">
        <x:v>US West</x:v>
      </x:c>
      <x:c r="G113" s="7" t="n">
        <x:v>233764.27</x:v>
      </x:c>
      <x:c r="H113" s="7" t="n">
        <x:v>84343.58</x:v>
      </x:c>
      <x:c r="I113" s="7" t="n">
        <x:v>318107.85</x:v>
      </x:c>
      <x:c r="J113" s="8" t="n">
        <x:v>0.0023</x:v>
      </x:c>
    </x:row>
    <x:row r="114">
      <x:c r="A114" s="9" t="n">
        <x:v>113</x:v>
      </x:c>
      <x:c r="B114" s="5" t="str">
        <x:v>C0021</x:v>
      </x:c>
      <x:c r="C114" s="5" t="str">
        <x:v>Atlas Financial 021</x:v>
      </x:c>
      <x:c r="D114" s="5" t="str">
        <x:v>Mid-Market</x:v>
      </x:c>
      <x:c r="E114" s="5" t="str">
        <x:v>Financial Services</x:v>
      </x:c>
      <x:c r="F114" s="5" t="str">
        <x:v>Canada</x:v>
      </x:c>
      <x:c r="G114" s="7" t="n">
        <x:v>314173.32</x:v>
      </x:c>
      <x:c r="H114" s="7" t="n">
        <x:v>0</x:v>
      </x:c>
      <x:c r="I114" s="7" t="n">
        <x:v>314173.32</x:v>
      </x:c>
      <x:c r="J114" s="8" t="n">
        <x:v>0.0023</x:v>
      </x:c>
    </x:row>
    <x:row r="115">
      <x:c r="A115" s="9" t="n">
        <x:v>114</x:v>
      </x:c>
      <x:c r="B115" s="5" t="str">
        <x:v>C0231</x:v>
      </x:c>
      <x:c r="C115" s="5" t="str">
        <x:v>Highland Retail 231</x:v>
      </x:c>
      <x:c r="D115" s="5" t="str">
        <x:v>Mid-Market</x:v>
      </x:c>
      <x:c r="E115" s="5" t="str">
        <x:v>Manufacturing</x:v>
      </x:c>
      <x:c r="F115" s="5" t="str">
        <x:v>US East</x:v>
      </x:c>
      <x:c r="G115" s="7" t="n">
        <x:v>313910.42</x:v>
      </x:c>
      <x:c r="H115" s="7" t="n">
        <x:v>0</x:v>
      </x:c>
      <x:c r="I115" s="7" t="n">
        <x:v>313910.42</x:v>
      </x:c>
      <x:c r="J115" s="8" t="n">
        <x:v>0.0023</x:v>
      </x:c>
    </x:row>
    <x:row r="116">
      <x:c r="A116" s="9" t="n">
        <x:v>115</x:v>
      </x:c>
      <x:c r="B116" s="5" t="str">
        <x:v>C0158</x:v>
      </x:c>
      <x:c r="C116" s="5" t="str">
        <x:v>Northstar Education 158</x:v>
      </x:c>
      <x:c r="D116" s="5" t="str">
        <x:v>Mid-Market</x:v>
      </x:c>
      <x:c r="E116" s="5" t="str">
        <x:v>Logistics</x:v>
      </x:c>
      <x:c r="F116" s="5" t="str">
        <x:v>US West</x:v>
      </x:c>
      <x:c r="G116" s="7" t="n">
        <x:v>157804.87</x:v>
      </x:c>
      <x:c r="H116" s="7" t="n">
        <x:v>154546.98</x:v>
      </x:c>
      <x:c r="I116" s="7" t="n">
        <x:v>312351.85</x:v>
      </x:c>
      <x:c r="J116" s="8" t="n">
        <x:v>0.0023</x:v>
      </x:c>
    </x:row>
    <x:row r="117">
      <x:c r="A117" s="9" t="n">
        <x:v>116</x:v>
      </x:c>
      <x:c r="B117" s="5" t="str">
        <x:v>C0176</x:v>
      </x:c>
      <x:c r="C117" s="5" t="str">
        <x:v>Cedar Insurance 176</x:v>
      </x:c>
      <x:c r="D117" s="5" t="str">
        <x:v>Mid-Market</x:v>
      </x:c>
      <x:c r="E117" s="5" t="str">
        <x:v>Financial Services</x:v>
      </x:c>
      <x:c r="F117" s="5" t="str">
        <x:v>Canada</x:v>
      </x:c>
      <x:c r="G117" s="7" t="n">
        <x:v>306539.36</x:v>
      </x:c>
      <x:c r="H117" s="7" t="n">
        <x:v>0</x:v>
      </x:c>
      <x:c r="I117" s="7" t="n">
        <x:v>306539.36</x:v>
      </x:c>
      <x:c r="J117" s="8" t="n">
        <x:v>0.0022</x:v>
      </x:c>
    </x:row>
    <x:row r="118">
      <x:c r="A118" s="9" t="n">
        <x:v>117</x:v>
      </x:c>
      <x:c r="B118" s="5" t="str">
        <x:v>C0133</x:v>
      </x:c>
      <x:c r="C118" s="5" t="str">
        <x:v>Meridian Mobility 133</x:v>
      </x:c>
      <x:c r="D118" s="5" t="str">
        <x:v>Mid-Market</x:v>
      </x:c>
      <x:c r="E118" s="5" t="str">
        <x:v>Financial Services</x:v>
      </x:c>
      <x:c r="F118" s="5" t="str">
        <x:v>US Central</x:v>
      </x:c>
      <x:c r="G118" s="7" t="n">
        <x:v>299183.11</x:v>
      </x:c>
      <x:c r="H118" s="7" t="n">
        <x:v>0</x:v>
      </x:c>
      <x:c r="I118" s="7" t="n">
        <x:v>299183.11</x:v>
      </x:c>
      <x:c r="J118" s="8" t="n">
        <x:v>0.0022</x:v>
      </x:c>
    </x:row>
    <x:row r="119">
      <x:c r="A119" s="9" t="n">
        <x:v>118</x:v>
      </x:c>
      <x:c r="B119" s="5" t="str">
        <x:v>C0150</x:v>
      </x:c>
      <x:c r="C119" s="5" t="str">
        <x:v>Lakeview Financial 150</x:v>
      </x:c>
      <x:c r="D119" s="5" t="str">
        <x:v>Mid-Market</x:v>
      </x:c>
      <x:c r="E119" s="5" t="str">
        <x:v>Business Services</x:v>
      </x:c>
      <x:c r="F119" s="5" t="str">
        <x:v>US Central</x:v>
      </x:c>
      <x:c r="G119" s="7" t="n">
        <x:v>294637.05</x:v>
      </x:c>
      <x:c r="H119" s="7" t="n">
        <x:v>0</x:v>
      </x:c>
      <x:c r="I119" s="7" t="n">
        <x:v>294637.05</x:v>
      </x:c>
      <x:c r="J119" s="8" t="n">
        <x:v>0.0021</x:v>
      </x:c>
    </x:row>
    <x:row r="120">
      <x:c r="A120" s="9" t="n">
        <x:v>119</x:v>
      </x:c>
      <x:c r="B120" s="5" t="str">
        <x:v>C0007</x:v>
      </x:c>
      <x:c r="C120" s="5" t="str">
        <x:v>Keystone Retail 007</x:v>
      </x:c>
      <x:c r="D120" s="5" t="str">
        <x:v>Mid-Market</x:v>
      </x:c>
      <x:c r="E120" s="5" t="str">
        <x:v>Healthcare</x:v>
      </x:c>
      <x:c r="F120" s="5" t="str">
        <x:v>US West</x:v>
      </x:c>
      <x:c r="G120" s="7" t="n">
        <x:v>127391.52</x:v>
      </x:c>
      <x:c r="H120" s="7" t="n">
        <x:v>162319.53</x:v>
      </x:c>
      <x:c r="I120" s="7" t="n">
        <x:v>289711.05</x:v>
      </x:c>
      <x:c r="J120" s="8" t="n">
        <x:v>0.0021</x:v>
      </x:c>
    </x:row>
    <x:row r="121">
      <x:c r="A121" s="9" t="n">
        <x:v>120</x:v>
      </x:c>
      <x:c r="B121" s="5" t="str">
        <x:v>C0186</x:v>
      </x:c>
      <x:c r="C121" s="5" t="str">
        <x:v>Atlas Technology 186</x:v>
      </x:c>
      <x:c r="D121" s="5" t="str">
        <x:v>Enterprise</x:v>
      </x:c>
      <x:c r="E121" s="5" t="str">
        <x:v>Business Services</x:v>
      </x:c>
      <x:c r="F121" s="5" t="str">
        <x:v>US East</x:v>
      </x:c>
      <x:c r="G121" s="7" t="n">
        <x:v>285939.5</x:v>
      </x:c>
      <x:c r="H121" s="7" t="n">
        <x:v>0</x:v>
      </x:c>
      <x:c r="I121" s="7" t="n">
        <x:v>285939.5</x:v>
      </x:c>
      <x:c r="J121" s="8" t="n">
        <x:v>0.0021</x:v>
      </x:c>
    </x:row>
    <x:row r="122">
      <x:c r="A122" s="9" t="n">
        <x:v>121</x:v>
      </x:c>
      <x:c r="B122" s="5" t="str">
        <x:v>C0193</x:v>
      </x:c>
      <x:c r="C122" s="5" t="str">
        <x:v>Atlas Media 193</x:v>
      </x:c>
      <x:c r="D122" s="5" t="str">
        <x:v>Mid-Market</x:v>
      </x:c>
      <x:c r="E122" s="5" t="str">
        <x:v>Manufacturing</x:v>
      </x:c>
      <x:c r="F122" s="5" t="str">
        <x:v>US East</x:v>
      </x:c>
      <x:c r="G122" s="7" t="n">
        <x:v>129906.04</x:v>
      </x:c>
      <x:c r="H122" s="7" t="n">
        <x:v>154533.41</x:v>
      </x:c>
      <x:c r="I122" s="7" t="n">
        <x:v>284439.45</x:v>
      </x:c>
      <x:c r="J122" s="8" t="n">
        <x:v>0.0021</x:v>
      </x:c>
    </x:row>
    <x:row r="123">
      <x:c r="A123" s="9" t="n">
        <x:v>122</x:v>
      </x:c>
      <x:c r="B123" s="5" t="str">
        <x:v>C0284</x:v>
      </x:c>
      <x:c r="C123" s="5" t="str">
        <x:v>Clearwater Foods 284</x:v>
      </x:c>
      <x:c r="D123" s="5" t="str">
        <x:v>Mid-Market</x:v>
      </x:c>
      <x:c r="E123" s="5" t="str">
        <x:v>Logistics</x:v>
      </x:c>
      <x:c r="F123" s="5" t="str">
        <x:v>US West</x:v>
      </x:c>
      <x:c r="G123" s="7" t="n">
        <x:v>284148.27</x:v>
      </x:c>
      <x:c r="H123" s="7" t="n">
        <x:v>0</x:v>
      </x:c>
      <x:c r="I123" s="7" t="n">
        <x:v>284148.27</x:v>
      </x:c>
      <x:c r="J123" s="8" t="n">
        <x:v>0.0021</x:v>
      </x:c>
    </x:row>
    <x:row r="124">
      <x:c r="A124" s="9" t="n">
        <x:v>123</x:v>
      </x:c>
      <x:c r="B124" s="5" t="str">
        <x:v>C0162</x:v>
      </x:c>
      <x:c r="C124" s="5" t="str">
        <x:v>Beacon Logistics 162</x:v>
      </x:c>
      <x:c r="D124" s="5" t="str">
        <x:v>Mid-Market</x:v>
      </x:c>
      <x:c r="E124" s="5" t="str">
        <x:v>Logistics</x:v>
      </x:c>
      <x:c r="F124" s="5" t="str">
        <x:v>US West</x:v>
      </x:c>
      <x:c r="G124" s="7" t="n">
        <x:v>280379.05</x:v>
      </x:c>
      <x:c r="H124" s="7" t="n">
        <x:v>0</x:v>
      </x:c>
      <x:c r="I124" s="7" t="n">
        <x:v>280379.05</x:v>
      </x:c>
      <x:c r="J124" s="8" t="n">
        <x:v>0.002</x:v>
      </x:c>
    </x:row>
    <x:row r="125">
      <x:c r="A125" s="9" t="n">
        <x:v>124</x:v>
      </x:c>
      <x:c r="B125" s="5" t="str">
        <x:v>C0297</x:v>
      </x:c>
      <x:c r="C125" s="5" t="str">
        <x:v>Frontier Health 297</x:v>
      </x:c>
      <x:c r="D125" s="5" t="str">
        <x:v>Mid-Market</x:v>
      </x:c>
      <x:c r="E125" s="5" t="str">
        <x:v>Technology</x:v>
      </x:c>
      <x:c r="F125" s="5" t="str">
        <x:v>US East</x:v>
      </x:c>
      <x:c r="G125" s="7" t="n">
        <x:v>233931.49</x:v>
      </x:c>
      <x:c r="H125" s="7" t="n">
        <x:v>45527.06</x:v>
      </x:c>
      <x:c r="I125" s="7" t="n">
        <x:v>279458.55</x:v>
      </x:c>
      <x:c r="J125" s="8" t="n">
        <x:v>0.002</x:v>
      </x:c>
    </x:row>
    <x:row r="126">
      <x:c r="A126" s="9" t="n">
        <x:v>125</x:v>
      </x:c>
      <x:c r="B126" s="5" t="str">
        <x:v>C0063</x:v>
      </x:c>
      <x:c r="C126" s="5" t="str">
        <x:v>Northstar Health 063</x:v>
      </x:c>
      <x:c r="D126" s="5" t="str">
        <x:v>Mid-Market</x:v>
      </x:c>
      <x:c r="E126" s="5" t="str">
        <x:v>Retail and E-commerce</x:v>
      </x:c>
      <x:c r="F126" s="5" t="str">
        <x:v>US Central</x:v>
      </x:c>
      <x:c r="G126" s="7" t="n">
        <x:v>278358.95</x:v>
      </x:c>
      <x:c r="H126" s="7" t="n">
        <x:v>0</x:v>
      </x:c>
      <x:c r="I126" s="7" t="n">
        <x:v>278358.95</x:v>
      </x:c>
      <x:c r="J126" s="8" t="n">
        <x:v>0.002</x:v>
      </x:c>
    </x:row>
    <x:row r="127">
      <x:c r="A127" s="9" t="n">
        <x:v>126</x:v>
      </x:c>
      <x:c r="B127" s="5" t="str">
        <x:v>C0140</x:v>
      </x:c>
      <x:c r="C127" s="5" t="str">
        <x:v>Stonegate Insurance 140</x:v>
      </x:c>
      <x:c r="D127" s="5" t="str">
        <x:v>Mid-Market</x:v>
      </x:c>
      <x:c r="E127" s="5" t="str">
        <x:v>Healthcare</x:v>
      </x:c>
      <x:c r="F127" s="5" t="str">
        <x:v>US West</x:v>
      </x:c>
      <x:c r="G127" s="7" t="n">
        <x:v>276936.67</x:v>
      </x:c>
      <x:c r="H127" s="7" t="n">
        <x:v>0</x:v>
      </x:c>
      <x:c r="I127" s="7" t="n">
        <x:v>276936.67</x:v>
      </x:c>
      <x:c r="J127" s="8" t="n">
        <x:v>0.002</x:v>
      </x:c>
    </x:row>
    <x:row r="128">
      <x:c r="A128" s="9" t="n">
        <x:v>127</x:v>
      </x:c>
      <x:c r="B128" s="5" t="str">
        <x:v>C0020</x:v>
      </x:c>
      <x:c r="C128" s="5" t="str">
        <x:v>BrightPath Foods 020</x:v>
      </x:c>
      <x:c r="D128" s="5" t="str">
        <x:v>Mid-Market</x:v>
      </x:c>
      <x:c r="E128" s="5" t="str">
        <x:v>Energy</x:v>
      </x:c>
      <x:c r="F128" s="5" t="str">
        <x:v>US West</x:v>
      </x:c>
      <x:c r="G128" s="7" t="n">
        <x:v>145425.72</x:v>
      </x:c>
      <x:c r="H128" s="7" t="n">
        <x:v>130676.69</x:v>
      </x:c>
      <x:c r="I128" s="7" t="n">
        <x:v>276102.41</x:v>
      </x:c>
      <x:c r="J128" s="8" t="n">
        <x:v>0.002</x:v>
      </x:c>
    </x:row>
    <x:row r="129">
      <x:c r="A129" s="9" t="n">
        <x:v>128</x:v>
      </x:c>
      <x:c r="B129" s="5" t="str">
        <x:v>C0045</x:v>
      </x:c>
      <x:c r="C129" s="5" t="str">
        <x:v>Redwood Insurance 045</x:v>
      </x:c>
      <x:c r="D129" s="5" t="str">
        <x:v>Mid-Market</x:v>
      </x:c>
      <x:c r="E129" s="5" t="str">
        <x:v>Technology</x:v>
      </x:c>
      <x:c r="F129" s="5" t="str">
        <x:v>US West</x:v>
      </x:c>
      <x:c r="G129" s="7" t="n">
        <x:v>221500</x:v>
      </x:c>
      <x:c r="H129" s="7" t="n">
        <x:v>53748.42</x:v>
      </x:c>
      <x:c r="I129" s="7" t="n">
        <x:v>275248.42</x:v>
      </x:c>
      <x:c r="J129" s="8" t="n">
        <x:v>0.002</x:v>
      </x:c>
    </x:row>
    <x:row r="130">
      <x:c r="A130" s="9" t="n">
        <x:v>129</x:v>
      </x:c>
      <x:c r="B130" s="5" t="str">
        <x:v>C0157</x:v>
      </x:c>
      <x:c r="C130" s="5" t="str">
        <x:v>Clearwater Health 157</x:v>
      </x:c>
      <x:c r="D130" s="5" t="str">
        <x:v>Mid-Market</x:v>
      </x:c>
      <x:c r="E130" s="5" t="str">
        <x:v>Retail and E-commerce</x:v>
      </x:c>
      <x:c r="F130" s="5" t="str">
        <x:v>Canada</x:v>
      </x:c>
      <x:c r="G130" s="7" t="n">
        <x:v>272397.91</x:v>
      </x:c>
      <x:c r="H130" s="7" t="n">
        <x:v>0</x:v>
      </x:c>
      <x:c r="I130" s="7" t="n">
        <x:v>272397.91</x:v>
      </x:c>
      <x:c r="J130" s="8" t="n">
        <x:v>0.002</x:v>
      </x:c>
    </x:row>
    <x:row r="131">
      <x:c r="A131" s="9" t="n">
        <x:v>130</x:v>
      </x:c>
      <x:c r="B131" s="5" t="str">
        <x:v>C0228</x:v>
      </x:c>
      <x:c r="C131" s="5" t="str">
        <x:v>Silverline Mobility 228</x:v>
      </x:c>
      <x:c r="D131" s="5" t="str">
        <x:v>Mid-Market</x:v>
      </x:c>
      <x:c r="E131" s="5" t="str">
        <x:v>Logistics</x:v>
      </x:c>
      <x:c r="F131" s="5" t="str">
        <x:v>US West</x:v>
      </x:c>
      <x:c r="G131" s="7" t="n">
        <x:v>205747.19</x:v>
      </x:c>
      <x:c r="H131" s="7" t="n">
        <x:v>64352.43</x:v>
      </x:c>
      <x:c r="I131" s="7" t="n">
        <x:v>270099.62</x:v>
      </x:c>
      <x:c r="J131" s="8" t="n">
        <x:v>0.002</x:v>
      </x:c>
    </x:row>
    <x:row r="132">
      <x:c r="A132" s="9" t="n">
        <x:v>131</x:v>
      </x:c>
      <x:c r="B132" s="5" t="str">
        <x:v>C0167</x:v>
      </x:c>
      <x:c r="C132" s="5" t="str">
        <x:v>Clearwater Education 167</x:v>
      </x:c>
      <x:c r="D132" s="5" t="str">
        <x:v>Enterprise</x:v>
      </x:c>
      <x:c r="E132" s="5" t="str">
        <x:v>Technology</x:v>
      </x:c>
      <x:c r="F132" s="5" t="str">
        <x:v>US Central</x:v>
      </x:c>
      <x:c r="G132" s="7" t="n">
        <x:v>270071.9</x:v>
      </x:c>
      <x:c r="H132" s="7" t="n">
        <x:v>0</x:v>
      </x:c>
      <x:c r="I132" s="7" t="n">
        <x:v>270071.9</x:v>
      </x:c>
      <x:c r="J132" s="8" t="n">
        <x:v>0.002</x:v>
      </x:c>
    </x:row>
    <x:row r="133">
      <x:c r="A133" s="9" t="n">
        <x:v>132</x:v>
      </x:c>
      <x:c r="B133" s="5" t="str">
        <x:v>C0122</x:v>
      </x:c>
      <x:c r="C133" s="5" t="str">
        <x:v>Atlas Foods 122</x:v>
      </x:c>
      <x:c r="D133" s="5" t="str">
        <x:v>Mid-Market</x:v>
      </x:c>
      <x:c r="E133" s="5" t="str">
        <x:v>Technology</x:v>
      </x:c>
      <x:c r="F133" s="5" t="str">
        <x:v>US West</x:v>
      </x:c>
      <x:c r="G133" s="7" t="n">
        <x:v>206032.61</x:v>
      </x:c>
      <x:c r="H133" s="7" t="n">
        <x:v>62865.24</x:v>
      </x:c>
      <x:c r="I133" s="7" t="n">
        <x:v>268897.85</x:v>
      </x:c>
      <x:c r="J133" s="8" t="n">
        <x:v>0.002</x:v>
      </x:c>
    </x:row>
    <x:row r="134">
      <x:c r="A134" s="9" t="n">
        <x:v>133</x:v>
      </x:c>
      <x:c r="B134" s="5" t="str">
        <x:v>C0242</x:v>
      </x:c>
      <x:c r="C134" s="5" t="str">
        <x:v>Crescent Financial 242</x:v>
      </x:c>
      <x:c r="D134" s="5" t="str">
        <x:v>Mid-Market</x:v>
      </x:c>
      <x:c r="E134" s="5" t="str">
        <x:v>Manufacturing</x:v>
      </x:c>
      <x:c r="F134" s="5" t="str">
        <x:v>US Central</x:v>
      </x:c>
      <x:c r="G134" s="7" t="n">
        <x:v>267400.2</x:v>
      </x:c>
      <x:c r="H134" s="7" t="n">
        <x:v>0</x:v>
      </x:c>
      <x:c r="I134" s="7" t="n">
        <x:v>267400.2</x:v>
      </x:c>
      <x:c r="J134" s="8" t="n">
        <x:v>0.0019</x:v>
      </x:c>
    </x:row>
    <x:row r="135">
      <x:c r="A135" s="9" t="n">
        <x:v>134</x:v>
      </x:c>
      <x:c r="B135" s="5" t="str">
        <x:v>C0246</x:v>
      </x:c>
      <x:c r="C135" s="5" t="str">
        <x:v>BluePeak Mobility 246</x:v>
      </x:c>
      <x:c r="D135" s="5" t="str">
        <x:v>SMB</x:v>
      </x:c>
      <x:c r="E135" s="5" t="str">
        <x:v>Manufacturing</x:v>
      </x:c>
      <x:c r="F135" s="5" t="str">
        <x:v>US East</x:v>
      </x:c>
      <x:c r="G135" s="7" t="n">
        <x:v>47461.12</x:v>
      </x:c>
      <x:c r="H135" s="7" t="n">
        <x:v>218141.39</x:v>
      </x:c>
      <x:c r="I135" s="7" t="n">
        <x:v>265602.51</x:v>
      </x:c>
      <x:c r="J135" s="8" t="n">
        <x:v>0.0019</x:v>
      </x:c>
    </x:row>
    <x:row r="136">
      <x:c r="A136" s="9" t="n">
        <x:v>135</x:v>
      </x:c>
      <x:c r="B136" s="5" t="str">
        <x:v>C0164</x:v>
      </x:c>
      <x:c r="C136" s="5" t="str">
        <x:v>Meridian Foods 164</x:v>
      </x:c>
      <x:c r="D136" s="5" t="str">
        <x:v>Mid-Market</x:v>
      </x:c>
      <x:c r="E136" s="5" t="str">
        <x:v>Manufacturing</x:v>
      </x:c>
      <x:c r="F136" s="5" t="str">
        <x:v>US East</x:v>
      </x:c>
      <x:c r="G136" s="7" t="n">
        <x:v>260459.37</x:v>
      </x:c>
      <x:c r="H136" s="7" t="n">
        <x:v>0</x:v>
      </x:c>
      <x:c r="I136" s="7" t="n">
        <x:v>260459.37</x:v>
      </x:c>
      <x:c r="J136" s="8" t="n">
        <x:v>0.0019</x:v>
      </x:c>
    </x:row>
    <x:row r="137">
      <x:c r="A137" s="9" t="n">
        <x:v>136</x:v>
      </x:c>
      <x:c r="B137" s="5" t="str">
        <x:v>C0057</x:v>
      </x:c>
      <x:c r="C137" s="5" t="str">
        <x:v>Meridian Technology 057</x:v>
      </x:c>
      <x:c r="D137" s="5" t="str">
        <x:v>Mid-Market</x:v>
      </x:c>
      <x:c r="E137" s="5" t="str">
        <x:v>Retail and E-commerce</x:v>
      </x:c>
      <x:c r="F137" s="5" t="str">
        <x:v>US West</x:v>
      </x:c>
      <x:c r="G137" s="7" t="n">
        <x:v>137312.17</x:v>
      </x:c>
      <x:c r="H137" s="7" t="n">
        <x:v>118806.33</x:v>
      </x:c>
      <x:c r="I137" s="7" t="n">
        <x:v>256118.5</x:v>
      </x:c>
      <x:c r="J137" s="8" t="n">
        <x:v>0.0019</x:v>
      </x:c>
    </x:row>
    <x:row r="138">
      <x:c r="A138" s="9" t="n">
        <x:v>137</x:v>
      </x:c>
      <x:c r="B138" s="5" t="str">
        <x:v>C0241</x:v>
      </x:c>
      <x:c r="C138" s="5" t="str">
        <x:v>Pioneer Media 241</x:v>
      </x:c>
      <x:c r="D138" s="5" t="str">
        <x:v>Mid-Market</x:v>
      </x:c>
      <x:c r="E138" s="5" t="str">
        <x:v>Energy</x:v>
      </x:c>
      <x:c r="F138" s="5" t="str">
        <x:v>US West</x:v>
      </x:c>
      <x:c r="G138" s="7" t="n">
        <x:v>132694.33</x:v>
      </x:c>
      <x:c r="H138" s="7" t="n">
        <x:v>122978.03</x:v>
      </x:c>
      <x:c r="I138" s="7" t="n">
        <x:v>255672.36</x:v>
      </x:c>
      <x:c r="J138" s="8" t="n">
        <x:v>0.0019</x:v>
      </x:c>
    </x:row>
    <x:row r="139">
      <x:c r="A139" s="9" t="n">
        <x:v>138</x:v>
      </x:c>
      <x:c r="B139" s="5" t="str">
        <x:v>C0032</x:v>
      </x:c>
      <x:c r="C139" s="5" t="str">
        <x:v>Redwood Insurance 032</x:v>
      </x:c>
      <x:c r="D139" s="5" t="str">
        <x:v>Mid-Market</x:v>
      </x:c>
      <x:c r="E139" s="5" t="str">
        <x:v>Technology</x:v>
      </x:c>
      <x:c r="F139" s="5" t="str">
        <x:v>Canada</x:v>
      </x:c>
      <x:c r="G139" s="7" t="n">
        <x:v>252388.32</x:v>
      </x:c>
      <x:c r="H139" s="7" t="n">
        <x:v>0</x:v>
      </x:c>
      <x:c r="I139" s="7" t="n">
        <x:v>252388.32</x:v>
      </x:c>
      <x:c r="J139" s="8" t="n">
        <x:v>0.0018</x:v>
      </x:c>
    </x:row>
    <x:row r="140">
      <x:c r="A140" s="9" t="n">
        <x:v>139</x:v>
      </x:c>
      <x:c r="B140" s="5" t="str">
        <x:v>C0053</x:v>
      </x:c>
      <x:c r="C140" s="5" t="str">
        <x:v>Cedar Manufacturing 053</x:v>
      </x:c>
      <x:c r="D140" s="5" t="str">
        <x:v>Mid-Market</x:v>
      </x:c>
      <x:c r="E140" s="5" t="str">
        <x:v>Manufacturing</x:v>
      </x:c>
      <x:c r="F140" s="5" t="str">
        <x:v>US West</x:v>
      </x:c>
      <x:c r="G140" s="7" t="n">
        <x:v>250951.25</x:v>
      </x:c>
      <x:c r="H140" s="7" t="n">
        <x:v>0</x:v>
      </x:c>
      <x:c r="I140" s="7" t="n">
        <x:v>250951.25</x:v>
      </x:c>
      <x:c r="J140" s="8" t="n">
        <x:v>0.0018</x:v>
      </x:c>
    </x:row>
    <x:row r="141">
      <x:c r="A141" s="9" t="n">
        <x:v>140</x:v>
      </x:c>
      <x:c r="B141" s="5" t="str">
        <x:v>C0097</x:v>
      </x:c>
      <x:c r="C141" s="5" t="str">
        <x:v>Westbridge Insurance 097</x:v>
      </x:c>
      <x:c r="D141" s="5" t="str">
        <x:v>Mid-Market</x:v>
      </x:c>
      <x:c r="E141" s="5" t="str">
        <x:v>Financial Services</x:v>
      </x:c>
      <x:c r="F141" s="5" t="str">
        <x:v>US East</x:v>
      </x:c>
      <x:c r="G141" s="7" t="n">
        <x:v>235569.49</x:v>
      </x:c>
      <x:c r="H141" s="7" t="n">
        <x:v>0</x:v>
      </x:c>
      <x:c r="I141" s="7" t="n">
        <x:v>235569.49</x:v>
      </x:c>
      <x:c r="J141" s="8" t="n">
        <x:v>0.0017</x:v>
      </x:c>
    </x:row>
    <x:row r="142">
      <x:c r="A142" s="9" t="n">
        <x:v>141</x:v>
      </x:c>
      <x:c r="B142" s="5" t="str">
        <x:v>C0095</x:v>
      </x:c>
      <x:c r="C142" s="5" t="str">
        <x:v>BrightPath Technology 095</x:v>
      </x:c>
      <x:c r="D142" s="5" t="str">
        <x:v>Mid-Market</x:v>
      </x:c>
      <x:c r="E142" s="5" t="str">
        <x:v>Healthcare</x:v>
      </x:c>
      <x:c r="F142" s="5" t="str">
        <x:v>US East</x:v>
      </x:c>
      <x:c r="G142" s="7" t="n">
        <x:v>205100.49</x:v>
      </x:c>
      <x:c r="H142" s="7" t="n">
        <x:v>28732.23</x:v>
      </x:c>
      <x:c r="I142" s="7" t="n">
        <x:v>233832.72</x:v>
      </x:c>
      <x:c r="J142" s="8" t="n">
        <x:v>0.0017</x:v>
      </x:c>
    </x:row>
    <x:row r="143">
      <x:c r="A143" s="9" t="n">
        <x:v>142</x:v>
      </x:c>
      <x:c r="B143" s="5" t="str">
        <x:v>C0248</x:v>
      </x:c>
      <x:c r="C143" s="5" t="str">
        <x:v>Westbridge Mobility 248</x:v>
      </x:c>
      <x:c r="D143" s="5" t="str">
        <x:v>Mid-Market</x:v>
      </x:c>
      <x:c r="E143" s="5" t="str">
        <x:v>Manufacturing</x:v>
      </x:c>
      <x:c r="F143" s="5" t="str">
        <x:v>US Central</x:v>
      </x:c>
      <x:c r="G143" s="7" t="n">
        <x:v>229530.19</x:v>
      </x:c>
      <x:c r="H143" s="7" t="n">
        <x:v>0</x:v>
      </x:c>
      <x:c r="I143" s="7" t="n">
        <x:v>229530.19</x:v>
      </x:c>
      <x:c r="J143" s="8" t="n">
        <x:v>0.0017</x:v>
      </x:c>
    </x:row>
    <x:row r="144">
      <x:c r="A144" s="9" t="n">
        <x:v>143</x:v>
      </x:c>
      <x:c r="B144" s="5" t="str">
        <x:v>C0047</x:v>
      </x:c>
      <x:c r="C144" s="5" t="str">
        <x:v>Northstar Retail 047</x:v>
      </x:c>
      <x:c r="D144" s="5" t="str">
        <x:v>Mid-Market</x:v>
      </x:c>
      <x:c r="E144" s="5" t="str">
        <x:v>Financial Services</x:v>
      </x:c>
      <x:c r="F144" s="5" t="str">
        <x:v>US Central</x:v>
      </x:c>
      <x:c r="G144" s="7" t="n">
        <x:v>224612.41</x:v>
      </x:c>
      <x:c r="H144" s="7" t="n">
        <x:v>0</x:v>
      </x:c>
      <x:c r="I144" s="7" t="n">
        <x:v>224612.41</x:v>
      </x:c>
      <x:c r="J144" s="8" t="n">
        <x:v>0.0016</x:v>
      </x:c>
    </x:row>
    <x:row r="145">
      <x:c r="A145" s="9" t="n">
        <x:v>144</x:v>
      </x:c>
      <x:c r="B145" s="5" t="str">
        <x:v>C0068</x:v>
      </x:c>
      <x:c r="C145" s="5" t="str">
        <x:v>Westbridge Logistics 068</x:v>
      </x:c>
      <x:c r="D145" s="5" t="str">
        <x:v>Mid-Market</x:v>
      </x:c>
      <x:c r="E145" s="5" t="str">
        <x:v>Manufacturing</x:v>
      </x:c>
      <x:c r="F145" s="5" t="str">
        <x:v>US East</x:v>
      </x:c>
      <x:c r="G145" s="7" t="n">
        <x:v>222490.5</x:v>
      </x:c>
      <x:c r="H145" s="7" t="n">
        <x:v>0</x:v>
      </x:c>
      <x:c r="I145" s="7" t="n">
        <x:v>222490.5</x:v>
      </x:c>
      <x:c r="J145" s="8" t="n">
        <x:v>0.0016</x:v>
      </x:c>
    </x:row>
    <x:row r="146">
      <x:c r="A146" s="9" t="n">
        <x:v>145</x:v>
      </x:c>
      <x:c r="B146" s="5" t="str">
        <x:v>C0018</x:v>
      </x:c>
      <x:c r="C146" s="5" t="str">
        <x:v>Cedar Insurance 018</x:v>
      </x:c>
      <x:c r="D146" s="5" t="str">
        <x:v>SMB</x:v>
      </x:c>
      <x:c r="E146" s="5" t="str">
        <x:v>Energy</x:v>
      </x:c>
      <x:c r="F146" s="5" t="str">
        <x:v>US West</x:v>
      </x:c>
      <x:c r="G146" s="7" t="n">
        <x:v>37328.26</x:v>
      </x:c>
      <x:c r="H146" s="7" t="n">
        <x:v>179889.16</x:v>
      </x:c>
      <x:c r="I146" s="7" t="n">
        <x:v>217217.42</x:v>
      </x:c>
      <x:c r="J146" s="8" t="n">
        <x:v>0.0016</x:v>
      </x:c>
    </x:row>
    <x:row r="147">
      <x:c r="A147" s="9" t="n">
        <x:v>146</x:v>
      </x:c>
      <x:c r="B147" s="5" t="str">
        <x:v>C0259</x:v>
      </x:c>
      <x:c r="C147" s="5" t="str">
        <x:v>Clearwater Retail 259</x:v>
      </x:c>
      <x:c r="D147" s="5" t="str">
        <x:v>Mid-Market</x:v>
      </x:c>
      <x:c r="E147" s="5" t="str">
        <x:v>Financial Services</x:v>
      </x:c>
      <x:c r="F147" s="5" t="str">
        <x:v>US East</x:v>
      </x:c>
      <x:c r="G147" s="7" t="n">
        <x:v>216404.85</x:v>
      </x:c>
      <x:c r="H147" s="7" t="n">
        <x:v>0</x:v>
      </x:c>
      <x:c r="I147" s="7" t="n">
        <x:v>216404.85</x:v>
      </x:c>
      <x:c r="J147" s="8" t="n">
        <x:v>0.0016</x:v>
      </x:c>
    </x:row>
    <x:row r="148">
      <x:c r="A148" s="9" t="n">
        <x:v>147</x:v>
      </x:c>
      <x:c r="B148" s="5" t="str">
        <x:v>C0152</x:v>
      </x:c>
      <x:c r="C148" s="5" t="str">
        <x:v>Meridian Logistics 152</x:v>
      </x:c>
      <x:c r="D148" s="5" t="str">
        <x:v>Mid-Market</x:v>
      </x:c>
      <x:c r="E148" s="5" t="str">
        <x:v>Retail and E-commerce</x:v>
      </x:c>
      <x:c r="F148" s="5" t="str">
        <x:v>US West</x:v>
      </x:c>
      <x:c r="G148" s="7" t="n">
        <x:v>155092.06</x:v>
      </x:c>
      <x:c r="H148" s="7" t="n">
        <x:v>58820.88</x:v>
      </x:c>
      <x:c r="I148" s="7" t="n">
        <x:v>213912.94</x:v>
      </x:c>
      <x:c r="J148" s="8" t="n">
        <x:v>0.0016</x:v>
      </x:c>
    </x:row>
    <x:row r="149">
      <x:c r="A149" s="9" t="n">
        <x:v>148</x:v>
      </x:c>
      <x:c r="B149" s="5" t="str">
        <x:v>C0060</x:v>
      </x:c>
      <x:c r="C149" s="5" t="str">
        <x:v>Oakridge Energy 060</x:v>
      </x:c>
      <x:c r="D149" s="5" t="str">
        <x:v>Mid-Market</x:v>
      </x:c>
      <x:c r="E149" s="5" t="str">
        <x:v>Energy</x:v>
      </x:c>
      <x:c r="F149" s="5" t="str">
        <x:v>US West</x:v>
      </x:c>
      <x:c r="G149" s="7" t="n">
        <x:v>213810.01</x:v>
      </x:c>
      <x:c r="H149" s="7" t="n">
        <x:v>0</x:v>
      </x:c>
      <x:c r="I149" s="7" t="n">
        <x:v>213810.01</x:v>
      </x:c>
      <x:c r="J149" s="8" t="n">
        <x:v>0.0016</x:v>
      </x:c>
    </x:row>
    <x:row r="150">
      <x:c r="A150" s="9" t="n">
        <x:v>149</x:v>
      </x:c>
      <x:c r="B150" s="5" t="str">
        <x:v>C0172</x:v>
      </x:c>
      <x:c r="C150" s="5" t="str">
        <x:v>Stonegate Manufacturing 172</x:v>
      </x:c>
      <x:c r="D150" s="5" t="str">
        <x:v>Mid-Market</x:v>
      </x:c>
      <x:c r="E150" s="5" t="str">
        <x:v>Business Services</x:v>
      </x:c>
      <x:c r="F150" s="5" t="str">
        <x:v>Canada</x:v>
      </x:c>
      <x:c r="G150" s="7" t="n">
        <x:v>213323.64</x:v>
      </x:c>
      <x:c r="H150" s="7" t="n">
        <x:v>0</x:v>
      </x:c>
      <x:c r="I150" s="7" t="n">
        <x:v>213323.64</x:v>
      </x:c>
      <x:c r="J150" s="8" t="n">
        <x:v>0.0016</x:v>
      </x:c>
    </x:row>
    <x:row r="151">
      <x:c r="A151" s="9" t="n">
        <x:v>150</x:v>
      </x:c>
      <x:c r="B151" s="5" t="str">
        <x:v>C0160</x:v>
      </x:c>
      <x:c r="C151" s="5" t="str">
        <x:v>Lakeview Logistics 160</x:v>
      </x:c>
      <x:c r="D151" s="5" t="str">
        <x:v>Mid-Market</x:v>
      </x:c>
      <x:c r="E151" s="5" t="str">
        <x:v>Financial Services</x:v>
      </x:c>
      <x:c r="F151" s="5" t="str">
        <x:v>US West</x:v>
      </x:c>
      <x:c r="G151" s="7" t="n">
        <x:v>210361.62</x:v>
      </x:c>
      <x:c r="H151" s="7" t="n">
        <x:v>0</x:v>
      </x:c>
      <x:c r="I151" s="7" t="n">
        <x:v>210361.62</x:v>
      </x:c>
      <x:c r="J151" s="8" t="n">
        <x:v>0.0015</x:v>
      </x:c>
    </x:row>
    <x:row r="152">
      <x:c r="A152" s="9" t="n">
        <x:v>151</x:v>
      </x:c>
      <x:c r="B152" s="5" t="str">
        <x:v>C0168</x:v>
      </x:c>
      <x:c r="C152" s="5" t="str">
        <x:v>Crescent Mobility 168</x:v>
      </x:c>
      <x:c r="D152" s="5" t="str">
        <x:v>Mid-Market</x:v>
      </x:c>
      <x:c r="E152" s="5" t="str">
        <x:v>Energy</x:v>
      </x:c>
      <x:c r="F152" s="5" t="str">
        <x:v>US Central</x:v>
      </x:c>
      <x:c r="G152" s="7" t="n">
        <x:v>209635.55</x:v>
      </x:c>
      <x:c r="H152" s="7" t="n">
        <x:v>0</x:v>
      </x:c>
      <x:c r="I152" s="7" t="n">
        <x:v>209635.55</x:v>
      </x:c>
      <x:c r="J152" s="8" t="n">
        <x:v>0.0015</x:v>
      </x:c>
    </x:row>
    <x:row r="153">
      <x:c r="A153" s="9" t="n">
        <x:v>152</x:v>
      </x:c>
      <x:c r="B153" s="5" t="str">
        <x:v>C0237</x:v>
      </x:c>
      <x:c r="C153" s="5" t="str">
        <x:v>Vantage Media 237</x:v>
      </x:c>
      <x:c r="D153" s="5" t="str">
        <x:v>Mid-Market</x:v>
      </x:c>
      <x:c r="E153" s="5" t="str">
        <x:v>Manufacturing</x:v>
      </x:c>
      <x:c r="F153" s="5" t="str">
        <x:v>US East</x:v>
      </x:c>
      <x:c r="G153" s="7" t="n">
        <x:v>208580.25</x:v>
      </x:c>
      <x:c r="H153" s="7" t="n">
        <x:v>0</x:v>
      </x:c>
      <x:c r="I153" s="7" t="n">
        <x:v>208580.25</x:v>
      </x:c>
      <x:c r="J153" s="8" t="n">
        <x:v>0.0015</x:v>
      </x:c>
    </x:row>
    <x:row r="154">
      <x:c r="A154" s="9" t="n">
        <x:v>153</x:v>
      </x:c>
      <x:c r="B154" s="5" t="str">
        <x:v>C0084</x:v>
      </x:c>
      <x:c r="C154" s="5" t="str">
        <x:v>BluePeak Retail 084</x:v>
      </x:c>
      <x:c r="D154" s="5" t="str">
        <x:v>SMB</x:v>
      </x:c>
      <x:c r="E154" s="5" t="str">
        <x:v>Logistics</x:v>
      </x:c>
      <x:c r="F154" s="5" t="str">
        <x:v>US Central</x:v>
      </x:c>
      <x:c r="G154" s="7" t="n">
        <x:v>38211.85</x:v>
      </x:c>
      <x:c r="H154" s="7" t="n">
        <x:v>169909.22</x:v>
      </x:c>
      <x:c r="I154" s="7" t="n">
        <x:v>208121.07</x:v>
      </x:c>
      <x:c r="J154" s="8" t="n">
        <x:v>0.0015</x:v>
      </x:c>
    </x:row>
    <x:row r="155">
      <x:c r="A155" s="9" t="n">
        <x:v>154</x:v>
      </x:c>
      <x:c r="B155" s="5" t="str">
        <x:v>C0083</x:v>
      </x:c>
      <x:c r="C155" s="5" t="str">
        <x:v>Crescent Mobility 083</x:v>
      </x:c>
      <x:c r="D155" s="5" t="str">
        <x:v>SMB</x:v>
      </x:c>
      <x:c r="E155" s="5" t="str">
        <x:v>Manufacturing</x:v>
      </x:c>
      <x:c r="F155" s="5" t="str">
        <x:v>US East</x:v>
      </x:c>
      <x:c r="G155" s="7" t="n">
        <x:v>51084.77</x:v>
      </x:c>
      <x:c r="H155" s="7" t="n">
        <x:v>153758.68</x:v>
      </x:c>
      <x:c r="I155" s="7" t="n">
        <x:v>204843.45</x:v>
      </x:c>
      <x:c r="J155" s="8" t="n">
        <x:v>0.0015</x:v>
      </x:c>
    </x:row>
    <x:row r="156">
      <x:c r="A156" s="9" t="n">
        <x:v>155</x:v>
      </x:c>
      <x:c r="B156" s="5" t="str">
        <x:v>C0139</x:v>
      </x:c>
      <x:c r="C156" s="5" t="str">
        <x:v>Redwood Foods 139</x:v>
      </x:c>
      <x:c r="D156" s="5" t="str">
        <x:v>Mid-Market</x:v>
      </x:c>
      <x:c r="E156" s="5" t="str">
        <x:v>Technology</x:v>
      </x:c>
      <x:c r="F156" s="5" t="str">
        <x:v>US Central</x:v>
      </x:c>
      <x:c r="G156" s="7" t="n">
        <x:v>200403.62</x:v>
      </x:c>
      <x:c r="H156" s="7" t="n">
        <x:v>0</x:v>
      </x:c>
      <x:c r="I156" s="7" t="n">
        <x:v>200403.62</x:v>
      </x:c>
      <x:c r="J156" s="8" t="n">
        <x:v>0.0015</x:v>
      </x:c>
    </x:row>
    <x:row r="157">
      <x:c r="A157" s="9" t="n">
        <x:v>156</x:v>
      </x:c>
      <x:c r="B157" s="5" t="str">
        <x:v>C0086</x:v>
      </x:c>
      <x:c r="C157" s="5" t="str">
        <x:v>Crescent Manufacturing 086</x:v>
      </x:c>
      <x:c r="D157" s="5" t="str">
        <x:v>Mid-Market</x:v>
      </x:c>
      <x:c r="E157" s="5" t="str">
        <x:v>Healthcare</x:v>
      </x:c>
      <x:c r="F157" s="5" t="str">
        <x:v>US East</x:v>
      </x:c>
      <x:c r="G157" s="7" t="n">
        <x:v>199711</x:v>
      </x:c>
      <x:c r="H157" s="7" t="n">
        <x:v>0</x:v>
      </x:c>
      <x:c r="I157" s="7" t="n">
        <x:v>199711</x:v>
      </x:c>
      <x:c r="J157" s="8" t="n">
        <x:v>0.0015</x:v>
      </x:c>
    </x:row>
    <x:row r="158">
      <x:c r="A158" s="9" t="n">
        <x:v>157</x:v>
      </x:c>
      <x:c r="B158" s="5" t="str">
        <x:v>C0272</x:v>
      </x:c>
      <x:c r="C158" s="5" t="str">
        <x:v>Harbor Health 272</x:v>
      </x:c>
      <x:c r="D158" s="5" t="str">
        <x:v>Mid-Market</x:v>
      </x:c>
      <x:c r="E158" s="5" t="str">
        <x:v>Energy</x:v>
      </x:c>
      <x:c r="F158" s="5" t="str">
        <x:v>Canada</x:v>
      </x:c>
      <x:c r="G158" s="7" t="n">
        <x:v>199317.63</x:v>
      </x:c>
      <x:c r="H158" s="7" t="n">
        <x:v>0</x:v>
      </x:c>
      <x:c r="I158" s="7" t="n">
        <x:v>199317.63</x:v>
      </x:c>
      <x:c r="J158" s="8" t="n">
        <x:v>0.0015</x:v>
      </x:c>
    </x:row>
    <x:row r="159">
      <x:c r="A159" s="9" t="n">
        <x:v>158</x:v>
      </x:c>
      <x:c r="B159" s="5" t="str">
        <x:v>C0222</x:v>
      </x:c>
      <x:c r="C159" s="5" t="str">
        <x:v>Silverline Retail 222</x:v>
      </x:c>
      <x:c r="D159" s="5" t="str">
        <x:v>Mid-Market</x:v>
      </x:c>
      <x:c r="E159" s="5" t="str">
        <x:v>Retail and E-commerce</x:v>
      </x:c>
      <x:c r="F159" s="5" t="str">
        <x:v>US East</x:v>
      </x:c>
      <x:c r="G159" s="7" t="n">
        <x:v>195320.02</x:v>
      </x:c>
      <x:c r="H159" s="7" t="n">
        <x:v>0</x:v>
      </x:c>
      <x:c r="I159" s="7" t="n">
        <x:v>195320.02</x:v>
      </x:c>
      <x:c r="J159" s="8" t="n">
        <x:v>0.0014</x:v>
      </x:c>
    </x:row>
    <x:row r="160">
      <x:c r="A160" s="9" t="n">
        <x:v>159</x:v>
      </x:c>
      <x:c r="B160" s="5" t="str">
        <x:v>C0209</x:v>
      </x:c>
      <x:c r="C160" s="5" t="str">
        <x:v>Pioneer Manufacturing 209</x:v>
      </x:c>
      <x:c r="D160" s="5" t="str">
        <x:v>Mid-Market</x:v>
      </x:c>
      <x:c r="E160" s="5" t="str">
        <x:v>Technology</x:v>
      </x:c>
      <x:c r="F160" s="5" t="str">
        <x:v>US West</x:v>
      </x:c>
      <x:c r="G160" s="7" t="n">
        <x:v>195047.36</x:v>
      </x:c>
      <x:c r="H160" s="7" t="n">
        <x:v>0</x:v>
      </x:c>
      <x:c r="I160" s="7" t="n">
        <x:v>195047.36</x:v>
      </x:c>
      <x:c r="J160" s="8" t="n">
        <x:v>0.0014</x:v>
      </x:c>
    </x:row>
    <x:row r="161">
      <x:c r="A161" s="9" t="n">
        <x:v>160</x:v>
      </x:c>
      <x:c r="B161" s="5" t="str">
        <x:v>C0227</x:v>
      </x:c>
      <x:c r="C161" s="5" t="str">
        <x:v>Crescent Media 227</x:v>
      </x:c>
      <x:c r="D161" s="5" t="str">
        <x:v>Mid-Market</x:v>
      </x:c>
      <x:c r="E161" s="5" t="str">
        <x:v>Energy</x:v>
      </x:c>
      <x:c r="F161" s="5" t="str">
        <x:v>US East</x:v>
      </x:c>
      <x:c r="G161" s="7" t="n">
        <x:v>190769.45</x:v>
      </x:c>
      <x:c r="H161" s="7" t="n">
        <x:v>0</x:v>
      </x:c>
      <x:c r="I161" s="7" t="n">
        <x:v>190769.45</x:v>
      </x:c>
      <x:c r="J161" s="8" t="n">
        <x:v>0.0014</x:v>
      </x:c>
    </x:row>
    <x:row r="162">
      <x:c r="A162" s="9" t="n">
        <x:v>161</x:v>
      </x:c>
      <x:c r="B162" s="5" t="str">
        <x:v>C0077</x:v>
      </x:c>
      <x:c r="C162" s="5" t="str">
        <x:v>Atlas Insurance 077</x:v>
      </x:c>
      <x:c r="D162" s="5" t="str">
        <x:v>Mid-Market</x:v>
      </x:c>
      <x:c r="E162" s="5" t="str">
        <x:v>Technology</x:v>
      </x:c>
      <x:c r="F162" s="5" t="str">
        <x:v>Canada</x:v>
      </x:c>
      <x:c r="G162" s="7" t="n">
        <x:v>185933.27</x:v>
      </x:c>
      <x:c r="H162" s="7" t="n">
        <x:v>0</x:v>
      </x:c>
      <x:c r="I162" s="7" t="n">
        <x:v>185933.27</x:v>
      </x:c>
      <x:c r="J162" s="8" t="n">
        <x:v>0.0014</x:v>
      </x:c>
    </x:row>
    <x:row r="163">
      <x:c r="A163" s="9" t="n">
        <x:v>162</x:v>
      </x:c>
      <x:c r="B163" s="5" t="str">
        <x:v>C0180</x:v>
      </x:c>
      <x:c r="C163" s="5" t="str">
        <x:v>BrightPath Manufacturing 180</x:v>
      </x:c>
      <x:c r="D163" s="5" t="str">
        <x:v>Mid-Market</x:v>
      </x:c>
      <x:c r="E163" s="5" t="str">
        <x:v>Business Services</x:v>
      </x:c>
      <x:c r="F163" s="5" t="str">
        <x:v>US Central</x:v>
      </x:c>
      <x:c r="G163" s="7" t="n">
        <x:v>182149.34</x:v>
      </x:c>
      <x:c r="H163" s="7" t="n">
        <x:v>0</x:v>
      </x:c>
      <x:c r="I163" s="7" t="n">
        <x:v>182149.34</x:v>
      </x:c>
      <x:c r="J163" s="8" t="n">
        <x:v>0.0013</x:v>
      </x:c>
    </x:row>
    <x:row r="164">
      <x:c r="A164" s="9" t="n">
        <x:v>163</x:v>
      </x:c>
      <x:c r="B164" s="5" t="str">
        <x:v>C0012</x:v>
      </x:c>
      <x:c r="C164" s="5" t="str">
        <x:v>Vantage Media 012</x:v>
      </x:c>
      <x:c r="D164" s="5" t="str">
        <x:v>Mid-Market</x:v>
      </x:c>
      <x:c r="E164" s="5" t="str">
        <x:v>Logistics</x:v>
      </x:c>
      <x:c r="F164" s="5" t="str">
        <x:v>Canada</x:v>
      </x:c>
      <x:c r="G164" s="7" t="n">
        <x:v>181113.87</x:v>
      </x:c>
      <x:c r="H164" s="7" t="n">
        <x:v>0</x:v>
      </x:c>
      <x:c r="I164" s="7" t="n">
        <x:v>181113.87</x:v>
      </x:c>
      <x:c r="J164" s="8" t="n">
        <x:v>0.0013</x:v>
      </x:c>
    </x:row>
    <x:row r="165">
      <x:c r="A165" s="9" t="n">
        <x:v>164</x:v>
      </x:c>
      <x:c r="B165" s="5" t="str">
        <x:v>C0116</x:v>
      </x:c>
      <x:c r="C165" s="5" t="str">
        <x:v>Oakridge Education 116</x:v>
      </x:c>
      <x:c r="D165" s="5" t="str">
        <x:v>Mid-Market</x:v>
      </x:c>
      <x:c r="E165" s="5" t="str">
        <x:v>Energy</x:v>
      </x:c>
      <x:c r="F165" s="5" t="str">
        <x:v>US Central</x:v>
      </x:c>
      <x:c r="G165" s="7" t="n">
        <x:v>179215.08</x:v>
      </x:c>
      <x:c r="H165" s="7" t="n">
        <x:v>0</x:v>
      </x:c>
      <x:c r="I165" s="7" t="n">
        <x:v>179215.08</x:v>
      </x:c>
      <x:c r="J165" s="8" t="n">
        <x:v>0.0013</x:v>
      </x:c>
    </x:row>
    <x:row r="166">
      <x:c r="A166" s="9" t="n">
        <x:v>165</x:v>
      </x:c>
      <x:c r="B166" s="5" t="str">
        <x:v>C0087</x:v>
      </x:c>
      <x:c r="C166" s="5" t="str">
        <x:v>BluePeak Energy 087</x:v>
      </x:c>
      <x:c r="D166" s="5" t="str">
        <x:v>Mid-Market</x:v>
      </x:c>
      <x:c r="E166" s="5" t="str">
        <x:v>Business Services</x:v>
      </x:c>
      <x:c r="F166" s="5" t="str">
        <x:v>US Central</x:v>
      </x:c>
      <x:c r="G166" s="7" t="n">
        <x:v>178660.41</x:v>
      </x:c>
      <x:c r="H166" s="7" t="n">
        <x:v>0</x:v>
      </x:c>
      <x:c r="I166" s="7" t="n">
        <x:v>178660.41</x:v>
      </x:c>
      <x:c r="J166" s="8" t="n">
        <x:v>0.0013</x:v>
      </x:c>
    </x:row>
    <x:row r="167">
      <x:c r="A167" s="9" t="n">
        <x:v>166</x:v>
      </x:c>
      <x:c r="B167" s="5" t="str">
        <x:v>C0141</x:v>
      </x:c>
      <x:c r="C167" s="5" t="str">
        <x:v>Ironwood Foods 141</x:v>
      </x:c>
      <x:c r="D167" s="5" t="str">
        <x:v>Mid-Market</x:v>
      </x:c>
      <x:c r="E167" s="5" t="str">
        <x:v>Technology</x:v>
      </x:c>
      <x:c r="F167" s="5" t="str">
        <x:v>US East</x:v>
      </x:c>
      <x:c r="G167" s="7" t="n">
        <x:v>177733.82</x:v>
      </x:c>
      <x:c r="H167" s="7" t="n">
        <x:v>0</x:v>
      </x:c>
      <x:c r="I167" s="7" t="n">
        <x:v>177733.82</x:v>
      </x:c>
      <x:c r="J167" s="8" t="n">
        <x:v>0.0013</x:v>
      </x:c>
    </x:row>
    <x:row r="168">
      <x:c r="A168" s="9" t="n">
        <x:v>167</x:v>
      </x:c>
      <x:c r="B168" s="5" t="str">
        <x:v>C0048</x:v>
      </x:c>
      <x:c r="C168" s="5" t="str">
        <x:v>BluePeak Insurance 048</x:v>
      </x:c>
      <x:c r="D168" s="5" t="str">
        <x:v>Mid-Market</x:v>
      </x:c>
      <x:c r="E168" s="5" t="str">
        <x:v>Manufacturing</x:v>
      </x:c>
      <x:c r="F168" s="5" t="str">
        <x:v>US West</x:v>
      </x:c>
      <x:c r="G168" s="7" t="n">
        <x:v>175740.16</x:v>
      </x:c>
      <x:c r="H168" s="7" t="n">
        <x:v>0</x:v>
      </x:c>
      <x:c r="I168" s="7" t="n">
        <x:v>175740.16</x:v>
      </x:c>
      <x:c r="J168" s="8" t="n">
        <x:v>0.0013</x:v>
      </x:c>
    </x:row>
    <x:row r="169">
      <x:c r="A169" s="9" t="n">
        <x:v>168</x:v>
      </x:c>
      <x:c r="B169" s="5" t="str">
        <x:v>C0061</x:v>
      </x:c>
      <x:c r="C169" s="5" t="str">
        <x:v>Redwood Mobility 061</x:v>
      </x:c>
      <x:c r="D169" s="5" t="str">
        <x:v>Mid-Market</x:v>
      </x:c>
      <x:c r="E169" s="5" t="str">
        <x:v>Energy</x:v>
      </x:c>
      <x:c r="F169" s="5" t="str">
        <x:v>US West</x:v>
      </x:c>
      <x:c r="G169" s="7" t="n">
        <x:v>175356.53</x:v>
      </x:c>
      <x:c r="H169" s="7" t="n">
        <x:v>0</x:v>
      </x:c>
      <x:c r="I169" s="7" t="n">
        <x:v>175356.53</x:v>
      </x:c>
      <x:c r="J169" s="8" t="n">
        <x:v>0.0013</x:v>
      </x:c>
    </x:row>
    <x:row r="170">
      <x:c r="A170" s="9" t="n">
        <x:v>169</x:v>
      </x:c>
      <x:c r="B170" s="5" t="str">
        <x:v>C0147</x:v>
      </x:c>
      <x:c r="C170" s="5" t="str">
        <x:v>Summit Health 147</x:v>
      </x:c>
      <x:c r="D170" s="5" t="str">
        <x:v>Mid-Market</x:v>
      </x:c>
      <x:c r="E170" s="5" t="str">
        <x:v>Technology</x:v>
      </x:c>
      <x:c r="F170" s="5" t="str">
        <x:v>US West</x:v>
      </x:c>
      <x:c r="G170" s="7" t="n">
        <x:v>173350.2</x:v>
      </x:c>
      <x:c r="H170" s="7" t="n">
        <x:v>0</x:v>
      </x:c>
      <x:c r="I170" s="7" t="n">
        <x:v>173350.2</x:v>
      </x:c>
      <x:c r="J170" s="8" t="n">
        <x:v>0.0013</x:v>
      </x:c>
    </x:row>
    <x:row r="171">
      <x:c r="A171" s="9" t="n">
        <x:v>170</x:v>
      </x:c>
      <x:c r="B171" s="5" t="str">
        <x:v>C0289</x:v>
      </x:c>
      <x:c r="C171" s="5" t="str">
        <x:v>Evergreen Media 289</x:v>
      </x:c>
      <x:c r="D171" s="5" t="str">
        <x:v>Mid-Market</x:v>
      </x:c>
      <x:c r="E171" s="5" t="str">
        <x:v>Financial Services</x:v>
      </x:c>
      <x:c r="F171" s="5" t="str">
        <x:v>Canada</x:v>
      </x:c>
      <x:c r="G171" s="7" t="n">
        <x:v>170075.61</x:v>
      </x:c>
      <x:c r="H171" s="7" t="n">
        <x:v>0</x:v>
      </x:c>
      <x:c r="I171" s="7" t="n">
        <x:v>170075.61</x:v>
      </x:c>
      <x:c r="J171" s="8" t="n">
        <x:v>0.0012</x:v>
      </x:c>
    </x:row>
    <x:row r="172">
      <x:c r="A172" s="9" t="n">
        <x:v>171</x:v>
      </x:c>
      <x:c r="B172" s="5" t="str">
        <x:v>C0132</x:v>
      </x:c>
      <x:c r="C172" s="5" t="str">
        <x:v>Nova Insurance 132</x:v>
      </x:c>
      <x:c r="D172" s="5" t="str">
        <x:v>Mid-Market</x:v>
      </x:c>
      <x:c r="E172" s="5" t="str">
        <x:v>Logistics</x:v>
      </x:c>
      <x:c r="F172" s="5" t="str">
        <x:v>Canada</x:v>
      </x:c>
      <x:c r="G172" s="7" t="n">
        <x:v>167371.84</x:v>
      </x:c>
      <x:c r="H172" s="7" t="n">
        <x:v>0</x:v>
      </x:c>
      <x:c r="I172" s="7" t="n">
        <x:v>167371.84</x:v>
      </x:c>
      <x:c r="J172" s="8" t="n">
        <x:v>0.0012</x:v>
      </x:c>
    </x:row>
    <x:row r="173">
      <x:c r="A173" s="9" t="n">
        <x:v>172</x:v>
      </x:c>
      <x:c r="B173" s="5" t="str">
        <x:v>C0230</x:v>
      </x:c>
      <x:c r="C173" s="5" t="str">
        <x:v>Summit Retail 230</x:v>
      </x:c>
      <x:c r="D173" s="5" t="str">
        <x:v>Mid-Market</x:v>
      </x:c>
      <x:c r="E173" s="5" t="str">
        <x:v>Energy</x:v>
      </x:c>
      <x:c r="F173" s="5" t="str">
        <x:v>US East</x:v>
      </x:c>
      <x:c r="G173" s="7" t="n">
        <x:v>166478.54</x:v>
      </x:c>
      <x:c r="H173" s="7" t="n">
        <x:v>0</x:v>
      </x:c>
      <x:c r="I173" s="7" t="n">
        <x:v>166478.54</x:v>
      </x:c>
      <x:c r="J173" s="8" t="n">
        <x:v>0.0012</x:v>
      </x:c>
    </x:row>
    <x:row r="174">
      <x:c r="A174" s="9" t="n">
        <x:v>173</x:v>
      </x:c>
      <x:c r="B174" s="5" t="str">
        <x:v>C0220</x:v>
      </x:c>
      <x:c r="C174" s="5" t="str">
        <x:v>BrightPath Financial 220</x:v>
      </x:c>
      <x:c r="D174" s="5" t="str">
        <x:v>Mid-Market</x:v>
      </x:c>
      <x:c r="E174" s="5" t="str">
        <x:v>Financial Services</x:v>
      </x:c>
      <x:c r="F174" s="5" t="str">
        <x:v>US West</x:v>
      </x:c>
      <x:c r="G174" s="7" t="n">
        <x:v>166432.78</x:v>
      </x:c>
      <x:c r="H174" s="7" t="n">
        <x:v>0</x:v>
      </x:c>
      <x:c r="I174" s="7" t="n">
        <x:v>166432.78</x:v>
      </x:c>
      <x:c r="J174" s="8" t="n">
        <x:v>0.0012</x:v>
      </x:c>
    </x:row>
    <x:row r="175">
      <x:c r="A175" s="9" t="n">
        <x:v>174</x:v>
      </x:c>
      <x:c r="B175" s="5" t="str">
        <x:v>C0148</x:v>
      </x:c>
      <x:c r="C175" s="5" t="str">
        <x:v>BluePeak Foods 148</x:v>
      </x:c>
      <x:c r="D175" s="5" t="str">
        <x:v>Mid-Market</x:v>
      </x:c>
      <x:c r="E175" s="5" t="str">
        <x:v>Logistics</x:v>
      </x:c>
      <x:c r="F175" s="5" t="str">
        <x:v>US Central</x:v>
      </x:c>
      <x:c r="G175" s="7" t="n">
        <x:v>164223.81</x:v>
      </x:c>
      <x:c r="H175" s="7" t="n">
        <x:v>0</x:v>
      </x:c>
      <x:c r="I175" s="7" t="n">
        <x:v>164223.81</x:v>
      </x:c>
      <x:c r="J175" s="8" t="n">
        <x:v>0.0012</x:v>
      </x:c>
    </x:row>
    <x:row r="176">
      <x:c r="A176" s="9" t="n">
        <x:v>175</x:v>
      </x:c>
      <x:c r="B176" s="5" t="str">
        <x:v>C0203</x:v>
      </x:c>
      <x:c r="C176" s="5" t="str">
        <x:v>Cedar Health 203</x:v>
      </x:c>
      <x:c r="D176" s="5" t="str">
        <x:v>Mid-Market</x:v>
      </x:c>
      <x:c r="E176" s="5" t="str">
        <x:v>Business Services</x:v>
      </x:c>
      <x:c r="F176" s="5" t="str">
        <x:v>US East</x:v>
      </x:c>
      <x:c r="G176" s="7" t="n">
        <x:v>163267.1</x:v>
      </x:c>
      <x:c r="H176" s="7" t="n">
        <x:v>0</x:v>
      </x:c>
      <x:c r="I176" s="7" t="n">
        <x:v>163267.1</x:v>
      </x:c>
      <x:c r="J176" s="8" t="n">
        <x:v>0.0012</x:v>
      </x:c>
    </x:row>
    <x:row r="177">
      <x:c r="A177" s="9" t="n">
        <x:v>176</x:v>
      </x:c>
      <x:c r="B177" s="5" t="str">
        <x:v>C0145</x:v>
      </x:c>
      <x:c r="C177" s="5" t="str">
        <x:v>Keystone Logistics 145</x:v>
      </x:c>
      <x:c r="D177" s="5" t="str">
        <x:v>Mid-Market</x:v>
      </x:c>
      <x:c r="E177" s="5" t="str">
        <x:v>Energy</x:v>
      </x:c>
      <x:c r="F177" s="5" t="str">
        <x:v>US Central</x:v>
      </x:c>
      <x:c r="G177" s="7" t="n">
        <x:v>159263.38</x:v>
      </x:c>
      <x:c r="H177" s="7" t="n">
        <x:v>0</x:v>
      </x:c>
      <x:c r="I177" s="7" t="n">
        <x:v>159263.38</x:v>
      </x:c>
      <x:c r="J177" s="8" t="n">
        <x:v>0.0012</x:v>
      </x:c>
    </x:row>
    <x:row r="178">
      <x:c r="A178" s="9" t="n">
        <x:v>177</x:v>
      </x:c>
      <x:c r="B178" s="5" t="str">
        <x:v>C0208</x:v>
      </x:c>
      <x:c r="C178" s="5" t="str">
        <x:v>Meridian Media 208</x:v>
      </x:c>
      <x:c r="D178" s="5" t="str">
        <x:v>Mid-Market</x:v>
      </x:c>
      <x:c r="E178" s="5" t="str">
        <x:v>Manufacturing</x:v>
      </x:c>
      <x:c r="F178" s="5" t="str">
        <x:v>US Central</x:v>
      </x:c>
      <x:c r="G178" s="7" t="n">
        <x:v>158019.06</x:v>
      </x:c>
      <x:c r="H178" s="7" t="n">
        <x:v>0</x:v>
      </x:c>
      <x:c r="I178" s="7" t="n">
        <x:v>158019.06</x:v>
      </x:c>
      <x:c r="J178" s="8" t="n">
        <x:v>0.0012</x:v>
      </x:c>
    </x:row>
    <x:row r="179">
      <x:c r="A179" s="9" t="n">
        <x:v>178</x:v>
      </x:c>
      <x:c r="B179" s="5" t="str">
        <x:v>C0206</x:v>
      </x:c>
      <x:c r="C179" s="5" t="str">
        <x:v>Evergreen Technology 206</x:v>
      </x:c>
      <x:c r="D179" s="5" t="str">
        <x:v>Mid-Market</x:v>
      </x:c>
      <x:c r="E179" s="5" t="str">
        <x:v>Energy</x:v>
      </x:c>
      <x:c r="F179" s="5" t="str">
        <x:v>US East</x:v>
      </x:c>
      <x:c r="G179" s="7" t="n">
        <x:v>157499.65</x:v>
      </x:c>
      <x:c r="H179" s="7" t="n">
        <x:v>0</x:v>
      </x:c>
      <x:c r="I179" s="7" t="n">
        <x:v>157499.65</x:v>
      </x:c>
      <x:c r="J179" s="8" t="n">
        <x:v>0.0011</x:v>
      </x:c>
    </x:row>
    <x:row r="180">
      <x:c r="A180" s="9" t="n">
        <x:v>179</x:v>
      </x:c>
      <x:c r="B180" s="5" t="str">
        <x:v>C0195</x:v>
      </x:c>
      <x:c r="C180" s="5" t="str">
        <x:v>Crescent Energy 195</x:v>
      </x:c>
      <x:c r="D180" s="5" t="str">
        <x:v>Mid-Market</x:v>
      </x:c>
      <x:c r="E180" s="5" t="str">
        <x:v>Healthcare</x:v>
      </x:c>
      <x:c r="F180" s="5" t="str">
        <x:v>US Central</x:v>
      </x:c>
      <x:c r="G180" s="7" t="n">
        <x:v>156549.23</x:v>
      </x:c>
      <x:c r="H180" s="7" t="n">
        <x:v>0</x:v>
      </x:c>
      <x:c r="I180" s="7" t="n">
        <x:v>156549.23</x:v>
      </x:c>
      <x:c r="J180" s="8" t="n">
        <x:v>0.0011</x:v>
      </x:c>
    </x:row>
    <x:row r="181">
      <x:c r="A181" s="9" t="n">
        <x:v>180</x:v>
      </x:c>
      <x:c r="B181" s="5" t="str">
        <x:v>C0292</x:v>
      </x:c>
      <x:c r="C181" s="5" t="str">
        <x:v>Vantage Foods 292</x:v>
      </x:c>
      <x:c r="D181" s="5" t="str">
        <x:v>Mid-Market</x:v>
      </x:c>
      <x:c r="E181" s="5" t="str">
        <x:v>Logistics</x:v>
      </x:c>
      <x:c r="F181" s="5" t="str">
        <x:v>Canada</x:v>
      </x:c>
      <x:c r="G181" s="7" t="n">
        <x:v>151638.59</x:v>
      </x:c>
      <x:c r="H181" s="7" t="n">
        <x:v>0</x:v>
      </x:c>
      <x:c r="I181" s="7" t="n">
        <x:v>151638.59</x:v>
      </x:c>
      <x:c r="J181" s="8" t="n">
        <x:v>0.0011</x:v>
      </x:c>
    </x:row>
    <x:row r="182">
      <x:c r="A182" s="9" t="n">
        <x:v>181</x:v>
      </x:c>
      <x:c r="B182" s="5" t="str">
        <x:v>C0052</x:v>
      </x:c>
      <x:c r="C182" s="5" t="str">
        <x:v>Oakridge Education 052</x:v>
      </x:c>
      <x:c r="D182" s="5" t="str">
        <x:v>Mid-Market</x:v>
      </x:c>
      <x:c r="E182" s="5" t="str">
        <x:v>Healthcare</x:v>
      </x:c>
      <x:c r="F182" s="5" t="str">
        <x:v>Canada</x:v>
      </x:c>
      <x:c r="G182" s="7" t="n">
        <x:v>149457.42</x:v>
      </x:c>
      <x:c r="H182" s="7" t="n">
        <x:v>0</x:v>
      </x:c>
      <x:c r="I182" s="7" t="n">
        <x:v>149457.42</x:v>
      </x:c>
      <x:c r="J182" s="8" t="n">
        <x:v>0.0011</x:v>
      </x:c>
    </x:row>
    <x:row r="183">
      <x:c r="A183" s="9" t="n">
        <x:v>182</x:v>
      </x:c>
      <x:c r="B183" s="5" t="str">
        <x:v>C0056</x:v>
      </x:c>
      <x:c r="C183" s="5" t="str">
        <x:v>Pioneer Retail 056</x:v>
      </x:c>
      <x:c r="D183" s="5" t="str">
        <x:v>Mid-Market</x:v>
      </x:c>
      <x:c r="E183" s="5" t="str">
        <x:v>Manufacturing</x:v>
      </x:c>
      <x:c r="F183" s="5" t="str">
        <x:v>Canada</x:v>
      </x:c>
      <x:c r="G183" s="7" t="n">
        <x:v>148430.66</x:v>
      </x:c>
      <x:c r="H183" s="7" t="n">
        <x:v>0</x:v>
      </x:c>
      <x:c r="I183" s="7" t="n">
        <x:v>148430.66</x:v>
      </x:c>
      <x:c r="J183" s="8" t="n">
        <x:v>0.0011</x:v>
      </x:c>
    </x:row>
    <x:row r="184">
      <x:c r="A184" s="9" t="n">
        <x:v>183</x:v>
      </x:c>
      <x:c r="B184" s="5" t="str">
        <x:v>C0033</x:v>
      </x:c>
      <x:c r="C184" s="5" t="str">
        <x:v>Summit Foods 033</x:v>
      </x:c>
      <x:c r="D184" s="5" t="str">
        <x:v>Mid-Market</x:v>
      </x:c>
      <x:c r="E184" s="5" t="str">
        <x:v>Technology</x:v>
      </x:c>
      <x:c r="F184" s="5" t="str">
        <x:v>US West</x:v>
      </x:c>
      <x:c r="G184" s="7" t="n">
        <x:v>148172.32</x:v>
      </x:c>
      <x:c r="H184" s="7" t="n">
        <x:v>0</x:v>
      </x:c>
      <x:c r="I184" s="7" t="n">
        <x:v>148172.32</x:v>
      </x:c>
      <x:c r="J184" s="8" t="n">
        <x:v>0.0011</x:v>
      </x:c>
    </x:row>
    <x:row r="185">
      <x:c r="A185" s="9" t="n">
        <x:v>184</x:v>
      </x:c>
      <x:c r="B185" s="5" t="str">
        <x:v>C0282</x:v>
      </x:c>
      <x:c r="C185" s="5" t="str">
        <x:v>BrightPath Retail 282</x:v>
      </x:c>
      <x:c r="D185" s="5" t="str">
        <x:v>Mid-Market</x:v>
      </x:c>
      <x:c r="E185" s="5" t="str">
        <x:v>Healthcare</x:v>
      </x:c>
      <x:c r="F185" s="5" t="str">
        <x:v>US West</x:v>
      </x:c>
      <x:c r="G185" s="7" t="n">
        <x:v>147706.3</x:v>
      </x:c>
      <x:c r="H185" s="7" t="n">
        <x:v>0</x:v>
      </x:c>
      <x:c r="I185" s="7" t="n">
        <x:v>147706.3</x:v>
      </x:c>
      <x:c r="J185" s="8" t="n">
        <x:v>0.0011</x:v>
      </x:c>
    </x:row>
    <x:row r="186">
      <x:c r="A186" s="9" t="n">
        <x:v>185</x:v>
      </x:c>
      <x:c r="B186" s="5" t="str">
        <x:v>C0275</x:v>
      </x:c>
      <x:c r="C186" s="5" t="str">
        <x:v>Silverline Health 275</x:v>
      </x:c>
      <x:c r="D186" s="5" t="str">
        <x:v>Mid-Market</x:v>
      </x:c>
      <x:c r="E186" s="5" t="str">
        <x:v>Financial Services</x:v>
      </x:c>
      <x:c r="F186" s="5" t="str">
        <x:v>US East</x:v>
      </x:c>
      <x:c r="G186" s="7" t="n">
        <x:v>130644.19</x:v>
      </x:c>
      <x:c r="H186" s="7" t="n">
        <x:v>15168.11</x:v>
      </x:c>
      <x:c r="I186" s="7" t="n">
        <x:v>145812.3</x:v>
      </x:c>
      <x:c r="J186" s="8" t="n">
        <x:v>0.0011</x:v>
      </x:c>
    </x:row>
    <x:row r="187">
      <x:c r="A187" s="9" t="n">
        <x:v>186</x:v>
      </x:c>
      <x:c r="B187" s="5" t="str">
        <x:v>C0029</x:v>
      </x:c>
      <x:c r="C187" s="5" t="str">
        <x:v>Lakeview Manufacturing 029</x:v>
      </x:c>
      <x:c r="D187" s="5" t="str">
        <x:v>Mid-Market</x:v>
      </x:c>
      <x:c r="E187" s="5" t="str">
        <x:v>Healthcare</x:v>
      </x:c>
      <x:c r="F187" s="5" t="str">
        <x:v>Canada</x:v>
      </x:c>
      <x:c r="G187" s="7" t="n">
        <x:v>124991.13</x:v>
      </x:c>
      <x:c r="H187" s="7" t="n">
        <x:v>20593.87</x:v>
      </x:c>
      <x:c r="I187" s="7" t="n">
        <x:v>145585</x:v>
      </x:c>
      <x:c r="J187" s="8" t="n">
        <x:v>0.0011</x:v>
      </x:c>
    </x:row>
    <x:row r="188">
      <x:c r="A188" s="9" t="n">
        <x:v>187</x:v>
      </x:c>
      <x:c r="B188" s="5" t="str">
        <x:v>C0044</x:v>
      </x:c>
      <x:c r="C188" s="5" t="str">
        <x:v>Frontier Manufacturing 044</x:v>
      </x:c>
      <x:c r="D188" s="5" t="str">
        <x:v>SMB</x:v>
      </x:c>
      <x:c r="E188" s="5" t="str">
        <x:v>Business Services</x:v>
      </x:c>
      <x:c r="F188" s="5" t="str">
        <x:v>US West</x:v>
      </x:c>
      <x:c r="G188" s="7" t="n">
        <x:v>53249.71</x:v>
      </x:c>
      <x:c r="H188" s="7" t="n">
        <x:v>90604.34</x:v>
      </x:c>
      <x:c r="I188" s="7" t="n">
        <x:v>143854.05</x:v>
      </x:c>
      <x:c r="J188" s="8" t="n">
        <x:v>0.001</x:v>
      </x:c>
    </x:row>
    <x:row r="189">
      <x:c r="A189" s="9" t="n">
        <x:v>188</x:v>
      </x:c>
      <x:c r="B189" s="5" t="str">
        <x:v>C0006</x:v>
      </x:c>
      <x:c r="C189" s="5" t="str">
        <x:v>Lakeview Retail 006</x:v>
      </x:c>
      <x:c r="D189" s="5" t="str">
        <x:v>Mid-Market</x:v>
      </x:c>
      <x:c r="E189" s="5" t="str">
        <x:v>Technology</x:v>
      </x:c>
      <x:c r="F189" s="5" t="str">
        <x:v>US West</x:v>
      </x:c>
      <x:c r="G189" s="7" t="n">
        <x:v>141895.68</x:v>
      </x:c>
      <x:c r="H189" s="7" t="n">
        <x:v>0</x:v>
      </x:c>
      <x:c r="I189" s="7" t="n">
        <x:v>141895.68</x:v>
      </x:c>
      <x:c r="J189" s="8" t="n">
        <x:v>0.001</x:v>
      </x:c>
    </x:row>
    <x:row r="190">
      <x:c r="A190" s="9" t="n">
        <x:v>189</x:v>
      </x:c>
      <x:c r="B190" s="5" t="str">
        <x:v>C0136</x:v>
      </x:c>
      <x:c r="C190" s="5" t="str">
        <x:v>Oakridge Education 136</x:v>
      </x:c>
      <x:c r="D190" s="5" t="str">
        <x:v>Mid-Market</x:v>
      </x:c>
      <x:c r="E190" s="5" t="str">
        <x:v>Retail and E-commerce</x:v>
      </x:c>
      <x:c r="F190" s="5" t="str">
        <x:v>US Central</x:v>
      </x:c>
      <x:c r="G190" s="7" t="n">
        <x:v>137262.84</x:v>
      </x:c>
      <x:c r="H190" s="7" t="n">
        <x:v>0</x:v>
      </x:c>
      <x:c r="I190" s="7" t="n">
        <x:v>137262.84</x:v>
      </x:c>
      <x:c r="J190" s="8" t="n">
        <x:v>0.001</x:v>
      </x:c>
    </x:row>
    <x:row r="191">
      <x:c r="A191" s="9" t="n">
        <x:v>190</x:v>
      </x:c>
      <x:c r="B191" s="5" t="str">
        <x:v>C0298</x:v>
      </x:c>
      <x:c r="C191" s="5" t="str">
        <x:v>Highland Media 298</x:v>
      </x:c>
      <x:c r="D191" s="5" t="str">
        <x:v>Mid-Market</x:v>
      </x:c>
      <x:c r="E191" s="5" t="str">
        <x:v>Logistics</x:v>
      </x:c>
      <x:c r="F191" s="5" t="str">
        <x:v>Canada</x:v>
      </x:c>
      <x:c r="G191" s="7" t="n">
        <x:v>136408.82</x:v>
      </x:c>
      <x:c r="H191" s="7" t="n">
        <x:v>0</x:v>
      </x:c>
      <x:c r="I191" s="7" t="n">
        <x:v>136408.82</x:v>
      </x:c>
      <x:c r="J191" s="8" t="n">
        <x:v>0.001</x:v>
      </x:c>
    </x:row>
    <x:row r="192">
      <x:c r="A192" s="9" t="n">
        <x:v>191</x:v>
      </x:c>
      <x:c r="B192" s="5" t="str">
        <x:v>C0155</x:v>
      </x:c>
      <x:c r="C192" s="5" t="str">
        <x:v>Frontier Logistics 155</x:v>
      </x:c>
      <x:c r="D192" s="5" t="str">
        <x:v>Mid-Market</x:v>
      </x:c>
      <x:c r="E192" s="5" t="str">
        <x:v>Retail and E-commerce</x:v>
      </x:c>
      <x:c r="F192" s="5" t="str">
        <x:v>US Central</x:v>
      </x:c>
      <x:c r="G192" s="7" t="n">
        <x:v>135362.69</x:v>
      </x:c>
      <x:c r="H192" s="7" t="n">
        <x:v>0</x:v>
      </x:c>
      <x:c r="I192" s="7" t="n">
        <x:v>135362.69</x:v>
      </x:c>
      <x:c r="J192" s="8" t="n">
        <x:v>0.001</x:v>
      </x:c>
    </x:row>
    <x:row r="193">
      <x:c r="A193" s="9" t="n">
        <x:v>192</x:v>
      </x:c>
      <x:c r="B193" s="5" t="str">
        <x:v>C0050</x:v>
      </x:c>
      <x:c r="C193" s="5" t="str">
        <x:v>Harbor Financial 050</x:v>
      </x:c>
      <x:c r="D193" s="5" t="str">
        <x:v>SMB</x:v>
      </x:c>
      <x:c r="E193" s="5" t="str">
        <x:v>Manufacturing</x:v>
      </x:c>
      <x:c r="F193" s="5" t="str">
        <x:v>Canada</x:v>
      </x:c>
      <x:c r="G193" s="7" t="n">
        <x:v>51222.63</x:v>
      </x:c>
      <x:c r="H193" s="7" t="n">
        <x:v>82829.67</x:v>
      </x:c>
      <x:c r="I193" s="7" t="n">
        <x:v>134052.3</x:v>
      </x:c>
      <x:c r="J193" s="8" t="n">
        <x:v>0.001</x:v>
      </x:c>
    </x:row>
    <x:row r="194">
      <x:c r="A194" s="9" t="n">
        <x:v>193</x:v>
      </x:c>
      <x:c r="B194" s="5" t="str">
        <x:v>C0173</x:v>
      </x:c>
      <x:c r="C194" s="5" t="str">
        <x:v>Northstar Insurance 173</x:v>
      </x:c>
      <x:c r="D194" s="5" t="str">
        <x:v>Mid-Market</x:v>
      </x:c>
      <x:c r="E194" s="5" t="str">
        <x:v>Retail and E-commerce</x:v>
      </x:c>
      <x:c r="F194" s="5" t="str">
        <x:v>US West</x:v>
      </x:c>
      <x:c r="G194" s="7" t="n">
        <x:v>133811.01</x:v>
      </x:c>
      <x:c r="H194" s="7" t="n">
        <x:v>0</x:v>
      </x:c>
      <x:c r="I194" s="7" t="n">
        <x:v>133811.01</x:v>
      </x:c>
      <x:c r="J194" s="8" t="n">
        <x:v>0.001</x:v>
      </x:c>
    </x:row>
    <x:row r="195">
      <x:c r="A195" s="9" t="n">
        <x:v>194</x:v>
      </x:c>
      <x:c r="B195" s="5" t="str">
        <x:v>C0185</x:v>
      </x:c>
      <x:c r="C195" s="5" t="str">
        <x:v>Oakridge Media 185</x:v>
      </x:c>
      <x:c r="D195" s="5" t="str">
        <x:v>SMB</x:v>
      </x:c>
      <x:c r="E195" s="5" t="str">
        <x:v>Financial Services</x:v>
      </x:c>
      <x:c r="F195" s="5" t="str">
        <x:v>US West</x:v>
      </x:c>
      <x:c r="G195" s="7" t="n">
        <x:v>52612.08</x:v>
      </x:c>
      <x:c r="H195" s="7" t="n">
        <x:v>78812.02</x:v>
      </x:c>
      <x:c r="I195" s="7" t="n">
        <x:v>131424.1</x:v>
      </x:c>
      <x:c r="J195" s="8" t="n">
        <x:v>0.001</x:v>
      </x:c>
    </x:row>
    <x:row r="196">
      <x:c r="A196" s="9" t="n">
        <x:v>195</x:v>
      </x:c>
      <x:c r="B196" s="5" t="str">
        <x:v>C0059</x:v>
      </x:c>
      <x:c r="C196" s="5" t="str">
        <x:v>Nova Technology 059</x:v>
      </x:c>
      <x:c r="D196" s="5" t="str">
        <x:v>Mid-Market</x:v>
      </x:c>
      <x:c r="E196" s="5" t="str">
        <x:v>Technology</x:v>
      </x:c>
      <x:c r="F196" s="5" t="str">
        <x:v>US West</x:v>
      </x:c>
      <x:c r="G196" s="7" t="n">
        <x:v>131366.96</x:v>
      </x:c>
      <x:c r="H196" s="7" t="n">
        <x:v>0</x:v>
      </x:c>
      <x:c r="I196" s="7" t="n">
        <x:v>131366.96</x:v>
      </x:c>
      <x:c r="J196" s="8" t="n">
        <x:v>0.001</x:v>
      </x:c>
    </x:row>
    <x:row r="197">
      <x:c r="A197" s="9" t="n">
        <x:v>196</x:v>
      </x:c>
      <x:c r="B197" s="5" t="str">
        <x:v>C0260</x:v>
      </x:c>
      <x:c r="C197" s="5" t="str">
        <x:v>Keystone Mobility 260</x:v>
      </x:c>
      <x:c r="D197" s="5" t="str">
        <x:v>Mid-Market</x:v>
      </x:c>
      <x:c r="E197" s="5" t="str">
        <x:v>Energy</x:v>
      </x:c>
      <x:c r="F197" s="5" t="str">
        <x:v>US East</x:v>
      </x:c>
      <x:c r="G197" s="7" t="n">
        <x:v>130784.65</x:v>
      </x:c>
      <x:c r="H197" s="7" t="n">
        <x:v>0</x:v>
      </x:c>
      <x:c r="I197" s="7" t="n">
        <x:v>130784.65</x:v>
      </x:c>
      <x:c r="J197" s="8" t="n">
        <x:v>0.001</x:v>
      </x:c>
    </x:row>
    <x:row r="198">
      <x:c r="A198" s="9" t="n">
        <x:v>197</x:v>
      </x:c>
      <x:c r="B198" s="5" t="str">
        <x:v>C0013</x:v>
      </x:c>
      <x:c r="C198" s="5" t="str">
        <x:v>Frontier Logistics 013</x:v>
      </x:c>
      <x:c r="D198" s="5" t="str">
        <x:v>Mid-Market</x:v>
      </x:c>
      <x:c r="E198" s="5" t="str">
        <x:v>Healthcare</x:v>
      </x:c>
      <x:c r="F198" s="5" t="str">
        <x:v>US Central</x:v>
      </x:c>
      <x:c r="G198" s="7" t="n">
        <x:v>129798.94</x:v>
      </x:c>
      <x:c r="H198" s="7" t="n">
        <x:v>0</x:v>
      </x:c>
      <x:c r="I198" s="7" t="n">
        <x:v>129798.94</x:v>
      </x:c>
      <x:c r="J198" s="8" t="n">
        <x:v>0.0009</x:v>
      </x:c>
    </x:row>
    <x:row r="199">
      <x:c r="A199" s="9" t="n">
        <x:v>198</x:v>
      </x:c>
      <x:c r="B199" s="5" t="str">
        <x:v>C0022</x:v>
      </x:c>
      <x:c r="C199" s="5" t="str">
        <x:v>Redwood Foods 022</x:v>
      </x:c>
      <x:c r="D199" s="5" t="str">
        <x:v>Mid-Market</x:v>
      </x:c>
      <x:c r="E199" s="5" t="str">
        <x:v>Manufacturing</x:v>
      </x:c>
      <x:c r="F199" s="5" t="str">
        <x:v>US West</x:v>
      </x:c>
      <x:c r="G199" s="7" t="n">
        <x:v>128696.15</x:v>
      </x:c>
      <x:c r="H199" s="7" t="n">
        <x:v>0</x:v>
      </x:c>
      <x:c r="I199" s="7" t="n">
        <x:v>128696.15</x:v>
      </x:c>
      <x:c r="J199" s="8" t="n">
        <x:v>0.0009</x:v>
      </x:c>
    </x:row>
    <x:row r="200">
      <x:c r="A200" s="9" t="n">
        <x:v>199</x:v>
      </x:c>
      <x:c r="B200" s="5" t="str">
        <x:v>C0251</x:v>
      </x:c>
      <x:c r="C200" s="5" t="str">
        <x:v>Ironwood Health 251</x:v>
      </x:c>
      <x:c r="D200" s="5" t="str">
        <x:v>SMB</x:v>
      </x:c>
      <x:c r="E200" s="5" t="str">
        <x:v>Energy</x:v>
      </x:c>
      <x:c r="F200" s="5" t="str">
        <x:v>US Central</x:v>
      </x:c>
      <x:c r="G200" s="7" t="n">
        <x:v>42183.18</x:v>
      </x:c>
      <x:c r="H200" s="7" t="n">
        <x:v>86160.67</x:v>
      </x:c>
      <x:c r="I200" s="7" t="n">
        <x:v>128343.85</x:v>
      </x:c>
      <x:c r="J200" s="8" t="n">
        <x:v>0.0009</x:v>
      </x:c>
    </x:row>
    <x:row r="201">
      <x:c r="A201" s="9" t="n">
        <x:v>200</x:v>
      </x:c>
      <x:c r="B201" s="5" t="str">
        <x:v>C0066</x:v>
      </x:c>
      <x:c r="C201" s="5" t="str">
        <x:v>Atlas Financial 066</x:v>
      </x:c>
      <x:c r="D201" s="5" t="str">
        <x:v>SMB</x:v>
      </x:c>
      <x:c r="E201" s="5" t="str">
        <x:v>Financial Services</x:v>
      </x:c>
      <x:c r="F201" s="5" t="str">
        <x:v>Canada</x:v>
      </x:c>
      <x:c r="G201" s="7" t="n">
        <x:v>48669.84</x:v>
      </x:c>
      <x:c r="H201" s="7" t="n">
        <x:v>78191.47</x:v>
      </x:c>
      <x:c r="I201" s="7" t="n">
        <x:v>126861.31</x:v>
      </x:c>
      <x:c r="J201" s="8" t="n">
        <x:v>0.0009</x:v>
      </x:c>
    </x:row>
    <x:row r="202">
      <x:c r="A202" s="9" t="n">
        <x:v>201</x:v>
      </x:c>
      <x:c r="B202" s="5" t="str">
        <x:v>C0038</x:v>
      </x:c>
      <x:c r="C202" s="5" t="str">
        <x:v>Ironwood Logistics 038</x:v>
      </x:c>
      <x:c r="D202" s="5" t="str">
        <x:v>Mid-Market</x:v>
      </x:c>
      <x:c r="E202" s="5" t="str">
        <x:v>Energy</x:v>
      </x:c>
      <x:c r="F202" s="5" t="str">
        <x:v>US East</x:v>
      </x:c>
      <x:c r="G202" s="7" t="n">
        <x:v>125652.09</x:v>
      </x:c>
      <x:c r="H202" s="7" t="n">
        <x:v>0</x:v>
      </x:c>
      <x:c r="I202" s="7" t="n">
        <x:v>125652.09</x:v>
      </x:c>
      <x:c r="J202" s="8" t="n">
        <x:v>0.0009</x:v>
      </x:c>
    </x:row>
    <x:row r="203">
      <x:c r="A203" s="9" t="n">
        <x:v>202</x:v>
      </x:c>
      <x:c r="B203" s="5" t="str">
        <x:v>C0024</x:v>
      </x:c>
      <x:c r="C203" s="5" t="str">
        <x:v>Northstar Technology 024</x:v>
      </x:c>
      <x:c r="D203" s="5" t="str">
        <x:v>Mid-Market</x:v>
      </x:c>
      <x:c r="E203" s="5" t="str">
        <x:v>Energy</x:v>
      </x:c>
      <x:c r="F203" s="5" t="str">
        <x:v>US East</x:v>
      </x:c>
      <x:c r="G203" s="7" t="n">
        <x:v>125238.92</x:v>
      </x:c>
      <x:c r="H203" s="7" t="n">
        <x:v>0</x:v>
      </x:c>
      <x:c r="I203" s="7" t="n">
        <x:v>125238.92</x:v>
      </x:c>
      <x:c r="J203" s="8" t="n">
        <x:v>0.0009</x:v>
      </x:c>
    </x:row>
    <x:row r="204">
      <x:c r="A204" s="9" t="n">
        <x:v>203</x:v>
      </x:c>
      <x:c r="B204" s="5" t="str">
        <x:v>C0177</x:v>
      </x:c>
      <x:c r="C204" s="5" t="str">
        <x:v>Ironwood Foods 177</x:v>
      </x:c>
      <x:c r="D204" s="5" t="str">
        <x:v>Mid-Market</x:v>
      </x:c>
      <x:c r="E204" s="5" t="str">
        <x:v>Financial Services</x:v>
      </x:c>
      <x:c r="F204" s="5" t="str">
        <x:v>Canada</x:v>
      </x:c>
      <x:c r="G204" s="7" t="n">
        <x:v>121044.62</x:v>
      </x:c>
      <x:c r="H204" s="7" t="n">
        <x:v>0</x:v>
      </x:c>
      <x:c r="I204" s="7" t="n">
        <x:v>121044.62</x:v>
      </x:c>
      <x:c r="J204" s="8" t="n">
        <x:v>0.0009</x:v>
      </x:c>
    </x:row>
    <x:row r="205">
      <x:c r="A205" s="9" t="n">
        <x:v>204</x:v>
      </x:c>
      <x:c r="B205" s="5" t="str">
        <x:v>C0100</x:v>
      </x:c>
      <x:c r="C205" s="5" t="str">
        <x:v>BluePeak Education 100</x:v>
      </x:c>
      <x:c r="D205" s="5" t="str">
        <x:v>SMB</x:v>
      </x:c>
      <x:c r="E205" s="5" t="str">
        <x:v>Technology</x:v>
      </x:c>
      <x:c r="F205" s="5" t="str">
        <x:v>US West</x:v>
      </x:c>
      <x:c r="G205" s="7" t="n">
        <x:v>60909.34</x:v>
      </x:c>
      <x:c r="H205" s="7" t="n">
        <x:v>59626.45</x:v>
      </x:c>
      <x:c r="I205" s="7" t="n">
        <x:v>120535.79</x:v>
      </x:c>
      <x:c r="J205" s="8" t="n">
        <x:v>0.0009</x:v>
      </x:c>
    </x:row>
    <x:row r="206">
      <x:c r="A206" s="9" t="n">
        <x:v>205</x:v>
      </x:c>
      <x:c r="B206" s="5" t="str">
        <x:v>C0026</x:v>
      </x:c>
      <x:c r="C206" s="5" t="str">
        <x:v>Northstar Energy 026</x:v>
      </x:c>
      <x:c r="D206" s="5" t="str">
        <x:v>SMB</x:v>
      </x:c>
      <x:c r="E206" s="5" t="str">
        <x:v>Logistics</x:v>
      </x:c>
      <x:c r="F206" s="5" t="str">
        <x:v>US East</x:v>
      </x:c>
      <x:c r="G206" s="7" t="n">
        <x:v>80806.83</x:v>
      </x:c>
      <x:c r="H206" s="7" t="n">
        <x:v>36583.38</x:v>
      </x:c>
      <x:c r="I206" s="7" t="n">
        <x:v>117390.21</x:v>
      </x:c>
      <x:c r="J206" s="8" t="n">
        <x:v>0.0009</x:v>
      </x:c>
    </x:row>
    <x:row r="207">
      <x:c r="A207" s="9" t="n">
        <x:v>206</x:v>
      </x:c>
      <x:c r="B207" s="5" t="str">
        <x:v>C0089</x:v>
      </x:c>
      <x:c r="C207" s="5" t="str">
        <x:v>Summit Media 089</x:v>
      </x:c>
      <x:c r="D207" s="5" t="str">
        <x:v>Mid-Market</x:v>
      </x:c>
      <x:c r="E207" s="5" t="str">
        <x:v>Manufacturing</x:v>
      </x:c>
      <x:c r="F207" s="5" t="str">
        <x:v>US West</x:v>
      </x:c>
      <x:c r="G207" s="7" t="n">
        <x:v>116933.71</x:v>
      </x:c>
      <x:c r="H207" s="7" t="n">
        <x:v>0</x:v>
      </x:c>
      <x:c r="I207" s="7" t="n">
        <x:v>116933.71</x:v>
      </x:c>
      <x:c r="J207" s="8" t="n">
        <x:v>0.0009</x:v>
      </x:c>
    </x:row>
    <x:row r="208">
      <x:c r="A208" s="9" t="n">
        <x:v>207</x:v>
      </x:c>
      <x:c r="B208" s="5" t="str">
        <x:v>C0011</x:v>
      </x:c>
      <x:c r="C208" s="5" t="str">
        <x:v>Highland Mobility 011</x:v>
      </x:c>
      <x:c r="D208" s="5" t="str">
        <x:v>SMB</x:v>
      </x:c>
      <x:c r="E208" s="5" t="str">
        <x:v>Financial Services</x:v>
      </x:c>
      <x:c r="F208" s="5" t="str">
        <x:v>US West</x:v>
      </x:c>
      <x:c r="G208" s="7" t="n">
        <x:v>57373.11</x:v>
      </x:c>
      <x:c r="H208" s="7" t="n">
        <x:v>54140.67</x:v>
      </x:c>
      <x:c r="I208" s="7" t="n">
        <x:v>111513.78</x:v>
      </x:c>
      <x:c r="J208" s="8" t="n">
        <x:v>0.0008</x:v>
      </x:c>
    </x:row>
    <x:row r="209">
      <x:c r="A209" s="9" t="n">
        <x:v>208</x:v>
      </x:c>
      <x:c r="B209" s="5" t="str">
        <x:v>C0250</x:v>
      </x:c>
      <x:c r="C209" s="5" t="str">
        <x:v>Nova Insurance 250</x:v>
      </x:c>
      <x:c r="D209" s="5" t="str">
        <x:v>SMB</x:v>
      </x:c>
      <x:c r="E209" s="5" t="str">
        <x:v>Energy</x:v>
      </x:c>
      <x:c r="F209" s="5" t="str">
        <x:v>Canada</x:v>
      </x:c>
      <x:c r="G209" s="7" t="n">
        <x:v>66311.22</x:v>
      </x:c>
      <x:c r="H209" s="7" t="n">
        <x:v>41187.1</x:v>
      </x:c>
      <x:c r="I209" s="7" t="n">
        <x:v>107498.32</x:v>
      </x:c>
      <x:c r="J209" s="8" t="n">
        <x:v>0.0008</x:v>
      </x:c>
    </x:row>
    <x:row r="210">
      <x:c r="A210" s="9" t="n">
        <x:v>209</x:v>
      </x:c>
      <x:c r="B210" s="5" t="str">
        <x:v>C0078</x:v>
      </x:c>
      <x:c r="C210" s="5" t="str">
        <x:v>Redwood Energy 078</x:v>
      </x:c>
      <x:c r="D210" s="5" t="str">
        <x:v>Mid-Market</x:v>
      </x:c>
      <x:c r="E210" s="5" t="str">
        <x:v>Manufacturing</x:v>
      </x:c>
      <x:c r="F210" s="5" t="str">
        <x:v>US West</x:v>
      </x:c>
      <x:c r="G210" s="7" t="n">
        <x:v>106934.84</x:v>
      </x:c>
      <x:c r="H210" s="7" t="n">
        <x:v>0</x:v>
      </x:c>
      <x:c r="I210" s="7" t="n">
        <x:v>106934.84</x:v>
      </x:c>
      <x:c r="J210" s="8" t="n">
        <x:v>0.0008</x:v>
      </x:c>
    </x:row>
    <x:row r="211">
      <x:c r="A211" s="9" t="n">
        <x:v>210</x:v>
      </x:c>
      <x:c r="B211" s="5" t="str">
        <x:v>C0184</x:v>
      </x:c>
      <x:c r="C211" s="5" t="str">
        <x:v>BluePeak Logistics 184</x:v>
      </x:c>
      <x:c r="D211" s="5" t="str">
        <x:v>Mid-Market</x:v>
      </x:c>
      <x:c r="E211" s="5" t="str">
        <x:v>Technology</x:v>
      </x:c>
      <x:c r="F211" s="5" t="str">
        <x:v>Canada</x:v>
      </x:c>
      <x:c r="G211" s="7" t="n">
        <x:v>106056.61</x:v>
      </x:c>
      <x:c r="H211" s="7" t="n">
        <x:v>0</x:v>
      </x:c>
      <x:c r="I211" s="7" t="n">
        <x:v>106056.61</x:v>
      </x:c>
      <x:c r="J211" s="8" t="n">
        <x:v>0.0008</x:v>
      </x:c>
    </x:row>
    <x:row r="212">
      <x:c r="A212" s="9" t="n">
        <x:v>211</x:v>
      </x:c>
      <x:c r="B212" s="5" t="str">
        <x:v>C0254</x:v>
      </x:c>
      <x:c r="C212" s="5" t="str">
        <x:v>Meridian Retail 254</x:v>
      </x:c>
      <x:c r="D212" s="5" t="str">
        <x:v>Mid-Market</x:v>
      </x:c>
      <x:c r="E212" s="5" t="str">
        <x:v>Healthcare</x:v>
      </x:c>
      <x:c r="F212" s="5" t="str">
        <x:v>US West</x:v>
      </x:c>
      <x:c r="G212" s="7" t="n">
        <x:v>104508</x:v>
      </x:c>
      <x:c r="H212" s="7" t="n">
        <x:v>0</x:v>
      </x:c>
      <x:c r="I212" s="7" t="n">
        <x:v>104508</x:v>
      </x:c>
      <x:c r="J212" s="8" t="n">
        <x:v>0.0008</x:v>
      </x:c>
    </x:row>
    <x:row r="213">
      <x:c r="A213" s="9" t="n">
        <x:v>212</x:v>
      </x:c>
      <x:c r="B213" s="5" t="str">
        <x:v>C0212</x:v>
      </x:c>
      <x:c r="C213" s="5" t="str">
        <x:v>Lakeview Financial 212</x:v>
      </x:c>
      <x:c r="D213" s="5" t="str">
        <x:v>SMB</x:v>
      </x:c>
      <x:c r="E213" s="5" t="str">
        <x:v>Technology</x:v>
      </x:c>
      <x:c r="F213" s="5" t="str">
        <x:v>US Central</x:v>
      </x:c>
      <x:c r="G213" s="7" t="n">
        <x:v>102296.72</x:v>
      </x:c>
      <x:c r="H213" s="7" t="n">
        <x:v>0</x:v>
      </x:c>
      <x:c r="I213" s="7" t="n">
        <x:v>102296.72</x:v>
      </x:c>
      <x:c r="J213" s="8" t="n">
        <x:v>0.0007</x:v>
      </x:c>
    </x:row>
    <x:row r="214">
      <x:c r="A214" s="9" t="n">
        <x:v>213</x:v>
      </x:c>
      <x:c r="B214" s="5" t="str">
        <x:v>C0043</x:v>
      </x:c>
      <x:c r="C214" s="5" t="str">
        <x:v>Vantage Foods 043</x:v>
      </x:c>
      <x:c r="D214" s="5" t="str">
        <x:v>Mid-Market</x:v>
      </x:c>
      <x:c r="E214" s="5" t="str">
        <x:v>Retail and E-commerce</x:v>
      </x:c>
      <x:c r="F214" s="5" t="str">
        <x:v>US East</x:v>
      </x:c>
      <x:c r="G214" s="7" t="n">
        <x:v>98415.96</x:v>
      </x:c>
      <x:c r="H214" s="7" t="n">
        <x:v>0</x:v>
      </x:c>
      <x:c r="I214" s="7" t="n">
        <x:v>98415.96</x:v>
      </x:c>
      <x:c r="J214" s="8" t="n">
        <x:v>0.0007</x:v>
      </x:c>
    </x:row>
    <x:row r="215">
      <x:c r="A215" s="9" t="n">
        <x:v>214</x:v>
      </x:c>
      <x:c r="B215" s="5" t="str">
        <x:v>C0142</x:v>
      </x:c>
      <x:c r="C215" s="5" t="str">
        <x:v>Redwood Retail 142</x:v>
      </x:c>
      <x:c r="D215" s="5" t="str">
        <x:v>SMB</x:v>
      </x:c>
      <x:c r="E215" s="5" t="str">
        <x:v>Financial Services</x:v>
      </x:c>
      <x:c r="F215" s="5" t="str">
        <x:v>US West</x:v>
      </x:c>
      <x:c r="G215" s="7" t="n">
        <x:v>96193.08</x:v>
      </x:c>
      <x:c r="H215" s="7" t="n">
        <x:v>0</x:v>
      </x:c>
      <x:c r="I215" s="7" t="n">
        <x:v>96193.08</x:v>
      </x:c>
      <x:c r="J215" s="8" t="n">
        <x:v>0.0007</x:v>
      </x:c>
    </x:row>
    <x:row r="216">
      <x:c r="A216" s="9" t="n">
        <x:v>215</x:v>
      </x:c>
      <x:c r="B216" s="5" t="str">
        <x:v>C0281</x:v>
      </x:c>
      <x:c r="C216" s="5" t="str">
        <x:v>Westbridge Education 281</x:v>
      </x:c>
      <x:c r="D216" s="5" t="str">
        <x:v>Mid-Market</x:v>
      </x:c>
      <x:c r="E216" s="5" t="str">
        <x:v>Manufacturing</x:v>
      </x:c>
      <x:c r="F216" s="5" t="str">
        <x:v>US West</x:v>
      </x:c>
      <x:c r="G216" s="7" t="n">
        <x:v>92310.6</x:v>
      </x:c>
      <x:c r="H216" s="7" t="n">
        <x:v>0</x:v>
      </x:c>
      <x:c r="I216" s="7" t="n">
        <x:v>92310.6</x:v>
      </x:c>
      <x:c r="J216" s="8" t="n">
        <x:v>0.0007</x:v>
      </x:c>
    </x:row>
    <x:row r="217">
      <x:c r="A217" s="9" t="n">
        <x:v>216</x:v>
      </x:c>
      <x:c r="B217" s="5" t="str">
        <x:v>C0076</x:v>
      </x:c>
      <x:c r="C217" s="5" t="str">
        <x:v>BluePeak Energy 076</x:v>
      </x:c>
      <x:c r="D217" s="5" t="str">
        <x:v>Mid-Market</x:v>
      </x:c>
      <x:c r="E217" s="5" t="str">
        <x:v>Logistics</x:v>
      </x:c>
      <x:c r="F217" s="5" t="str">
        <x:v>US Central</x:v>
      </x:c>
      <x:c r="G217" s="7" t="n">
        <x:v>92069.56</x:v>
      </x:c>
      <x:c r="H217" s="7" t="n">
        <x:v>0</x:v>
      </x:c>
      <x:c r="I217" s="7" t="n">
        <x:v>92069.56</x:v>
      </x:c>
      <x:c r="J217" s="8" t="n">
        <x:v>0.0007</x:v>
      </x:c>
    </x:row>
    <x:row r="218">
      <x:c r="A218" s="9" t="n">
        <x:v>217</x:v>
      </x:c>
      <x:c r="B218" s="5" t="str">
        <x:v>C0219</x:v>
      </x:c>
      <x:c r="C218" s="5" t="str">
        <x:v>Silverline Health 219</x:v>
      </x:c>
      <x:c r="D218" s="5" t="str">
        <x:v>Mid-Market</x:v>
      </x:c>
      <x:c r="E218" s="5" t="str">
        <x:v>Logistics</x:v>
      </x:c>
      <x:c r="F218" s="5" t="str">
        <x:v>US East</x:v>
      </x:c>
      <x:c r="G218" s="7" t="n">
        <x:v>90974.73</x:v>
      </x:c>
      <x:c r="H218" s="7" t="n">
        <x:v>0</x:v>
      </x:c>
      <x:c r="I218" s="7" t="n">
        <x:v>90974.73</x:v>
      </x:c>
      <x:c r="J218" s="8" t="n">
        <x:v>0.0007</x:v>
      </x:c>
    </x:row>
    <x:row r="219">
      <x:c r="A219" s="9" t="n">
        <x:v>218</x:v>
      </x:c>
      <x:c r="B219" s="5" t="str">
        <x:v>C0256</x:v>
      </x:c>
      <x:c r="C219" s="5" t="str">
        <x:v>Westbridge Media 256</x:v>
      </x:c>
      <x:c r="D219" s="5" t="str">
        <x:v>Mid-Market</x:v>
      </x:c>
      <x:c r="E219" s="5" t="str">
        <x:v>Technology</x:v>
      </x:c>
      <x:c r="F219" s="5" t="str">
        <x:v>US West</x:v>
      </x:c>
      <x:c r="G219" s="7" t="n">
        <x:v>89084.51</x:v>
      </x:c>
      <x:c r="H219" s="7" t="n">
        <x:v>0</x:v>
      </x:c>
      <x:c r="I219" s="7" t="n">
        <x:v>89084.51</x:v>
      </x:c>
      <x:c r="J219" s="8" t="n">
        <x:v>0.0006</x:v>
      </x:c>
    </x:row>
    <x:row r="220">
      <x:c r="A220" s="9" t="n">
        <x:v>219</x:v>
      </x:c>
      <x:c r="B220" s="5" t="str">
        <x:v>C0276</x:v>
      </x:c>
      <x:c r="C220" s="5" t="str">
        <x:v>Highland Technology 276</x:v>
      </x:c>
      <x:c r="D220" s="5" t="str">
        <x:v>SMB</x:v>
      </x:c>
      <x:c r="E220" s="5" t="str">
        <x:v>Business Services</x:v>
      </x:c>
      <x:c r="F220" s="5" t="str">
        <x:v>US East</x:v>
      </x:c>
      <x:c r="G220" s="7" t="n">
        <x:v>50503.06</x:v>
      </x:c>
      <x:c r="H220" s="7" t="n">
        <x:v>35729.43</x:v>
      </x:c>
      <x:c r="I220" s="7" t="n">
        <x:v>86232.49</x:v>
      </x:c>
      <x:c r="J220" s="8" t="n">
        <x:v>0.0006</x:v>
      </x:c>
    </x:row>
    <x:row r="221">
      <x:c r="A221" s="9" t="n">
        <x:v>220</x:v>
      </x:c>
      <x:c r="B221" s="5" t="str">
        <x:v>C0091</x:v>
      </x:c>
      <x:c r="C221" s="5" t="str">
        <x:v>Lakeview Financial 091</x:v>
      </x:c>
      <x:c r="D221" s="5" t="str">
        <x:v>Enterprise</x:v>
      </x:c>
      <x:c r="E221" s="5" t="str">
        <x:v>Business Services</x:v>
      </x:c>
      <x:c r="F221" s="5" t="str">
        <x:v>US Central</x:v>
      </x:c>
      <x:c r="G221" s="7" t="n">
        <x:v>85560.23</x:v>
      </x:c>
      <x:c r="H221" s="7" t="n">
        <x:v>0</x:v>
      </x:c>
      <x:c r="I221" s="7" t="n">
        <x:v>85560.23</x:v>
      </x:c>
      <x:c r="J221" s="8" t="n">
        <x:v>0.0006</x:v>
      </x:c>
    </x:row>
    <x:row r="222">
      <x:c r="A222" s="9" t="n">
        <x:v>221</x:v>
      </x:c>
      <x:c r="B222" s="5" t="str">
        <x:v>C0054</x:v>
      </x:c>
      <x:c r="C222" s="5" t="str">
        <x:v>Cedar Technology 054</x:v>
      </x:c>
      <x:c r="D222" s="5" t="str">
        <x:v>Mid-Market</x:v>
      </x:c>
      <x:c r="E222" s="5" t="str">
        <x:v>Financial Services</x:v>
      </x:c>
      <x:c r="F222" s="5" t="str">
        <x:v>US East</x:v>
      </x:c>
      <x:c r="G222" s="7" t="n">
        <x:v>85470.74</x:v>
      </x:c>
      <x:c r="H222" s="7" t="n">
        <x:v>0</x:v>
      </x:c>
      <x:c r="I222" s="7" t="n">
        <x:v>85470.74</x:v>
      </x:c>
      <x:c r="J222" s="8" t="n">
        <x:v>0.0006</x:v>
      </x:c>
    </x:row>
    <x:row r="223">
      <x:c r="A223" s="9" t="n">
        <x:v>222</x:v>
      </x:c>
      <x:c r="B223" s="5" t="str">
        <x:v>C0153</x:v>
      </x:c>
      <x:c r="C223" s="5" t="str">
        <x:v>Meridian Logistics 153</x:v>
      </x:c>
      <x:c r="D223" s="5" t="str">
        <x:v>SMB</x:v>
      </x:c>
      <x:c r="E223" s="5" t="str">
        <x:v>Business Services</x:v>
      </x:c>
      <x:c r="F223" s="5" t="str">
        <x:v>US East</x:v>
      </x:c>
      <x:c r="G223" s="7" t="n">
        <x:v>83847.38</x:v>
      </x:c>
      <x:c r="H223" s="7" t="n">
        <x:v>0</x:v>
      </x:c>
      <x:c r="I223" s="7" t="n">
        <x:v>83847.38</x:v>
      </x:c>
      <x:c r="J223" s="8" t="n">
        <x:v>0.0006</x:v>
      </x:c>
    </x:row>
    <x:row r="224">
      <x:c r="A224" s="9" t="n">
        <x:v>223</x:v>
      </x:c>
      <x:c r="B224" s="5" t="str">
        <x:v>C0134</x:v>
      </x:c>
      <x:c r="C224" s="5" t="str">
        <x:v>BrightPath Mobility 134</x:v>
      </x:c>
      <x:c r="D224" s="5" t="str">
        <x:v>SMB</x:v>
      </x:c>
      <x:c r="E224" s="5" t="str">
        <x:v>Healthcare</x:v>
      </x:c>
      <x:c r="F224" s="5" t="str">
        <x:v>US Central</x:v>
      </x:c>
      <x:c r="G224" s="7" t="n">
        <x:v>79923.54</x:v>
      </x:c>
      <x:c r="H224" s="7" t="n">
        <x:v>0</x:v>
      </x:c>
      <x:c r="I224" s="7" t="n">
        <x:v>79923.54</x:v>
      </x:c>
      <x:c r="J224" s="8" t="n">
        <x:v>0.0006</x:v>
      </x:c>
    </x:row>
    <x:row r="225">
      <x:c r="A225" s="9" t="n">
        <x:v>224</x:v>
      </x:c>
      <x:c r="B225" s="5" t="str">
        <x:v>C0258</x:v>
      </x:c>
      <x:c r="C225" s="5" t="str">
        <x:v>Frontier Media 258</x:v>
      </x:c>
      <x:c r="D225" s="5" t="str">
        <x:v>Mid-Market</x:v>
      </x:c>
      <x:c r="E225" s="5" t="str">
        <x:v>Manufacturing</x:v>
      </x:c>
      <x:c r="F225" s="5" t="str">
        <x:v>US East</x:v>
      </x:c>
      <x:c r="G225" s="7" t="n">
        <x:v>77512.37</x:v>
      </x:c>
      <x:c r="H225" s="7" t="n">
        <x:v>0</x:v>
      </x:c>
      <x:c r="I225" s="7" t="n">
        <x:v>77512.37</x:v>
      </x:c>
      <x:c r="J225" s="8" t="n">
        <x:v>0.0006</x:v>
      </x:c>
    </x:row>
    <x:row r="226">
      <x:c r="A226" s="9" t="n">
        <x:v>225</x:v>
      </x:c>
      <x:c r="B226" s="5" t="str">
        <x:v>C0263</x:v>
      </x:c>
      <x:c r="C226" s="5" t="str">
        <x:v>Evergreen Energy 263</x:v>
      </x:c>
      <x:c r="D226" s="5" t="str">
        <x:v>Mid-Market</x:v>
      </x:c>
      <x:c r="E226" s="5" t="str">
        <x:v>Retail and E-commerce</x:v>
      </x:c>
      <x:c r="F226" s="5" t="str">
        <x:v>US West</x:v>
      </x:c>
      <x:c r="G226" s="7" t="n">
        <x:v>76225.11</x:v>
      </x:c>
      <x:c r="H226" s="7" t="n">
        <x:v>0</x:v>
      </x:c>
      <x:c r="I226" s="7" t="n">
        <x:v>76225.11</x:v>
      </x:c>
      <x:c r="J226" s="8" t="n">
        <x:v>0.0006</x:v>
      </x:c>
    </x:row>
    <x:row r="227">
      <x:c r="A227" s="9" t="n">
        <x:v>226</x:v>
      </x:c>
      <x:c r="B227" s="5" t="str">
        <x:v>C0002</x:v>
      </x:c>
      <x:c r="C227" s="5" t="str">
        <x:v>Crescent Health 002</x:v>
      </x:c>
      <x:c r="D227" s="5" t="str">
        <x:v>Mid-Market</x:v>
      </x:c>
      <x:c r="E227" s="5" t="str">
        <x:v>Healthcare</x:v>
      </x:c>
      <x:c r="F227" s="5" t="str">
        <x:v>US East</x:v>
      </x:c>
      <x:c r="G227" s="7" t="n">
        <x:v>75552.74</x:v>
      </x:c>
      <x:c r="H227" s="7" t="n">
        <x:v>0</x:v>
      </x:c>
      <x:c r="I227" s="7" t="n">
        <x:v>75552.74</x:v>
      </x:c>
      <x:c r="J227" s="8" t="n">
        <x:v>0.0006</x:v>
      </x:c>
    </x:row>
    <x:row r="228">
      <x:c r="A228" s="9" t="n">
        <x:v>227</x:v>
      </x:c>
      <x:c r="B228" s="5" t="str">
        <x:v>C0189</x:v>
      </x:c>
      <x:c r="C228" s="5" t="str">
        <x:v>Redwood Insurance 189</x:v>
      </x:c>
      <x:c r="D228" s="5" t="str">
        <x:v>Mid-Market</x:v>
      </x:c>
      <x:c r="E228" s="5" t="str">
        <x:v>Energy</x:v>
      </x:c>
      <x:c r="F228" s="5" t="str">
        <x:v>US West</x:v>
      </x:c>
      <x:c r="G228" s="7" t="n">
        <x:v>74793.62</x:v>
      </x:c>
      <x:c r="H228" s="7" t="n">
        <x:v>0</x:v>
      </x:c>
      <x:c r="I228" s="7" t="n">
        <x:v>74793.62</x:v>
      </x:c>
      <x:c r="J228" s="8" t="n">
        <x:v>0.0005</x:v>
      </x:c>
    </x:row>
    <x:row r="229">
      <x:c r="A229" s="9" t="n">
        <x:v>228</x:v>
      </x:c>
      <x:c r="B229" s="5" t="str">
        <x:v>C0286</x:v>
      </x:c>
      <x:c r="C229" s="5" t="str">
        <x:v>BluePeak Foods 286</x:v>
      </x:c>
      <x:c r="D229" s="5" t="str">
        <x:v>Mid-Market</x:v>
      </x:c>
      <x:c r="E229" s="5" t="str">
        <x:v>Retail and E-commerce</x:v>
      </x:c>
      <x:c r="F229" s="5" t="str">
        <x:v>US West</x:v>
      </x:c>
      <x:c r="G229" s="7" t="n">
        <x:v>72512.37</x:v>
      </x:c>
      <x:c r="H229" s="7" t="n">
        <x:v>0</x:v>
      </x:c>
      <x:c r="I229" s="7" t="n">
        <x:v>72512.37</x:v>
      </x:c>
      <x:c r="J229" s="8" t="n">
        <x:v>0.0005</x:v>
      </x:c>
    </x:row>
    <x:row r="230">
      <x:c r="A230" s="9" t="n">
        <x:v>229</x:v>
      </x:c>
      <x:c r="B230" s="5" t="str">
        <x:v>C0138</x:v>
      </x:c>
      <x:c r="C230" s="5" t="str">
        <x:v>Pioneer Mobility 138</x:v>
      </x:c>
      <x:c r="D230" s="5" t="str">
        <x:v>SMB</x:v>
      </x:c>
      <x:c r="E230" s="5" t="str">
        <x:v>Healthcare</x:v>
      </x:c>
      <x:c r="F230" s="5" t="str">
        <x:v>US Central</x:v>
      </x:c>
      <x:c r="G230" s="7" t="n">
        <x:v>71634.03</x:v>
      </x:c>
      <x:c r="H230" s="7" t="n">
        <x:v>0</x:v>
      </x:c>
      <x:c r="I230" s="7" t="n">
        <x:v>71634.03</x:v>
      </x:c>
      <x:c r="J230" s="8" t="n">
        <x:v>0.0005</x:v>
      </x:c>
    </x:row>
    <x:row r="231">
      <x:c r="A231" s="9" t="n">
        <x:v>230</x:v>
      </x:c>
      <x:c r="B231" s="5" t="str">
        <x:v>C0067</x:v>
      </x:c>
      <x:c r="C231" s="5" t="str">
        <x:v>Crescent Manufacturing 067</x:v>
      </x:c>
      <x:c r="D231" s="5" t="str">
        <x:v>SMB</x:v>
      </x:c>
      <x:c r="E231" s="5" t="str">
        <x:v>Energy</x:v>
      </x:c>
      <x:c r="F231" s="5" t="str">
        <x:v>US East</x:v>
      </x:c>
      <x:c r="G231" s="7" t="n">
        <x:v>70517.66</x:v>
      </x:c>
      <x:c r="H231" s="7" t="n">
        <x:v>0</x:v>
      </x:c>
      <x:c r="I231" s="7" t="n">
        <x:v>70517.66</x:v>
      </x:c>
      <x:c r="J231" s="8" t="n">
        <x:v>0.0005</x:v>
      </x:c>
    </x:row>
    <x:row r="232">
      <x:c r="A232" s="9" t="n">
        <x:v>231</x:v>
      </x:c>
      <x:c r="B232" s="5" t="str">
        <x:v>C0199</x:v>
      </x:c>
      <x:c r="C232" s="5" t="str">
        <x:v>Clearwater Health 199</x:v>
      </x:c>
      <x:c r="D232" s="5" t="str">
        <x:v>SMB</x:v>
      </x:c>
      <x:c r="E232" s="5" t="str">
        <x:v>Manufacturing</x:v>
      </x:c>
      <x:c r="F232" s="5" t="str">
        <x:v>Canada</x:v>
      </x:c>
      <x:c r="G232" s="7" t="n">
        <x:v>68661.12</x:v>
      </x:c>
      <x:c r="H232" s="7" t="n">
        <x:v>0</x:v>
      </x:c>
      <x:c r="I232" s="7" t="n">
        <x:v>68661.12</x:v>
      </x:c>
      <x:c r="J232" s="8" t="n">
        <x:v>0.0005</x:v>
      </x:c>
    </x:row>
    <x:row r="233">
      <x:c r="A233" s="9" t="n">
        <x:v>232</x:v>
      </x:c>
      <x:c r="B233" s="5" t="str">
        <x:v>C0240</x:v>
      </x:c>
      <x:c r="C233" s="5" t="str">
        <x:v>Evergreen Health 240</x:v>
      </x:c>
      <x:c r="D233" s="5" t="str">
        <x:v>SMB</x:v>
      </x:c>
      <x:c r="E233" s="5" t="str">
        <x:v>Business Services</x:v>
      </x:c>
      <x:c r="F233" s="5" t="str">
        <x:v>Canada</x:v>
      </x:c>
      <x:c r="G233" s="7" t="n">
        <x:v>64995.62</x:v>
      </x:c>
      <x:c r="H233" s="7" t="n">
        <x:v>0</x:v>
      </x:c>
      <x:c r="I233" s="7" t="n">
        <x:v>64995.62</x:v>
      </x:c>
      <x:c r="J233" s="8" t="n">
        <x:v>0.0005</x:v>
      </x:c>
    </x:row>
    <x:row r="234">
      <x:c r="A234" s="9" t="n">
        <x:v>233</x:v>
      </x:c>
      <x:c r="B234" s="5" t="str">
        <x:v>C0082</x:v>
      </x:c>
      <x:c r="C234" s="5" t="str">
        <x:v>Lakeview Energy 082</x:v>
      </x:c>
      <x:c r="D234" s="5" t="str">
        <x:v>SMB</x:v>
      </x:c>
      <x:c r="E234" s="5" t="str">
        <x:v>Business Services</x:v>
      </x:c>
      <x:c r="F234" s="5" t="str">
        <x:v>US West</x:v>
      </x:c>
      <x:c r="G234" s="7" t="n">
        <x:v>63575.94</x:v>
      </x:c>
      <x:c r="H234" s="7" t="n">
        <x:v>0</x:v>
      </x:c>
      <x:c r="I234" s="7" t="n">
        <x:v>63575.94</x:v>
      </x:c>
      <x:c r="J234" s="8" t="n">
        <x:v>0.0005</x:v>
      </x:c>
    </x:row>
    <x:row r="235">
      <x:c r="A235" s="9" t="n">
        <x:v>234</x:v>
      </x:c>
      <x:c r="B235" s="5" t="str">
        <x:v>C0191</x:v>
      </x:c>
      <x:c r="C235" s="5" t="str">
        <x:v>Lakeview Energy 191</x:v>
      </x:c>
      <x:c r="D235" s="5" t="str">
        <x:v>SMB</x:v>
      </x:c>
      <x:c r="E235" s="5" t="str">
        <x:v>Financial Services</x:v>
      </x:c>
      <x:c r="F235" s="5" t="str">
        <x:v>US Central</x:v>
      </x:c>
      <x:c r="G235" s="7" t="n">
        <x:v>63189.54</x:v>
      </x:c>
      <x:c r="H235" s="7" t="n">
        <x:v>0</x:v>
      </x:c>
      <x:c r="I235" s="7" t="n">
        <x:v>63189.54</x:v>
      </x:c>
      <x:c r="J235" s="8" t="n">
        <x:v>0.0005</x:v>
      </x:c>
    </x:row>
    <x:row r="236">
      <x:c r="A236" s="9" t="n">
        <x:v>235</x:v>
      </x:c>
      <x:c r="B236" s="5" t="str">
        <x:v>C0252</x:v>
      </x:c>
      <x:c r="C236" s="5" t="str">
        <x:v>Highland Retail 252</x:v>
      </x:c>
      <x:c r="D236" s="5" t="str">
        <x:v>SMB</x:v>
      </x:c>
      <x:c r="E236" s="5" t="str">
        <x:v>Retail and E-commerce</x:v>
      </x:c>
      <x:c r="F236" s="5" t="str">
        <x:v>US West</x:v>
      </x:c>
      <x:c r="G236" s="7" t="n">
        <x:v>62942.61</x:v>
      </x:c>
      <x:c r="H236" s="7" t="n">
        <x:v>0</x:v>
      </x:c>
      <x:c r="I236" s="7" t="n">
        <x:v>62942.61</x:v>
      </x:c>
      <x:c r="J236" s="8" t="n">
        <x:v>0.0005</x:v>
      </x:c>
    </x:row>
    <x:row r="237">
      <x:c r="A237" s="9" t="n">
        <x:v>236</x:v>
      </x:c>
      <x:c r="B237" s="5" t="str">
        <x:v>C0009</x:v>
      </x:c>
      <x:c r="C237" s="5" t="str">
        <x:v>Westbridge Technology 009</x:v>
      </x:c>
      <x:c r="D237" s="5" t="str">
        <x:v>SMB</x:v>
      </x:c>
      <x:c r="E237" s="5" t="str">
        <x:v>Retail and E-commerce</x:v>
      </x:c>
      <x:c r="F237" s="5" t="str">
        <x:v>US West</x:v>
      </x:c>
      <x:c r="G237" s="7" t="n">
        <x:v>60918.91</x:v>
      </x:c>
      <x:c r="H237" s="7" t="n">
        <x:v>0</x:v>
      </x:c>
      <x:c r="I237" s="7" t="n">
        <x:v>60918.91</x:v>
      </x:c>
      <x:c r="J237" s="8" t="n">
        <x:v>0.0004</x:v>
      </x:c>
    </x:row>
    <x:row r="238">
      <x:c r="A238" s="9" t="n">
        <x:v>237</x:v>
      </x:c>
      <x:c r="B238" s="5" t="str">
        <x:v>C0107</x:v>
      </x:c>
      <x:c r="C238" s="5" t="str">
        <x:v>Atlas Retail 107</x:v>
      </x:c>
      <x:c r="D238" s="5" t="str">
        <x:v>SMB</x:v>
      </x:c>
      <x:c r="E238" s="5" t="str">
        <x:v>Healthcare</x:v>
      </x:c>
      <x:c r="F238" s="5" t="str">
        <x:v>US Central</x:v>
      </x:c>
      <x:c r="G238" s="7" t="n">
        <x:v>22251.87</x:v>
      </x:c>
      <x:c r="H238" s="7" t="n">
        <x:v>36933.09</x:v>
      </x:c>
      <x:c r="I238" s="7" t="n">
        <x:v>59184.96</x:v>
      </x:c>
      <x:c r="J238" s="8" t="n">
        <x:v>0.0004</x:v>
      </x:c>
    </x:row>
    <x:row r="239">
      <x:c r="A239" s="9" t="n">
        <x:v>238</x:v>
      </x:c>
      <x:c r="B239" s="5" t="str">
        <x:v>C0121</x:v>
      </x:c>
      <x:c r="C239" s="5" t="str">
        <x:v>Crescent Foods 121</x:v>
      </x:c>
      <x:c r="D239" s="5" t="str">
        <x:v>Mid-Market</x:v>
      </x:c>
      <x:c r="E239" s="5" t="str">
        <x:v>Financial Services</x:v>
      </x:c>
      <x:c r="F239" s="5" t="str">
        <x:v>US Central</x:v>
      </x:c>
      <x:c r="G239" s="7" t="n">
        <x:v>58292.85</x:v>
      </x:c>
      <x:c r="H239" s="7" t="n">
        <x:v>0</x:v>
      </x:c>
      <x:c r="I239" s="7" t="n">
        <x:v>58292.85</x:v>
      </x:c>
      <x:c r="J239" s="8" t="n">
        <x:v>0.0004</x:v>
      </x:c>
    </x:row>
    <x:row r="240">
      <x:c r="A240" s="9" t="n">
        <x:v>239</x:v>
      </x:c>
      <x:c r="B240" s="5" t="str">
        <x:v>C0224</x:v>
      </x:c>
      <x:c r="C240" s="5" t="str">
        <x:v>Clearwater Education 224</x:v>
      </x:c>
      <x:c r="D240" s="5" t="str">
        <x:v>SMB</x:v>
      </x:c>
      <x:c r="E240" s="5" t="str">
        <x:v>Healthcare</x:v>
      </x:c>
      <x:c r="F240" s="5" t="str">
        <x:v>US West</x:v>
      </x:c>
      <x:c r="G240" s="7" t="n">
        <x:v>35053.29</x:v>
      </x:c>
      <x:c r="H240" s="7" t="n">
        <x:v>22835.78</x:v>
      </x:c>
      <x:c r="I240" s="7" t="n">
        <x:v>57889.07</x:v>
      </x:c>
      <x:c r="J240" s="8" t="n">
        <x:v>0.0004</x:v>
      </x:c>
    </x:row>
    <x:row r="241">
      <x:c r="A241" s="9" t="n">
        <x:v>240</x:v>
      </x:c>
      <x:c r="B241" s="5" t="str">
        <x:v>C0062</x:v>
      </x:c>
      <x:c r="C241" s="5" t="str">
        <x:v>BluePeak Media 062</x:v>
      </x:c>
      <x:c r="D241" s="5" t="str">
        <x:v>SMB</x:v>
      </x:c>
      <x:c r="E241" s="5" t="str">
        <x:v>Healthcare</x:v>
      </x:c>
      <x:c r="F241" s="5" t="str">
        <x:v>US East</x:v>
      </x:c>
      <x:c r="G241" s="7" t="n">
        <x:v>57055.15</x:v>
      </x:c>
      <x:c r="H241" s="7" t="n">
        <x:v>0</x:v>
      </x:c>
      <x:c r="I241" s="7" t="n">
        <x:v>57055.15</x:v>
      </x:c>
      <x:c r="J241" s="8" t="n">
        <x:v>0.0004</x:v>
      </x:c>
    </x:row>
    <x:row r="242">
      <x:c r="A242" s="9" t="n">
        <x:v>241</x:v>
      </x:c>
      <x:c r="B242" s="5" t="str">
        <x:v>C0124</x:v>
      </x:c>
      <x:c r="C242" s="5" t="str">
        <x:v>Silverline Energy 124</x:v>
      </x:c>
      <x:c r="D242" s="5" t="str">
        <x:v>SMB</x:v>
      </x:c>
      <x:c r="E242" s="5" t="str">
        <x:v>Energy</x:v>
      </x:c>
      <x:c r="F242" s="5" t="str">
        <x:v>US Central</x:v>
      </x:c>
      <x:c r="G242" s="7" t="n">
        <x:v>55736.51</x:v>
      </x:c>
      <x:c r="H242" s="7" t="n">
        <x:v>0</x:v>
      </x:c>
      <x:c r="I242" s="7" t="n">
        <x:v>55736.51</x:v>
      </x:c>
      <x:c r="J242" s="8" t="n">
        <x:v>0.0004</x:v>
      </x:c>
    </x:row>
    <x:row r="243">
      <x:c r="A243" s="9" t="n">
        <x:v>242</x:v>
      </x:c>
      <x:c r="B243" s="5" t="str">
        <x:v>C0126</x:v>
      </x:c>
      <x:c r="C243" s="5" t="str">
        <x:v>Beacon Health 126</x:v>
      </x:c>
      <x:c r="D243" s="5" t="str">
        <x:v>SMB</x:v>
      </x:c>
      <x:c r="E243" s="5" t="str">
        <x:v>Energy</x:v>
      </x:c>
      <x:c r="F243" s="5" t="str">
        <x:v>US East</x:v>
      </x:c>
      <x:c r="G243" s="7" t="n">
        <x:v>54842.64</x:v>
      </x:c>
      <x:c r="H243" s="7" t="n">
        <x:v>0</x:v>
      </x:c>
      <x:c r="I243" s="7" t="n">
        <x:v>54842.64</x:v>
      </x:c>
      <x:c r="J243" s="8" t="n">
        <x:v>0.0004</x:v>
      </x:c>
    </x:row>
    <x:row r="244">
      <x:c r="A244" s="9" t="n">
        <x:v>243</x:v>
      </x:c>
      <x:c r="B244" s="5" t="str">
        <x:v>C0144</x:v>
      </x:c>
      <x:c r="C244" s="5" t="str">
        <x:v>Lakeview Retail 144</x:v>
      </x:c>
      <x:c r="D244" s="5" t="str">
        <x:v>SMB</x:v>
      </x:c>
      <x:c r="E244" s="5" t="str">
        <x:v>Technology</x:v>
      </x:c>
      <x:c r="F244" s="5" t="str">
        <x:v>US Central</x:v>
      </x:c>
      <x:c r="G244" s="7" t="n">
        <x:v>54413.56</x:v>
      </x:c>
      <x:c r="H244" s="7" t="n">
        <x:v>0</x:v>
      </x:c>
      <x:c r="I244" s="7" t="n">
        <x:v>54413.56</x:v>
      </x:c>
      <x:c r="J244" s="8" t="n">
        <x:v>0.0004</x:v>
      </x:c>
    </x:row>
    <x:row r="245">
      <x:c r="A245" s="9" t="n">
        <x:v>244</x:v>
      </x:c>
      <x:c r="B245" s="5" t="str">
        <x:v>C0232</x:v>
      </x:c>
      <x:c r="C245" s="5" t="str">
        <x:v>Summit Logistics 232</x:v>
      </x:c>
      <x:c r="D245" s="5" t="str">
        <x:v>SMB</x:v>
      </x:c>
      <x:c r="E245" s="5" t="str">
        <x:v>Energy</x:v>
      </x:c>
      <x:c r="F245" s="5" t="str">
        <x:v>US West</x:v>
      </x:c>
      <x:c r="G245" s="7" t="n">
        <x:v>52480.71</x:v>
      </x:c>
      <x:c r="H245" s="7" t="n">
        <x:v>0</x:v>
      </x:c>
      <x:c r="I245" s="7" t="n">
        <x:v>52480.71</x:v>
      </x:c>
      <x:c r="J245" s="8" t="n">
        <x:v>0.0004</x:v>
      </x:c>
    </x:row>
    <x:row r="246">
      <x:c r="A246" s="9" t="n">
        <x:v>245</x:v>
      </x:c>
      <x:c r="B246" s="5" t="str">
        <x:v>C0261</x:v>
      </x:c>
      <x:c r="C246" s="5" t="str">
        <x:v>Summit Energy 261</x:v>
      </x:c>
      <x:c r="D246" s="5" t="str">
        <x:v>SMB</x:v>
      </x:c>
      <x:c r="E246" s="5" t="str">
        <x:v>Business Services</x:v>
      </x:c>
      <x:c r="F246" s="5" t="str">
        <x:v>US East</x:v>
      </x:c>
      <x:c r="G246" s="7" t="n">
        <x:v>50455.13</x:v>
      </x:c>
      <x:c r="H246" s="7" t="n">
        <x:v>0</x:v>
      </x:c>
      <x:c r="I246" s="7" t="n">
        <x:v>50455.13</x:v>
      </x:c>
      <x:c r="J246" s="8" t="n">
        <x:v>0.0004</x:v>
      </x:c>
    </x:row>
    <x:row r="247">
      <x:c r="A247" s="9" t="n">
        <x:v>246</x:v>
      </x:c>
      <x:c r="B247" s="5" t="str">
        <x:v>C0096</x:v>
      </x:c>
      <x:c r="C247" s="5" t="str">
        <x:v>Silverline Energy 096</x:v>
      </x:c>
      <x:c r="D247" s="5" t="str">
        <x:v>SMB</x:v>
      </x:c>
      <x:c r="E247" s="5" t="str">
        <x:v>Logistics</x:v>
      </x:c>
      <x:c r="F247" s="5" t="str">
        <x:v>US West</x:v>
      </x:c>
      <x:c r="G247" s="7" t="n">
        <x:v>49437.42</x:v>
      </x:c>
      <x:c r="H247" s="7" t="n">
        <x:v>0</x:v>
      </x:c>
      <x:c r="I247" s="7" t="n">
        <x:v>49437.42</x:v>
      </x:c>
      <x:c r="J247" s="8" t="n">
        <x:v>0.0004</x:v>
      </x:c>
    </x:row>
    <x:row r="248">
      <x:c r="A248" s="9" t="n">
        <x:v>247</x:v>
      </x:c>
      <x:c r="B248" s="5" t="str">
        <x:v>C0128</x:v>
      </x:c>
      <x:c r="C248" s="5" t="str">
        <x:v>Pioneer Health 128</x:v>
      </x:c>
      <x:c r="D248" s="5" t="str">
        <x:v>SMB</x:v>
      </x:c>
      <x:c r="E248" s="5" t="str">
        <x:v>Business Services</x:v>
      </x:c>
      <x:c r="F248" s="5" t="str">
        <x:v>US Central</x:v>
      </x:c>
      <x:c r="G248" s="7" t="n">
        <x:v>47024.1</x:v>
      </x:c>
      <x:c r="H248" s="7" t="n">
        <x:v>0</x:v>
      </x:c>
      <x:c r="I248" s="7" t="n">
        <x:v>47024.1</x:v>
      </x:c>
      <x:c r="J248" s="8" t="n">
        <x:v>0.0003</x:v>
      </x:c>
    </x:row>
    <x:row r="249">
      <x:c r="A249" s="9" t="n">
        <x:v>248</x:v>
      </x:c>
      <x:c r="B249" s="5" t="str">
        <x:v>C0267</x:v>
      </x:c>
      <x:c r="C249" s="5" t="str">
        <x:v>Evergreen Foods 267</x:v>
      </x:c>
      <x:c r="D249" s="5" t="str">
        <x:v>SMB</x:v>
      </x:c>
      <x:c r="E249" s="5" t="str">
        <x:v>Healthcare</x:v>
      </x:c>
      <x:c r="F249" s="5" t="str">
        <x:v>US East</x:v>
      </x:c>
      <x:c r="G249" s="7" t="n">
        <x:v>46803.73</x:v>
      </x:c>
      <x:c r="H249" s="7" t="n">
        <x:v>0</x:v>
      </x:c>
      <x:c r="I249" s="7" t="n">
        <x:v>46803.73</x:v>
      </x:c>
      <x:c r="J249" s="8" t="n">
        <x:v>0.0003</x:v>
      </x:c>
    </x:row>
    <x:row r="250">
      <x:c r="A250" s="9" t="n">
        <x:v>249</x:v>
      </x:c>
      <x:c r="B250" s="5" t="str">
        <x:v>C0025</x:v>
      </x:c>
      <x:c r="C250" s="5" t="str">
        <x:v>Redwood Health 025</x:v>
      </x:c>
      <x:c r="D250" s="5" t="str">
        <x:v>SMB</x:v>
      </x:c>
      <x:c r="E250" s="5" t="str">
        <x:v>Manufacturing</x:v>
      </x:c>
      <x:c r="F250" s="5" t="str">
        <x:v>US West</x:v>
      </x:c>
      <x:c r="G250" s="7" t="n">
        <x:v>46495.12</x:v>
      </x:c>
      <x:c r="H250" s="7" t="n">
        <x:v>0</x:v>
      </x:c>
      <x:c r="I250" s="7" t="n">
        <x:v>46495.12</x:v>
      </x:c>
      <x:c r="J250" s="8" t="n">
        <x:v>0.0003</x:v>
      </x:c>
    </x:row>
    <x:row r="251">
      <x:c r="A251" s="9" t="n">
        <x:v>250</x:v>
      </x:c>
      <x:c r="B251" s="5" t="str">
        <x:v>C0003</x:v>
      </x:c>
      <x:c r="C251" s="5" t="str">
        <x:v>Ironwood Media 003</x:v>
      </x:c>
      <x:c r="D251" s="5" t="str">
        <x:v>SMB</x:v>
      </x:c>
      <x:c r="E251" s="5" t="str">
        <x:v>Retail and E-commerce</x:v>
      </x:c>
      <x:c r="F251" s="5" t="str">
        <x:v>US Central</x:v>
      </x:c>
      <x:c r="G251" s="7" t="n">
        <x:v>46279.78</x:v>
      </x:c>
      <x:c r="H251" s="7" t="n">
        <x:v>0</x:v>
      </x:c>
      <x:c r="I251" s="7" t="n">
        <x:v>46279.78</x:v>
      </x:c>
      <x:c r="J251" s="8" t="n">
        <x:v>0.0003</x:v>
      </x:c>
    </x:row>
    <x:row r="252">
      <x:c r="A252" s="9" t="n">
        <x:v>251</x:v>
      </x:c>
      <x:c r="B252" s="5" t="str">
        <x:v>C0274</x:v>
      </x:c>
      <x:c r="C252" s="5" t="str">
        <x:v>Evergreen Education 274</x:v>
      </x:c>
      <x:c r="D252" s="5" t="str">
        <x:v>SMB</x:v>
      </x:c>
      <x:c r="E252" s="5" t="str">
        <x:v>Manufacturing</x:v>
      </x:c>
      <x:c r="F252" s="5" t="str">
        <x:v>US East</x:v>
      </x:c>
      <x:c r="G252" s="7" t="n">
        <x:v>45661.64</x:v>
      </x:c>
      <x:c r="H252" s="7" t="n">
        <x:v>0</x:v>
      </x:c>
      <x:c r="I252" s="7" t="n">
        <x:v>45661.64</x:v>
      </x:c>
      <x:c r="J252" s="8" t="n">
        <x:v>0.0003</x:v>
      </x:c>
    </x:row>
    <x:row r="253">
      <x:c r="A253" s="9" t="n">
        <x:v>252</x:v>
      </x:c>
      <x:c r="B253" s="5" t="str">
        <x:v>C0239</x:v>
      </x:c>
      <x:c r="C253" s="5" t="str">
        <x:v>Silverline Health 239</x:v>
      </x:c>
      <x:c r="D253" s="5" t="str">
        <x:v>Enterprise</x:v>
      </x:c>
      <x:c r="E253" s="5" t="str">
        <x:v>Retail and E-commerce</x:v>
      </x:c>
      <x:c r="F253" s="5" t="str">
        <x:v>Canada</x:v>
      </x:c>
      <x:c r="G253" s="7" t="n">
        <x:v>45441.24</x:v>
      </x:c>
      <x:c r="H253" s="7" t="n">
        <x:v>0</x:v>
      </x:c>
      <x:c r="I253" s="7" t="n">
        <x:v>45441.24</x:v>
      </x:c>
      <x:c r="J253" s="8" t="n">
        <x:v>0.0003</x:v>
      </x:c>
    </x:row>
    <x:row r="254">
      <x:c r="A254" s="9" t="n">
        <x:v>253</x:v>
      </x:c>
      <x:c r="B254" s="5" t="str">
        <x:v>C0255</x:v>
      </x:c>
      <x:c r="C254" s="5" t="str">
        <x:v>Pioneer Health 255</x:v>
      </x:c>
      <x:c r="D254" s="5" t="str">
        <x:v>Mid-Market</x:v>
      </x:c>
      <x:c r="E254" s="5" t="str">
        <x:v>Business Services</x:v>
      </x:c>
      <x:c r="F254" s="5" t="str">
        <x:v>US West</x:v>
      </x:c>
      <x:c r="G254" s="7" t="n">
        <x:v>44556.34</x:v>
      </x:c>
      <x:c r="H254" s="7" t="n">
        <x:v>0</x:v>
      </x:c>
      <x:c r="I254" s="7" t="n">
        <x:v>44556.34</x:v>
      </x:c>
      <x:c r="J254" s="8" t="n">
        <x:v>0.0003</x:v>
      </x:c>
    </x:row>
    <x:row r="255">
      <x:c r="A255" s="9" t="n">
        <x:v>254</x:v>
      </x:c>
      <x:c r="B255" s="5" t="str">
        <x:v>C0244</x:v>
      </x:c>
      <x:c r="C255" s="5" t="str">
        <x:v>Ironwood Mobility 244</x:v>
      </x:c>
      <x:c r="D255" s="5" t="str">
        <x:v>SMB</x:v>
      </x:c>
      <x:c r="E255" s="5" t="str">
        <x:v>Energy</x:v>
      </x:c>
      <x:c r="F255" s="5" t="str">
        <x:v>US East</x:v>
      </x:c>
      <x:c r="G255" s="7" t="n">
        <x:v>44133.89</x:v>
      </x:c>
      <x:c r="H255" s="7" t="n">
        <x:v>0</x:v>
      </x:c>
      <x:c r="I255" s="7" t="n">
        <x:v>44133.89</x:v>
      </x:c>
      <x:c r="J255" s="8" t="n">
        <x:v>0.0003</x:v>
      </x:c>
    </x:row>
    <x:row r="256">
      <x:c r="A256" s="9" t="n">
        <x:v>255</x:v>
      </x:c>
      <x:c r="B256" s="5" t="str">
        <x:v>C0196</x:v>
      </x:c>
      <x:c r="C256" s="5" t="str">
        <x:v>Summit Education 196</x:v>
      </x:c>
      <x:c r="D256" s="5" t="str">
        <x:v>SMB</x:v>
      </x:c>
      <x:c r="E256" s="5" t="str">
        <x:v>Energy</x:v>
      </x:c>
      <x:c r="F256" s="5" t="str">
        <x:v>US West</x:v>
      </x:c>
      <x:c r="G256" s="7" t="n">
        <x:v>42199.21</x:v>
      </x:c>
      <x:c r="H256" s="7" t="n">
        <x:v>0</x:v>
      </x:c>
      <x:c r="I256" s="7" t="n">
        <x:v>42199.21</x:v>
      </x:c>
      <x:c r="J256" s="8" t="n">
        <x:v>0.0003</x:v>
      </x:c>
    </x:row>
    <x:row r="257">
      <x:c r="A257" s="9" t="n">
        <x:v>256</x:v>
      </x:c>
      <x:c r="B257" s="5" t="str">
        <x:v>C0183</x:v>
      </x:c>
      <x:c r="C257" s="5" t="str">
        <x:v>Clearwater Education 183</x:v>
      </x:c>
      <x:c r="D257" s="5" t="str">
        <x:v>SMB</x:v>
      </x:c>
      <x:c r="E257" s="5" t="str">
        <x:v>Manufacturing</x:v>
      </x:c>
      <x:c r="F257" s="5" t="str">
        <x:v>US East</x:v>
      </x:c>
      <x:c r="G257" s="7" t="n">
        <x:v>32138.7</x:v>
      </x:c>
      <x:c r="H257" s="7" t="n">
        <x:v>8641.53</x:v>
      </x:c>
      <x:c r="I257" s="7" t="n">
        <x:v>40780.23</x:v>
      </x:c>
      <x:c r="J257" s="8" t="n">
        <x:v>0.0003</x:v>
      </x:c>
    </x:row>
    <x:row r="258">
      <x:c r="A258" s="9" t="n">
        <x:v>257</x:v>
      </x:c>
      <x:c r="B258" s="5" t="str">
        <x:v>C0277</x:v>
      </x:c>
      <x:c r="C258" s="5" t="str">
        <x:v>Ironwood Technology 277</x:v>
      </x:c>
      <x:c r="D258" s="5" t="str">
        <x:v>SMB</x:v>
      </x:c>
      <x:c r="E258" s="5" t="str">
        <x:v>Energy</x:v>
      </x:c>
      <x:c r="F258" s="5" t="str">
        <x:v>US West</x:v>
      </x:c>
      <x:c r="G258" s="7" t="n">
        <x:v>40621.76</x:v>
      </x:c>
      <x:c r="H258" s="7" t="n">
        <x:v>0</x:v>
      </x:c>
      <x:c r="I258" s="7" t="n">
        <x:v>40621.76</x:v>
      </x:c>
      <x:c r="J258" s="8" t="n">
        <x:v>0.0003</x:v>
      </x:c>
    </x:row>
    <x:row r="259">
      <x:c r="A259" s="9" t="n">
        <x:v>258</x:v>
      </x:c>
      <x:c r="B259" s="5" t="str">
        <x:v>C0065</x:v>
      </x:c>
      <x:c r="C259" s="5" t="str">
        <x:v>Stonegate Logistics 065</x:v>
      </x:c>
      <x:c r="D259" s="5" t="str">
        <x:v>SMB</x:v>
      </x:c>
      <x:c r="E259" s="5" t="str">
        <x:v>Business Services</x:v>
      </x:c>
      <x:c r="F259" s="5" t="str">
        <x:v>US West</x:v>
      </x:c>
      <x:c r="G259" s="7" t="n">
        <x:v>39638.69</x:v>
      </x:c>
      <x:c r="H259" s="7" t="n">
        <x:v>0</x:v>
      </x:c>
      <x:c r="I259" s="7" t="n">
        <x:v>39638.69</x:v>
      </x:c>
      <x:c r="J259" s="8" t="n">
        <x:v>0.0003</x:v>
      </x:c>
    </x:row>
    <x:row r="260">
      <x:c r="A260" s="9" t="n">
        <x:v>259</x:v>
      </x:c>
      <x:c r="B260" s="5" t="str">
        <x:v>C0166</x:v>
      </x:c>
      <x:c r="C260" s="5" t="str">
        <x:v>Cedar Manufacturing 166</x:v>
      </x:c>
      <x:c r="D260" s="5" t="str">
        <x:v>SMB</x:v>
      </x:c>
      <x:c r="E260" s="5" t="str">
        <x:v>Logistics</x:v>
      </x:c>
      <x:c r="F260" s="5" t="str">
        <x:v>US Central</x:v>
      </x:c>
      <x:c r="G260" s="7" t="n">
        <x:v>39351.07</x:v>
      </x:c>
      <x:c r="H260" s="7" t="n">
        <x:v>0</x:v>
      </x:c>
      <x:c r="I260" s="7" t="n">
        <x:v>39351.07</x:v>
      </x:c>
      <x:c r="J260" s="8" t="n">
        <x:v>0.0003</x:v>
      </x:c>
    </x:row>
    <x:row r="261">
      <x:c r="A261" s="9" t="n">
        <x:v>260</x:v>
      </x:c>
      <x:c r="B261" s="5" t="str">
        <x:v>C0055</x:v>
      </x:c>
      <x:c r="C261" s="5" t="str">
        <x:v>Cedar Foods 055</x:v>
      </x:c>
      <x:c r="D261" s="5" t="str">
        <x:v>SMB</x:v>
      </x:c>
      <x:c r="E261" s="5" t="str">
        <x:v>Financial Services</x:v>
      </x:c>
      <x:c r="F261" s="5" t="str">
        <x:v>US West</x:v>
      </x:c>
      <x:c r="G261" s="7" t="n">
        <x:v>39124.17</x:v>
      </x:c>
      <x:c r="H261" s="7" t="n">
        <x:v>0</x:v>
      </x:c>
      <x:c r="I261" s="7" t="n">
        <x:v>39124.17</x:v>
      </x:c>
      <x:c r="J261" s="8" t="n">
        <x:v>0.0003</x:v>
      </x:c>
    </x:row>
    <x:row r="262">
      <x:c r="A262" s="9" t="n">
        <x:v>261</x:v>
      </x:c>
      <x:c r="B262" s="5" t="str">
        <x:v>C0187</x:v>
      </x:c>
      <x:c r="C262" s="5" t="str">
        <x:v>Frontier Education 187</x:v>
      </x:c>
      <x:c r="D262" s="5" t="str">
        <x:v>SMB</x:v>
      </x:c>
      <x:c r="E262" s="5" t="str">
        <x:v>Logistics</x:v>
      </x:c>
      <x:c r="F262" s="5" t="str">
        <x:v>US West</x:v>
      </x:c>
      <x:c r="G262" s="7" t="n">
        <x:v>38828.03</x:v>
      </x:c>
      <x:c r="H262" s="7" t="n">
        <x:v>0</x:v>
      </x:c>
      <x:c r="I262" s="7" t="n">
        <x:v>38828.03</x:v>
      </x:c>
      <x:c r="J262" s="8" t="n">
        <x:v>0.0003</x:v>
      </x:c>
    </x:row>
    <x:row r="263">
      <x:c r="A263" s="9" t="n">
        <x:v>262</x:v>
      </x:c>
      <x:c r="B263" s="5" t="str">
        <x:v>C0226</x:v>
      </x:c>
      <x:c r="C263" s="5" t="str">
        <x:v>Frontier Financial 226</x:v>
      </x:c>
      <x:c r="D263" s="5" t="str">
        <x:v>SMB</x:v>
      </x:c>
      <x:c r="E263" s="5" t="str">
        <x:v>Manufacturing</x:v>
      </x:c>
      <x:c r="F263" s="5" t="str">
        <x:v>US West</x:v>
      </x:c>
      <x:c r="G263" s="7" t="n">
        <x:v>36522.7</x:v>
      </x:c>
      <x:c r="H263" s="7" t="n">
        <x:v>0</x:v>
      </x:c>
      <x:c r="I263" s="7" t="n">
        <x:v>36522.7</x:v>
      </x:c>
      <x:c r="J263" s="8" t="n">
        <x:v>0.0003</x:v>
      </x:c>
    </x:row>
    <x:row r="264">
      <x:c r="A264" s="9" t="n">
        <x:v>263</x:v>
      </x:c>
      <x:c r="B264" s="5" t="str">
        <x:v>C0299</x:v>
      </x:c>
      <x:c r="C264" s="5" t="str">
        <x:v>Frontier Insurance 299</x:v>
      </x:c>
      <x:c r="D264" s="5" t="str">
        <x:v>SMB</x:v>
      </x:c>
      <x:c r="E264" s="5" t="str">
        <x:v>Energy</x:v>
      </x:c>
      <x:c r="F264" s="5" t="str">
        <x:v>Canada</x:v>
      </x:c>
      <x:c r="G264" s="7" t="n">
        <x:v>36493</x:v>
      </x:c>
      <x:c r="H264" s="7" t="n">
        <x:v>0</x:v>
      </x:c>
      <x:c r="I264" s="7" t="n">
        <x:v>36493</x:v>
      </x:c>
      <x:c r="J264" s="8" t="n">
        <x:v>0.0003</x:v>
      </x:c>
    </x:row>
    <x:row r="265">
      <x:c r="A265" s="9" t="n">
        <x:v>264</x:v>
      </x:c>
      <x:c r="B265" s="5" t="str">
        <x:v>C0131</x:v>
      </x:c>
      <x:c r="C265" s="5" t="str">
        <x:v>Highland Financial 131</x:v>
      </x:c>
      <x:c r="D265" s="5" t="str">
        <x:v>SMB</x:v>
      </x:c>
      <x:c r="E265" s="5" t="str">
        <x:v>Healthcare</x:v>
      </x:c>
      <x:c r="F265" s="5" t="str">
        <x:v>US East</x:v>
      </x:c>
      <x:c r="G265" s="7" t="n">
        <x:v>35488.27</x:v>
      </x:c>
      <x:c r="H265" s="7" t="n">
        <x:v>0</x:v>
      </x:c>
      <x:c r="I265" s="7" t="n">
        <x:v>35488.27</x:v>
      </x:c>
      <x:c r="J265" s="8" t="n">
        <x:v>0.0003</x:v>
      </x:c>
    </x:row>
    <x:row r="266">
      <x:c r="A266" s="9" t="n">
        <x:v>265</x:v>
      </x:c>
      <x:c r="B266" s="5" t="str">
        <x:v>C0039</x:v>
      </x:c>
      <x:c r="C266" s="5" t="str">
        <x:v>Redwood Technology 039</x:v>
      </x:c>
      <x:c r="D266" s="5" t="str">
        <x:v>SMB</x:v>
      </x:c>
      <x:c r="E266" s="5" t="str">
        <x:v>Energy</x:v>
      </x:c>
      <x:c r="F266" s="5" t="str">
        <x:v>US West</x:v>
      </x:c>
      <x:c r="G266" s="7" t="n">
        <x:v>35323.75</x:v>
      </x:c>
      <x:c r="H266" s="7" t="n">
        <x:v>0</x:v>
      </x:c>
      <x:c r="I266" s="7" t="n">
        <x:v>35323.75</x:v>
      </x:c>
      <x:c r="J266" s="8" t="n">
        <x:v>0.0003</x:v>
      </x:c>
    </x:row>
    <x:row r="267">
      <x:c r="A267" s="9" t="n">
        <x:v>266</x:v>
      </x:c>
      <x:c r="B267" s="5" t="str">
        <x:v>C0015</x:v>
      </x:c>
      <x:c r="C267" s="5" t="str">
        <x:v>Highland Manufacturing 015</x:v>
      </x:c>
      <x:c r="D267" s="5" t="str">
        <x:v>SMB</x:v>
      </x:c>
      <x:c r="E267" s="5" t="str">
        <x:v>Healthcare</x:v>
      </x:c>
      <x:c r="F267" s="5" t="str">
        <x:v>US East</x:v>
      </x:c>
      <x:c r="G267" s="7" t="n">
        <x:v>34549.28</x:v>
      </x:c>
      <x:c r="H267" s="7" t="n">
        <x:v>0</x:v>
      </x:c>
      <x:c r="I267" s="7" t="n">
        <x:v>34549.28</x:v>
      </x:c>
      <x:c r="J267" s="8" t="n">
        <x:v>0.0003</x:v>
      </x:c>
    </x:row>
    <x:row r="268">
      <x:c r="A268" s="9" t="n">
        <x:v>267</x:v>
      </x:c>
      <x:c r="B268" s="5" t="str">
        <x:v>C0192</x:v>
      </x:c>
      <x:c r="C268" s="5" t="str">
        <x:v>Oakridge Logistics 192</x:v>
      </x:c>
      <x:c r="D268" s="5" t="str">
        <x:v>SMB</x:v>
      </x:c>
      <x:c r="E268" s="5" t="str">
        <x:v>Business Services</x:v>
      </x:c>
      <x:c r="F268" s="5" t="str">
        <x:v>US Central</x:v>
      </x:c>
      <x:c r="G268" s="7" t="n">
        <x:v>33912.79</x:v>
      </x:c>
      <x:c r="H268" s="7" t="n">
        <x:v>0</x:v>
      </x:c>
      <x:c r="I268" s="7" t="n">
        <x:v>33912.79</x:v>
      </x:c>
      <x:c r="J268" s="8" t="n">
        <x:v>0.0002</x:v>
      </x:c>
    </x:row>
    <x:row r="269">
      <x:c r="A269" s="9" t="n">
        <x:v>268</x:v>
      </x:c>
      <x:c r="B269" s="5" t="str">
        <x:v>C0014</x:v>
      </x:c>
      <x:c r="C269" s="5" t="str">
        <x:v>Meridian Technology 014</x:v>
      </x:c>
      <x:c r="D269" s="5" t="str">
        <x:v>SMB</x:v>
      </x:c>
      <x:c r="E269" s="5" t="str">
        <x:v>Business Services</x:v>
      </x:c>
      <x:c r="F269" s="5" t="str">
        <x:v>US East</x:v>
      </x:c>
      <x:c r="G269" s="7" t="n">
        <x:v>33713.64</x:v>
      </x:c>
      <x:c r="H269" s="7" t="n">
        <x:v>0</x:v>
      </x:c>
      <x:c r="I269" s="7" t="n">
        <x:v>33713.64</x:v>
      </x:c>
      <x:c r="J269" s="8" t="n">
        <x:v>0.0002</x:v>
      </x:c>
    </x:row>
    <x:row r="270">
      <x:c r="A270" s="9" t="n">
        <x:v>269</x:v>
      </x:c>
      <x:c r="B270" s="5" t="str">
        <x:v>C0092</x:v>
      </x:c>
      <x:c r="C270" s="5" t="str">
        <x:v>BrightPath Mobility 092</x:v>
      </x:c>
      <x:c r="D270" s="5" t="str">
        <x:v>Mid-Market</x:v>
      </x:c>
      <x:c r="E270" s="5" t="str">
        <x:v>Logistics</x:v>
      </x:c>
      <x:c r="F270" s="5" t="str">
        <x:v>Canada</x:v>
      </x:c>
      <x:c r="G270" s="7" t="n">
        <x:v>33245.17</x:v>
      </x:c>
      <x:c r="H270" s="7" t="n">
        <x:v>0</x:v>
      </x:c>
      <x:c r="I270" s="7" t="n">
        <x:v>33245.17</x:v>
      </x:c>
      <x:c r="J270" s="8" t="n">
        <x:v>0.0002</x:v>
      </x:c>
    </x:row>
    <x:row r="271">
      <x:c r="A271" s="9" t="n">
        <x:v>270</x:v>
      </x:c>
      <x:c r="B271" s="5" t="str">
        <x:v>C0070</x:v>
      </x:c>
      <x:c r="C271" s="5" t="str">
        <x:v>Meridian Logistics 070</x:v>
      </x:c>
      <x:c r="D271" s="5" t="str">
        <x:v>SMB</x:v>
      </x:c>
      <x:c r="E271" s="5" t="str">
        <x:v>Manufacturing</x:v>
      </x:c>
      <x:c r="F271" s="5" t="str">
        <x:v>US West</x:v>
      </x:c>
      <x:c r="G271" s="7" t="n">
        <x:v>32960.08</x:v>
      </x:c>
      <x:c r="H271" s="7" t="n">
        <x:v>0</x:v>
      </x:c>
      <x:c r="I271" s="7" t="n">
        <x:v>32960.08</x:v>
      </x:c>
      <x:c r="J271" s="8" t="n">
        <x:v>0.0002</x:v>
      </x:c>
    </x:row>
    <x:row r="272">
      <x:c r="A272" s="9" t="n">
        <x:v>271</x:v>
      </x:c>
      <x:c r="B272" s="5" t="str">
        <x:v>C0210</x:v>
      </x:c>
      <x:c r="C272" s="5" t="str">
        <x:v>BluePeak Logistics 210</x:v>
      </x:c>
      <x:c r="D272" s="5" t="str">
        <x:v>SMB</x:v>
      </x:c>
      <x:c r="E272" s="5" t="str">
        <x:v>Retail and E-commerce</x:v>
      </x:c>
      <x:c r="F272" s="5" t="str">
        <x:v>US West</x:v>
      </x:c>
      <x:c r="G272" s="7" t="n">
        <x:v>32655.57</x:v>
      </x:c>
      <x:c r="H272" s="7" t="n">
        <x:v>0</x:v>
      </x:c>
      <x:c r="I272" s="7" t="n">
        <x:v>32655.57</x:v>
      </x:c>
      <x:c r="J272" s="8" t="n">
        <x:v>0.0002</x:v>
      </x:c>
    </x:row>
    <x:row r="273">
      <x:c r="A273" s="9" t="n">
        <x:v>272</x:v>
      </x:c>
      <x:c r="B273" s="5" t="str">
        <x:v>C0279</x:v>
      </x:c>
      <x:c r="C273" s="5" t="str">
        <x:v>Vantage Mobility 279</x:v>
      </x:c>
      <x:c r="D273" s="5" t="str">
        <x:v>SMB</x:v>
      </x:c>
      <x:c r="E273" s="5" t="str">
        <x:v>Business Services</x:v>
      </x:c>
      <x:c r="F273" s="5" t="str">
        <x:v>US East</x:v>
      </x:c>
      <x:c r="G273" s="7" t="n">
        <x:v>31476.11</x:v>
      </x:c>
      <x:c r="H273" s="7" t="n">
        <x:v>0</x:v>
      </x:c>
      <x:c r="I273" s="7" t="n">
        <x:v>31476.11</x:v>
      </x:c>
      <x:c r="J273" s="8" t="n">
        <x:v>0.0002</x:v>
      </x:c>
    </x:row>
    <x:row r="274">
      <x:c r="A274" s="9" t="n">
        <x:v>273</x:v>
      </x:c>
      <x:c r="B274" s="5" t="str">
        <x:v>C0069</x:v>
      </x:c>
      <x:c r="C274" s="5" t="str">
        <x:v>Oakridge Media 069</x:v>
      </x:c>
      <x:c r="D274" s="5" t="str">
        <x:v>SMB</x:v>
      </x:c>
      <x:c r="E274" s="5" t="str">
        <x:v>Retail and E-commerce</x:v>
      </x:c>
      <x:c r="F274" s="5" t="str">
        <x:v>US West</x:v>
      </x:c>
      <x:c r="G274" s="7" t="n">
        <x:v>29552.92</x:v>
      </x:c>
      <x:c r="H274" s="7" t="n">
        <x:v>0</x:v>
      </x:c>
      <x:c r="I274" s="7" t="n">
        <x:v>29552.92</x:v>
      </x:c>
      <x:c r="J274" s="8" t="n">
        <x:v>0.0002</x:v>
      </x:c>
    </x:row>
    <x:row r="275">
      <x:c r="A275" s="9" t="n">
        <x:v>274</x:v>
      </x:c>
      <x:c r="B275" s="5" t="str">
        <x:v>C0197</x:v>
      </x:c>
      <x:c r="C275" s="5" t="str">
        <x:v>BluePeak Financial 197</x:v>
      </x:c>
      <x:c r="D275" s="5" t="str">
        <x:v>SMB</x:v>
      </x:c>
      <x:c r="E275" s="5" t="str">
        <x:v>Financial Services</x:v>
      </x:c>
      <x:c r="F275" s="5" t="str">
        <x:v>US East</x:v>
      </x:c>
      <x:c r="G275" s="7" t="n">
        <x:v>28941.09</x:v>
      </x:c>
      <x:c r="H275" s="7" t="n">
        <x:v>0</x:v>
      </x:c>
      <x:c r="I275" s="7" t="n">
        <x:v>28941.09</x:v>
      </x:c>
      <x:c r="J275" s="8" t="n">
        <x:v>0.0002</x:v>
      </x:c>
    </x:row>
    <x:row r="276">
      <x:c r="A276" s="9" t="n">
        <x:v>275</x:v>
      </x:c>
      <x:c r="B276" s="5" t="str">
        <x:v>C0218</x:v>
      </x:c>
      <x:c r="C276" s="5" t="str">
        <x:v>Highland Retail 218</x:v>
      </x:c>
      <x:c r="D276" s="5" t="str">
        <x:v>SMB</x:v>
      </x:c>
      <x:c r="E276" s="5" t="str">
        <x:v>Retail and E-commerce</x:v>
      </x:c>
      <x:c r="F276" s="5" t="str">
        <x:v>US Central</x:v>
      </x:c>
      <x:c r="G276" s="7" t="n">
        <x:v>27330.52</x:v>
      </x:c>
      <x:c r="H276" s="7" t="n">
        <x:v>0</x:v>
      </x:c>
      <x:c r="I276" s="7" t="n">
        <x:v>27330.52</x:v>
      </x:c>
      <x:c r="J276" s="8" t="n">
        <x:v>0.0002</x:v>
      </x:c>
    </x:row>
    <x:row r="277">
      <x:c r="A277" s="9" t="n">
        <x:v>276</x:v>
      </x:c>
      <x:c r="B277" s="5" t="str">
        <x:v>C0201</x:v>
      </x:c>
      <x:c r="C277" s="5" t="str">
        <x:v>Redwood Technology 201</x:v>
      </x:c>
      <x:c r="D277" s="5" t="str">
        <x:v>SMB</x:v>
      </x:c>
      <x:c r="E277" s="5" t="str">
        <x:v>Healthcare</x:v>
      </x:c>
      <x:c r="F277" s="5" t="str">
        <x:v>US West</x:v>
      </x:c>
      <x:c r="G277" s="7" t="n">
        <x:v>26128.15</x:v>
      </x:c>
      <x:c r="H277" s="7" t="n">
        <x:v>0</x:v>
      </x:c>
      <x:c r="I277" s="7" t="n">
        <x:v>26128.15</x:v>
      </x:c>
      <x:c r="J277" s="8" t="n">
        <x:v>0.0002</x:v>
      </x:c>
    </x:row>
    <x:row r="278">
      <x:c r="A278" s="9" t="n">
        <x:v>277</x:v>
      </x:c>
      <x:c r="B278" s="5" t="str">
        <x:v>C0090</x:v>
      </x:c>
      <x:c r="C278" s="5" t="str">
        <x:v>BrightPath Foods 090</x:v>
      </x:c>
      <x:c r="D278" s="5" t="str">
        <x:v>Mid-Market</x:v>
      </x:c>
      <x:c r="E278" s="5" t="str">
        <x:v>Technology</x:v>
      </x:c>
      <x:c r="F278" s="5" t="str">
        <x:v>US East</x:v>
      </x:c>
      <x:c r="G278" s="7" t="n">
        <x:v>25129.06</x:v>
      </x:c>
      <x:c r="H278" s="7" t="n">
        <x:v>0</x:v>
      </x:c>
      <x:c r="I278" s="7" t="n">
        <x:v>25129.06</x:v>
      </x:c>
      <x:c r="J278" s="8" t="n">
        <x:v>0.0002</x:v>
      </x:c>
    </x:row>
    <x:row r="279">
      <x:c r="A279" s="9" t="n">
        <x:v>278</x:v>
      </x:c>
      <x:c r="B279" s="5" t="str">
        <x:v>C0010</x:v>
      </x:c>
      <x:c r="C279" s="5" t="str">
        <x:v>Meridian Foods 010</x:v>
      </x:c>
      <x:c r="D279" s="5" t="str">
        <x:v>SMB</x:v>
      </x:c>
      <x:c r="E279" s="5" t="str">
        <x:v>Business Services</x:v>
      </x:c>
      <x:c r="F279" s="5" t="str">
        <x:v>Canada</x:v>
      </x:c>
      <x:c r="G279" s="7" t="n">
        <x:v>24769.86</x:v>
      </x:c>
      <x:c r="H279" s="7" t="n">
        <x:v>0</x:v>
      </x:c>
      <x:c r="I279" s="7" t="n">
        <x:v>24769.86</x:v>
      </x:c>
      <x:c r="J279" s="8" t="n">
        <x:v>0.0002</x:v>
      </x:c>
    </x:row>
    <x:row r="280">
      <x:c r="A280" s="9" t="n">
        <x:v>279</x:v>
      </x:c>
      <x:c r="B280" s="5" t="str">
        <x:v>C0129</x:v>
      </x:c>
      <x:c r="C280" s="5" t="str">
        <x:v>BrightPath Insurance 129</x:v>
      </x:c>
      <x:c r="D280" s="5" t="str">
        <x:v>SMB</x:v>
      </x:c>
      <x:c r="E280" s="5" t="str">
        <x:v>Manufacturing</x:v>
      </x:c>
      <x:c r="F280" s="5" t="str">
        <x:v>US West</x:v>
      </x:c>
      <x:c r="G280" s="7" t="n">
        <x:v>24253.31</x:v>
      </x:c>
      <x:c r="H280" s="7" t="n">
        <x:v>0</x:v>
      </x:c>
      <x:c r="I280" s="7" t="n">
        <x:v>24253.31</x:v>
      </x:c>
      <x:c r="J280" s="8" t="n">
        <x:v>0.0002</x:v>
      </x:c>
    </x:row>
    <x:row r="281">
      <x:c r="A281" s="9" t="n">
        <x:v>280</x:v>
      </x:c>
      <x:c r="B281" s="5" t="str">
        <x:v>C0113</x:v>
      </x:c>
      <x:c r="C281" s="5" t="str">
        <x:v>Clearwater Insurance 113</x:v>
      </x:c>
      <x:c r="D281" s="5" t="str">
        <x:v>SMB</x:v>
      </x:c>
      <x:c r="E281" s="5" t="str">
        <x:v>Business Services</x:v>
      </x:c>
      <x:c r="F281" s="5" t="str">
        <x:v>US East</x:v>
      </x:c>
      <x:c r="G281" s="7" t="n">
        <x:v>22954.86</x:v>
      </x:c>
      <x:c r="H281" s="7" t="n">
        <x:v>0</x:v>
      </x:c>
      <x:c r="I281" s="7" t="n">
        <x:v>22954.86</x:v>
      </x:c>
      <x:c r="J281" s="8" t="n">
        <x:v>0.0002</x:v>
      </x:c>
    </x:row>
    <x:row r="282">
      <x:c r="A282" s="9" t="n">
        <x:v>281</x:v>
      </x:c>
      <x:c r="B282" s="5" t="str">
        <x:v>C0194</x:v>
      </x:c>
      <x:c r="C282" s="5" t="str">
        <x:v>Harbor Insurance 194</x:v>
      </x:c>
      <x:c r="D282" s="5" t="str">
        <x:v>SMB</x:v>
      </x:c>
      <x:c r="E282" s="5" t="str">
        <x:v>Manufacturing</x:v>
      </x:c>
      <x:c r="F282" s="5" t="str">
        <x:v>US West</x:v>
      </x:c>
      <x:c r="G282" s="7" t="n">
        <x:v>8373.26</x:v>
      </x:c>
      <x:c r="H282" s="7" t="n">
        <x:v>0</x:v>
      </x:c>
      <x:c r="I282" s="7" t="n">
        <x:v>8373.26</x:v>
      </x:c>
      <x:c r="J282" s="8" t="n">
        <x:v>0.0001</x:v>
      </x:c>
    </x:row>
    <x:row r="283">
      <x:c r="A283" s="9" t="n">
        <x:v>282</x:v>
      </x:c>
      <x:c r="B283" s="5" t="str">
        <x:v>C0027</x:v>
      </x:c>
      <x:c r="C283" s="5" t="str">
        <x:v>Pioneer Foods 027</x:v>
      </x:c>
      <x:c r="D283" s="5" t="str">
        <x:v>SMB</x:v>
      </x:c>
      <x:c r="E283" s="5" t="str">
        <x:v>Business Services</x:v>
      </x:c>
      <x:c r="F283" s="5" t="str">
        <x:v>US East</x:v>
      </x:c>
      <x:c r="G283" s="7" t="n">
        <x:v>8235.74</x:v>
      </x:c>
      <x:c r="H283" s="7" t="n">
        <x:v>0</x:v>
      </x:c>
      <x:c r="I283" s="7" t="n">
        <x:v>8235.74</x:v>
      </x:c>
      <x:c r="J283" s="8" t="n">
        <x:v>0.0001</x:v>
      </x:c>
    </x:row>
    <x:row r="284">
      <x:c r="A284" s="9" t="n">
        <x:v>283</x:v>
      </x:c>
      <x:c r="B284" s="5" t="str">
        <x:v>C0271</x:v>
      </x:c>
      <x:c r="C284" s="5" t="str">
        <x:v>Vantage Energy 271</x:v>
      </x:c>
      <x:c r="D284" s="5" t="str">
        <x:v>SMB</x:v>
      </x:c>
      <x:c r="E284" s="5" t="str">
        <x:v>Manufacturing</x:v>
      </x:c>
      <x:c r="F284" s="5" t="str">
        <x:v>US East</x:v>
      </x:c>
      <x:c r="G284" s="7" t="n">
        <x:v>7005.28</x:v>
      </x:c>
      <x:c r="H284" s="7" t="n">
        <x:v>0</x:v>
      </x:c>
      <x:c r="I284" s="7" t="n">
        <x:v>7005.28</x:v>
      </x:c>
      <x:c r="J284" s="8" t="n">
        <x:v>0.0001</x:v>
      </x:c>
    </x:row>
    <x:row r="285">
      <x:c r="A285" s="9" t="n">
        <x:v>284</x:v>
      </x:c>
      <x:c r="B285" s="5" t="str">
        <x:v>C0125</x:v>
      </x:c>
      <x:c r="C285" s="5" t="str">
        <x:v>Summit Mobility 125</x:v>
      </x:c>
      <x:c r="D285" s="5" t="str">
        <x:v>SMB</x:v>
      </x:c>
      <x:c r="E285" s="5" t="str">
        <x:v>Retail and E-commerce</x:v>
      </x:c>
      <x:c r="F285" s="5" t="str">
        <x:v>US West</x:v>
      </x:c>
      <x:c r="G285" s="7" t="n">
        <x:v>6574.08</x:v>
      </x:c>
      <x:c r="H285" s="7" t="n">
        <x:v>0</x:v>
      </x:c>
      <x:c r="I285" s="7" t="n">
        <x:v>6574.08</x:v>
      </x:c>
      <x:c r="J285" s="8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b77b836262114820"/>
  </x:tableParts>
</x:worksheet>
</file>

<file path=xl/worksheets/sheet17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24" hidden="0" customWidth="1"/>
    <x:col min="3" max="3" width="13" hidden="0" customWidth="1"/>
    <x:col min="4" max="4" width="13" hidden="0" customWidth="1"/>
    <x:col min="5" max="5" width="13" hidden="0" customWidth="1"/>
    <x:col min="6" max="6" width="26" hidden="0" customWidth="1"/>
  </x:cols>
  <x:sheetData>
    <x:row r="1">
      <x:c r="A1" s="4" t="str">
        <x:v>check_order</x:v>
      </x:c>
      <x:c r="B1" s="4" t="str">
        <x:v>check_name</x:v>
      </x:c>
      <x:c r="C1" s="4" t="str">
        <x:v>difference</x:v>
      </x:c>
      <x:c r="D1" s="4" t="str">
        <x:v>tolerance</x:v>
      </x:c>
      <x:c r="E1" s="4" t="str">
        <x:v>status</x:v>
      </x:c>
      <x:c r="F1" s="4" t="str">
        <x:v>fix_location</x:v>
      </x:c>
    </x:row>
    <x:row r="2">
      <x:c r="A2" s="5" t="str">
        <x:v>1</x:v>
      </x:c>
      <x:c r="B2" s="5" t="str">
        <x:v>Subscription revenue ties to GL</x:v>
      </x:c>
      <x:c r="C2" s="7" t="n">
        <x:v>0</x:v>
      </x:c>
      <x:c r="D2" s="7" t="n">
        <x:v>0.05</x:v>
      </x:c>
      <x:c r="E2" s="5" t="str">
        <x:v>PASS</x:v>
      </x:c>
      <x:c r="F2" s="5" t="str">
        <x:v>fact_subscription_mrr vs A4000</x:v>
      </x:c>
    </x:row>
    <x:row r="3">
      <x:c r="A3" s="5" t="str">
        <x:v>2</x:v>
      </x:c>
      <x:c r="B3" s="5" t="str">
        <x:v>Services revenue ties to GL</x:v>
      </x:c>
      <x:c r="C3" s="7" t="n">
        <x:v>0</x:v>
      </x:c>
      <x:c r="D3" s="7" t="n">
        <x:v>0.05</x:v>
      </x:c>
      <x:c r="E3" s="5" t="str">
        <x:v>PASS</x:v>
      </x:c>
      <x:c r="F3" s="5" t="str">
        <x:v>fact_project_financials vs A4010/A4020</x:v>
      </x:c>
    </x:row>
    <x:row r="4">
      <x:c r="A4" s="5" t="str">
        <x:v>3</x:v>
      </x:c>
      <x:c r="B4" s="5" t="str">
        <x:v>Services labor ties to payroll</x:v>
      </x:c>
      <x:c r="C4" s="7" t="n">
        <x:v>0</x:v>
      </x:c>
      <x:c r="D4" s="7" t="n">
        <x:v>0.05</x:v>
      </x:c>
      <x:c r="E4" s="5" t="str">
        <x:v>PASS</x:v>
      </x:c>
      <x:c r="F4" s="5" t="str">
        <x:v>fact_headcount_monthly vs A5020</x:v>
      </x:c>
    </x:row>
    <x:row r="5">
      <x:c r="A5" s="5" t="str">
        <x:v>4</x:v>
      </x:c>
      <x:c r="B5" s="5" t="str">
        <x:v>Budget has twelve months</x:v>
      </x:c>
      <x:c r="C5" s="7" t="n">
        <x:v>0</x:v>
      </x:c>
      <x:c r="D5" s="7" t="n">
        <x:v>0</x:v>
      </x:c>
      <x:c r="E5" s="5" t="str">
        <x:v>PASS</x:v>
      </x:c>
      <x:c r="F5" s="5" t="str">
        <x:v>fact_budget</x:v>
      </x:c>
    </x:row>
    <x:row r="6">
      <x:c r="A6" s="5" t="str">
        <x:v>5</x:v>
      </x:c>
      <x:c r="B6" s="5" t="str">
        <x:v>Forecast has twelve months</x:v>
      </x:c>
      <x:c r="C6" s="7" t="n">
        <x:v>0</x:v>
      </x:c>
      <x:c r="D6" s="7" t="n">
        <x:v>0</x:v>
      </x:c>
      <x:c r="E6" s="5" t="str">
        <x:v>PASS</x:v>
      </x:c>
      <x:c r="F6" s="5" t="str">
        <x:v>fact_forecast</x:v>
      </x:c>
    </x:row>
    <x:row r="7">
      <x:c r="A7" s="5" t="str">
        <x:v>6</x:v>
      </x:c>
      <x:c r="B7" s="5" t="str">
        <x:v>Invoices reconcile</x:v>
      </x:c>
      <x:c r="C7" s="7" t="n">
        <x:v>0</x:v>
      </x:c>
      <x:c r="D7" s="7" t="n">
        <x:v>0.05</x:v>
      </x:c>
      <x:c r="E7" s="5" t="str">
        <x:v>PASS</x:v>
      </x:c>
      <x:c r="F7" s="5" t="str">
        <x:v>fact_invoice</x:v>
      </x:c>
    </x:row>
    <x:row r="8">
      <x:c r="A8" s="5" t="str">
        <x:v>7</x:v>
      </x:c>
      <x:c r="B8" s="5" t="str">
        <x:v>No negative MRR</x:v>
      </x:c>
      <x:c r="C8" s="7" t="n">
        <x:v>0</x:v>
      </x:c>
      <x:c r="D8" s="7" t="n">
        <x:v>0</x:v>
      </x:c>
      <x:c r="E8" s="5" t="str">
        <x:v>PASS</x:v>
      </x:c>
      <x:c r="F8" s="5" t="str">
        <x:v>fact_subscription_mrr</x:v>
      </x:c>
    </x:row>
    <x:row r="9">
      <x:c r="A9" s="5" t="str">
        <x:v>8</x:v>
      </x:c>
      <x:c r="B9" s="5" t="str">
        <x:v>No impossible utilization</x:v>
      </x:c>
      <x:c r="C9" s="7" t="n">
        <x:v>0</x:v>
      </x:c>
      <x:c r="D9" s="7" t="n">
        <x:v>0</x:v>
      </x:c>
      <x:c r="E9" s="5" t="str">
        <x:v>PASS</x:v>
      </x:c>
      <x:c r="F9" s="5" t="str">
        <x:v>fact_utilization_monthly</x:v>
      </x:c>
    </x:row>
    <x:row r="10">
      <x:c r="A10" s="5" t="str">
        <x:v>9</x:v>
      </x:c>
      <x:c r="B10" s="5" t="str">
        <x:v>Foreign key integrity</x:v>
      </x:c>
      <x:c r="C10" s="7" t="n">
        <x:v>0</x:v>
      </x:c>
      <x:c r="D10" s="7" t="n">
        <x:v>0</x:v>
      </x:c>
      <x:c r="E10" s="5" t="str">
        <x:v>PASS</x:v>
      </x:c>
      <x:c r="F10" s="5" t="str">
        <x:v>database schema</x:v>
      </x:c>
    </x:row>
  </x:sheetData>
  <x:pageMargins left="0.7" right="0.7" top="0.75" bottom="0.75" header="0.3" footer="0.3"/>
  <x:tableParts count="1">
    <x:tablePart xmlns:r="http://schemas.openxmlformats.org/officeDocument/2006/relationships" r:id="Rc58329ba7f0941b6"/>
  </x:tableParts>
</x:worksheet>
</file>